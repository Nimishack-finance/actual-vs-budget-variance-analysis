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Nimisha\Downloads\"/>
    </mc:Choice>
  </mc:AlternateContent>
  <xr:revisionPtr revIDLastSave="0" documentId="13_ncr:1_{8C702828-F390-4ADE-A862-BC7E6B45F34D}" xr6:coauthVersionLast="47" xr6:coauthVersionMax="47" xr10:uidLastSave="{00000000-0000-0000-0000-000000000000}"/>
  <bookViews>
    <workbookView xWindow="-108" yWindow="-108" windowWidth="23256" windowHeight="12456" firstSheet="4" activeTab="8" xr2:uid="{81A85CBD-A344-4ACE-AE76-1B7F40DB8286}"/>
  </bookViews>
  <sheets>
    <sheet name="RAW DATA" sheetId="2" r:id="rId1"/>
    <sheet name="CLEANED DATA" sheetId="1" r:id="rId2"/>
    <sheet name="DEPARTMENT-FINANCIAL ANALYSIS" sheetId="4" r:id="rId3"/>
    <sheet name="CATEGORY-FINANCIAL ANALYSIS" sheetId="5" r:id="rId4"/>
    <sheet name="UNIT -FINANCIAL ANALYSIS" sheetId="6" r:id="rId5"/>
    <sheet name="KPI" sheetId="7" r:id="rId6"/>
    <sheet name="Sheet1" sheetId="9" r:id="rId7"/>
    <sheet name="PIVOT TABLE" sheetId="3" r:id="rId8"/>
    <sheet name="DASHBOARD" sheetId="8" r:id="rId9"/>
  </sheets>
  <definedNames>
    <definedName name="Slicer_Business_Unit">#N/A</definedName>
    <definedName name="Slicer_Category">#N/A</definedName>
    <definedName name="Slicer_Department">#N/A</definedName>
    <definedName name="Slicer_Months__Dat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7" l="1"/>
  <c r="K9" i="7"/>
  <c r="K13" i="7" s="1"/>
  <c r="K5" i="7"/>
  <c r="K3" i="7"/>
  <c r="K7" i="7" s="1"/>
  <c r="K5" i="6"/>
  <c r="K6" i="6"/>
  <c r="K7" i="6"/>
  <c r="K4" i="6"/>
  <c r="J5" i="6"/>
  <c r="J6" i="6"/>
  <c r="J7" i="6"/>
  <c r="J4" i="6"/>
  <c r="I5" i="6"/>
  <c r="I6" i="6"/>
  <c r="I7" i="6"/>
  <c r="D16" i="5"/>
  <c r="D17" i="5"/>
  <c r="D18" i="5"/>
  <c r="E18" i="5" s="1"/>
  <c r="D19" i="5"/>
  <c r="D20" i="5"/>
  <c r="D21" i="5"/>
  <c r="E21" i="5" s="1"/>
  <c r="E16" i="5"/>
  <c r="I4" i="6"/>
  <c r="H4" i="6" a="1"/>
  <c r="H4" i="6" s="1"/>
  <c r="C4" i="6" a="1"/>
  <c r="C4" i="6" s="1"/>
  <c r="G4" i="6" a="1"/>
  <c r="G4" i="6" s="1"/>
  <c r="B4" i="6" a="1"/>
  <c r="B4" i="6" s="1"/>
  <c r="F5" i="6"/>
  <c r="F6" i="6"/>
  <c r="F7" i="6"/>
  <c r="E5" i="6"/>
  <c r="E6" i="6"/>
  <c r="D5" i="6"/>
  <c r="D6" i="6"/>
  <c r="D7" i="6"/>
  <c r="E7" i="6" s="1"/>
  <c r="F17" i="5"/>
  <c r="F18" i="5"/>
  <c r="F19" i="5"/>
  <c r="F20" i="5"/>
  <c r="F21" i="5"/>
  <c r="F16" i="5"/>
  <c r="E17" i="5"/>
  <c r="E19" i="5"/>
  <c r="E20" i="5"/>
  <c r="C16" i="5" a="1"/>
  <c r="C16" i="5" s="1"/>
  <c r="C4" i="5" a="1"/>
  <c r="C4" i="5" s="1"/>
  <c r="B16" i="5" a="1"/>
  <c r="B16" i="5" s="1"/>
  <c r="B4" i="5" a="1"/>
  <c r="B4" i="5" s="1"/>
  <c r="F5" i="5"/>
  <c r="F6" i="5"/>
  <c r="F7" i="5"/>
  <c r="F8" i="5"/>
  <c r="F9" i="5"/>
  <c r="K5" i="4"/>
  <c r="K6" i="4"/>
  <c r="K7" i="4"/>
  <c r="K8" i="4"/>
  <c r="K9" i="4"/>
  <c r="K10" i="4"/>
  <c r="K11" i="4"/>
  <c r="K4" i="4"/>
  <c r="J5" i="4"/>
  <c r="J6" i="4"/>
  <c r="J7" i="4"/>
  <c r="J8" i="4"/>
  <c r="J9" i="4"/>
  <c r="J10" i="4"/>
  <c r="J11" i="4"/>
  <c r="J4" i="4"/>
  <c r="I5" i="4"/>
  <c r="I6" i="4"/>
  <c r="I7" i="4"/>
  <c r="I8" i="4"/>
  <c r="I9" i="4"/>
  <c r="I10" i="4"/>
  <c r="I11" i="4"/>
  <c r="I4" i="4"/>
  <c r="H4" i="4" a="1"/>
  <c r="H4" i="4" s="1"/>
  <c r="G4" i="4" a="1"/>
  <c r="G4" i="4" s="1"/>
  <c r="F5" i="4"/>
  <c r="F6" i="4"/>
  <c r="F7" i="4"/>
  <c r="F8" i="4"/>
  <c r="F9" i="4"/>
  <c r="F10" i="4"/>
  <c r="F11" i="4"/>
  <c r="F4" i="4"/>
  <c r="C4" i="4" a="1"/>
  <c r="C4" i="4" s="1"/>
  <c r="E4" i="4" s="1"/>
  <c r="B4" i="4" a="1"/>
  <c r="B4" i="4" s="1"/>
  <c r="F4" i="6" l="1"/>
  <c r="D4" i="6"/>
  <c r="E4" i="6" s="1"/>
  <c r="F4" i="5"/>
  <c r="D5" i="5"/>
  <c r="E5" i="5" s="1"/>
  <c r="D4" i="5"/>
  <c r="E4" i="5" s="1"/>
  <c r="D9" i="5"/>
  <c r="E9" i="5" s="1"/>
  <c r="D8" i="5"/>
  <c r="E8" i="5" s="1"/>
  <c r="D7" i="5"/>
  <c r="E7" i="5" s="1"/>
  <c r="D6" i="5"/>
  <c r="E6" i="5" s="1"/>
  <c r="D7" i="4"/>
  <c r="D4" i="4"/>
  <c r="D11" i="4"/>
  <c r="E11" i="4"/>
  <c r="D10" i="4"/>
  <c r="E10" i="4"/>
  <c r="D9" i="4"/>
  <c r="E9" i="4"/>
  <c r="D8" i="4"/>
  <c r="E8" i="4"/>
  <c r="E7" i="4"/>
  <c r="D6" i="4"/>
  <c r="E6" i="4"/>
  <c r="D5" i="4"/>
  <c r="E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CBB41A-1391-48D4-830F-6ADAB1337F7C}" keepAlive="1" name="Query - Healthcare Data" description="Connection to the 'Healthcare Data' query in the workbook." type="5" refreshedVersion="0" background="1">
    <dbPr connection="Provider=Microsoft.Mashup.OleDb.1;Data Source=$Workbook$;Location=&quot;Healthcare Data&quot;;Extended Properties=&quot;&quot;" command="SELECT * FROM [Healthcare 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<sst xmlns="http://schemas.openxmlformats.org/spreadsheetml/2006/main" count="30219" uniqueCount="2592">
  <si>
    <t>Transaction ID</t>
  </si>
  <si>
    <t>Date</t>
  </si>
  <si>
    <t>Department</t>
  </si>
  <si>
    <t>Region</t>
  </si>
  <si>
    <t>Business Unit</t>
  </si>
  <si>
    <t>Category</t>
  </si>
  <si>
    <t>Type</t>
  </si>
  <si>
    <t>Budget Amount</t>
  </si>
  <si>
    <t>Actual Amount</t>
  </si>
  <si>
    <t>HTH00001</t>
  </si>
  <si>
    <t>Emergency</t>
  </si>
  <si>
    <t>Kerala</t>
  </si>
  <si>
    <t>Emergency Services</t>
  </si>
  <si>
    <t>Consultation Services</t>
  </si>
  <si>
    <t>Revenue</t>
  </si>
  <si>
    <t>HTH00002</t>
  </si>
  <si>
    <t>General Medicine</t>
  </si>
  <si>
    <t>Outpatient Services</t>
  </si>
  <si>
    <t>Administrative Costs</t>
  </si>
  <si>
    <t>Expense</t>
  </si>
  <si>
    <t>HTH00003</t>
  </si>
  <si>
    <t>Neurology</t>
  </si>
  <si>
    <t>Inpatient Services</t>
  </si>
  <si>
    <t>Treatment Services</t>
  </si>
  <si>
    <t>HTH00004</t>
  </si>
  <si>
    <t>Orthopedics</t>
  </si>
  <si>
    <t>Pharmacy Services</t>
  </si>
  <si>
    <t>HTH00005</t>
  </si>
  <si>
    <t>HTH00006</t>
  </si>
  <si>
    <t>HTH00007</t>
  </si>
  <si>
    <t>HTH00008</t>
  </si>
  <si>
    <t>Pediatrics</t>
  </si>
  <si>
    <t>HTH00009</t>
  </si>
  <si>
    <t>Medicines &amp; Supplies</t>
  </si>
  <si>
    <t>HTH00010</t>
  </si>
  <si>
    <t>HTH00011</t>
  </si>
  <si>
    <t>Laboratory</t>
  </si>
  <si>
    <t>Diagnostic Services</t>
  </si>
  <si>
    <t>HTH00012</t>
  </si>
  <si>
    <t>Medical Supplies</t>
  </si>
  <si>
    <t>HTH00013</t>
  </si>
  <si>
    <t>HTH00014</t>
  </si>
  <si>
    <t>Utilities</t>
  </si>
  <si>
    <t>HTH00015</t>
  </si>
  <si>
    <t>HTH00016</t>
  </si>
  <si>
    <t>HTH00017</t>
  </si>
  <si>
    <t>Staff Costs</t>
  </si>
  <si>
    <t>HTH00018</t>
  </si>
  <si>
    <t>HTH00019</t>
  </si>
  <si>
    <t>HTH00020</t>
  </si>
  <si>
    <t>HTH00021</t>
  </si>
  <si>
    <t>HTH00022</t>
  </si>
  <si>
    <t>HTH00023</t>
  </si>
  <si>
    <t>HTH00024</t>
  </si>
  <si>
    <t>HTH00025</t>
  </si>
  <si>
    <t>Radiology</t>
  </si>
  <si>
    <t>Equipment &amp; Maintenance</t>
  </si>
  <si>
    <t>HTH00026</t>
  </si>
  <si>
    <t>HTH00027</t>
  </si>
  <si>
    <t>Surgical Services</t>
  </si>
  <si>
    <t>HTH00028</t>
  </si>
  <si>
    <t>HTH00029</t>
  </si>
  <si>
    <t>Cardiology</t>
  </si>
  <si>
    <t>HTH00030</t>
  </si>
  <si>
    <t>HTH00031</t>
  </si>
  <si>
    <t>HTH00032</t>
  </si>
  <si>
    <t>HTH00033</t>
  </si>
  <si>
    <t>HTH00034</t>
  </si>
  <si>
    <t>HTH00035</t>
  </si>
  <si>
    <t>HTH00036</t>
  </si>
  <si>
    <t>HTH00037</t>
  </si>
  <si>
    <t>HTH00038</t>
  </si>
  <si>
    <t>HTH00039</t>
  </si>
  <si>
    <t>HTH00040</t>
  </si>
  <si>
    <t>HTH00041</t>
  </si>
  <si>
    <t>HTH00042</t>
  </si>
  <si>
    <t>HTH00043</t>
  </si>
  <si>
    <t>HTH00044</t>
  </si>
  <si>
    <t>HTH00045</t>
  </si>
  <si>
    <t>HTH00046</t>
  </si>
  <si>
    <t>HTH00047</t>
  </si>
  <si>
    <t>HTH00048</t>
  </si>
  <si>
    <t>HTH00049</t>
  </si>
  <si>
    <t>HTH00050</t>
  </si>
  <si>
    <t>HTH00051</t>
  </si>
  <si>
    <t>HTH00052</t>
  </si>
  <si>
    <t>HTH00053</t>
  </si>
  <si>
    <t>HTH00054</t>
  </si>
  <si>
    <t>HTH00055</t>
  </si>
  <si>
    <t>HTH00056</t>
  </si>
  <si>
    <t>HTH00057</t>
  </si>
  <si>
    <t>HTH00058</t>
  </si>
  <si>
    <t>HTH00059</t>
  </si>
  <si>
    <t>HTH00060</t>
  </si>
  <si>
    <t>HTH00061</t>
  </si>
  <si>
    <t>HTH00062</t>
  </si>
  <si>
    <t>HTH00063</t>
  </si>
  <si>
    <t>HTH00064</t>
  </si>
  <si>
    <t>HTH00065</t>
  </si>
  <si>
    <t>HTH00066</t>
  </si>
  <si>
    <t>HTH00067</t>
  </si>
  <si>
    <t>HTH00068</t>
  </si>
  <si>
    <t>HTH00069</t>
  </si>
  <si>
    <t>HTH00070</t>
  </si>
  <si>
    <t>HTH00071</t>
  </si>
  <si>
    <t>HTH00072</t>
  </si>
  <si>
    <t>HTH00073</t>
  </si>
  <si>
    <t>HTH00074</t>
  </si>
  <si>
    <t>HTH00075</t>
  </si>
  <si>
    <t>HTH00076</t>
  </si>
  <si>
    <t>HTH00077</t>
  </si>
  <si>
    <t>HTH00078</t>
  </si>
  <si>
    <t>HTH00079</t>
  </si>
  <si>
    <t>HTH00080</t>
  </si>
  <si>
    <t>HTH00081</t>
  </si>
  <si>
    <t>HTH00082</t>
  </si>
  <si>
    <t>HTH00083</t>
  </si>
  <si>
    <t>HTH00084</t>
  </si>
  <si>
    <t>HTH00085</t>
  </si>
  <si>
    <t>HTH00086</t>
  </si>
  <si>
    <t>HTH00087</t>
  </si>
  <si>
    <t>HTH00088</t>
  </si>
  <si>
    <t>HTH00089</t>
  </si>
  <si>
    <t>HTH00090</t>
  </si>
  <si>
    <t>HTH00091</t>
  </si>
  <si>
    <t>HTH00092</t>
  </si>
  <si>
    <t>HTH00093</t>
  </si>
  <si>
    <t>HTH00094</t>
  </si>
  <si>
    <t>HTH00095</t>
  </si>
  <si>
    <t>HTH00096</t>
  </si>
  <si>
    <t>HTH00097</t>
  </si>
  <si>
    <t>HTH00098</t>
  </si>
  <si>
    <t>HTH00099</t>
  </si>
  <si>
    <t>HTH00100</t>
  </si>
  <si>
    <t>HTH00101</t>
  </si>
  <si>
    <t>HTH00102</t>
  </si>
  <si>
    <t>HTH00103</t>
  </si>
  <si>
    <t>HTH00104</t>
  </si>
  <si>
    <t>HTH00105</t>
  </si>
  <si>
    <t>HTH00106</t>
  </si>
  <si>
    <t>HTH00107</t>
  </si>
  <si>
    <t>HTH00108</t>
  </si>
  <si>
    <t>HTH00109</t>
  </si>
  <si>
    <t>HTH00110</t>
  </si>
  <si>
    <t>HTH00111</t>
  </si>
  <si>
    <t>HTH00112</t>
  </si>
  <si>
    <t>HTH00113</t>
  </si>
  <si>
    <t>HTH00114</t>
  </si>
  <si>
    <t>HTH00115</t>
  </si>
  <si>
    <t>HTH00116</t>
  </si>
  <si>
    <t>HTH00117</t>
  </si>
  <si>
    <t>HTH00118</t>
  </si>
  <si>
    <t>HTH00119</t>
  </si>
  <si>
    <t>HTH00120</t>
  </si>
  <si>
    <t>HTH00121</t>
  </si>
  <si>
    <t>HTH00122</t>
  </si>
  <si>
    <t>HTH00123</t>
  </si>
  <si>
    <t>HTH00124</t>
  </si>
  <si>
    <t>HTH00125</t>
  </si>
  <si>
    <t>HTH00126</t>
  </si>
  <si>
    <t>HTH00127</t>
  </si>
  <si>
    <t>HTH00128</t>
  </si>
  <si>
    <t>HTH00129</t>
  </si>
  <si>
    <t>HTH00130</t>
  </si>
  <si>
    <t>HTH00131</t>
  </si>
  <si>
    <t>HTH00132</t>
  </si>
  <si>
    <t>HTH00133</t>
  </si>
  <si>
    <t>HTH00134</t>
  </si>
  <si>
    <t>HTH00135</t>
  </si>
  <si>
    <t>HTH00136</t>
  </si>
  <si>
    <t>HTH00137</t>
  </si>
  <si>
    <t>HTH00138</t>
  </si>
  <si>
    <t>HTH00139</t>
  </si>
  <si>
    <t>HTH00140</t>
  </si>
  <si>
    <t>HTH00141</t>
  </si>
  <si>
    <t>HTH00142</t>
  </si>
  <si>
    <t>HTH00143</t>
  </si>
  <si>
    <t>HTH00144</t>
  </si>
  <si>
    <t>HTH00145</t>
  </si>
  <si>
    <t>HTH00146</t>
  </si>
  <si>
    <t>HTH00147</t>
  </si>
  <si>
    <t>HTH00148</t>
  </si>
  <si>
    <t>HTH00149</t>
  </si>
  <si>
    <t>HTH00150</t>
  </si>
  <si>
    <t>HTH00151</t>
  </si>
  <si>
    <t>HTH00152</t>
  </si>
  <si>
    <t>HTH00153</t>
  </si>
  <si>
    <t>HTH00154</t>
  </si>
  <si>
    <t>HTH00155</t>
  </si>
  <si>
    <t>HTH00156</t>
  </si>
  <si>
    <t>HTH00157</t>
  </si>
  <si>
    <t>HTH00158</t>
  </si>
  <si>
    <t>HTH00159</t>
  </si>
  <si>
    <t>HTH00160</t>
  </si>
  <si>
    <t>HTH00161</t>
  </si>
  <si>
    <t>HTH00162</t>
  </si>
  <si>
    <t>HTH00163</t>
  </si>
  <si>
    <t>HTH00164</t>
  </si>
  <si>
    <t>HTH00165</t>
  </si>
  <si>
    <t>HTH00166</t>
  </si>
  <si>
    <t>HTH00167</t>
  </si>
  <si>
    <t>HTH00168</t>
  </si>
  <si>
    <t>HTH00169</t>
  </si>
  <si>
    <t>HTH00170</t>
  </si>
  <si>
    <t>HTH00171</t>
  </si>
  <si>
    <t>HTH00172</t>
  </si>
  <si>
    <t>HTH00173</t>
  </si>
  <si>
    <t>HTH00174</t>
  </si>
  <si>
    <t>HTH00175</t>
  </si>
  <si>
    <t>HTH00176</t>
  </si>
  <si>
    <t>HTH00177</t>
  </si>
  <si>
    <t>HTH00178</t>
  </si>
  <si>
    <t>HTH00179</t>
  </si>
  <si>
    <t>HTH00180</t>
  </si>
  <si>
    <t>HTH00181</t>
  </si>
  <si>
    <t>HTH00182</t>
  </si>
  <si>
    <t>HTH00183</t>
  </si>
  <si>
    <t>HTH00184</t>
  </si>
  <si>
    <t>HTH00185</t>
  </si>
  <si>
    <t>HTH00186</t>
  </si>
  <si>
    <t>HTH00187</t>
  </si>
  <si>
    <t>HTH00188</t>
  </si>
  <si>
    <t>HTH00189</t>
  </si>
  <si>
    <t>HTH00190</t>
  </si>
  <si>
    <t>HTH00191</t>
  </si>
  <si>
    <t>HTH00192</t>
  </si>
  <si>
    <t>HTH00193</t>
  </si>
  <si>
    <t>HTH00194</t>
  </si>
  <si>
    <t>HTH00195</t>
  </si>
  <si>
    <t>HTH00196</t>
  </si>
  <si>
    <t>HTH00197</t>
  </si>
  <si>
    <t>HTH00198</t>
  </si>
  <si>
    <t>HTH00199</t>
  </si>
  <si>
    <t>HTH00200</t>
  </si>
  <si>
    <t>HTH00201</t>
  </si>
  <si>
    <t>HTH00202</t>
  </si>
  <si>
    <t>HTH00203</t>
  </si>
  <si>
    <t>HTH00204</t>
  </si>
  <si>
    <t>HTH00205</t>
  </si>
  <si>
    <t>HTH00206</t>
  </si>
  <si>
    <t>HTH00207</t>
  </si>
  <si>
    <t>HTH00208</t>
  </si>
  <si>
    <t>HTH00209</t>
  </si>
  <si>
    <t>HTH00210</t>
  </si>
  <si>
    <t>HTH00211</t>
  </si>
  <si>
    <t>HTH00212</t>
  </si>
  <si>
    <t>HTH00213</t>
  </si>
  <si>
    <t>HTH00214</t>
  </si>
  <si>
    <t>HTH00215</t>
  </si>
  <si>
    <t>HTH00216</t>
  </si>
  <si>
    <t>HTH00217</t>
  </si>
  <si>
    <t>HTH00218</t>
  </si>
  <si>
    <t>HTH00219</t>
  </si>
  <si>
    <t>HTH00220</t>
  </si>
  <si>
    <t>HTH00221</t>
  </si>
  <si>
    <t>HTH00222</t>
  </si>
  <si>
    <t>HTH00223</t>
  </si>
  <si>
    <t>HTH00224</t>
  </si>
  <si>
    <t>HTH00225</t>
  </si>
  <si>
    <t>HTH00226</t>
  </si>
  <si>
    <t>HTH00227</t>
  </si>
  <si>
    <t>HTH00228</t>
  </si>
  <si>
    <t>HTH00229</t>
  </si>
  <si>
    <t>HTH00230</t>
  </si>
  <si>
    <t>HTH00231</t>
  </si>
  <si>
    <t>HTH00232</t>
  </si>
  <si>
    <t>HTH00233</t>
  </si>
  <si>
    <t>HTH00234</t>
  </si>
  <si>
    <t>HTH00235</t>
  </si>
  <si>
    <t>HTH00236</t>
  </si>
  <si>
    <t>HTH00237</t>
  </si>
  <si>
    <t>HTH00238</t>
  </si>
  <si>
    <t>HTH00239</t>
  </si>
  <si>
    <t>HTH00240</t>
  </si>
  <si>
    <t>HTH00241</t>
  </si>
  <si>
    <t>HTH00242</t>
  </si>
  <si>
    <t>HTH00243</t>
  </si>
  <si>
    <t>HTH00244</t>
  </si>
  <si>
    <t>HTH00245</t>
  </si>
  <si>
    <t>HTH00246</t>
  </si>
  <si>
    <t>HTH00247</t>
  </si>
  <si>
    <t>HTH00248</t>
  </si>
  <si>
    <t>HTH00249</t>
  </si>
  <si>
    <t>HTH00250</t>
  </si>
  <si>
    <t>HTH00251</t>
  </si>
  <si>
    <t>HTH00252</t>
  </si>
  <si>
    <t>HTH00253</t>
  </si>
  <si>
    <t>HTH00254</t>
  </si>
  <si>
    <t>HTH00255</t>
  </si>
  <si>
    <t>HTH00256</t>
  </si>
  <si>
    <t>HTH00257</t>
  </si>
  <si>
    <t>HTH00258</t>
  </si>
  <si>
    <t>HTH00259</t>
  </si>
  <si>
    <t>HTH00260</t>
  </si>
  <si>
    <t>HTH00261</t>
  </si>
  <si>
    <t>HTH00262</t>
  </si>
  <si>
    <t>HTH00263</t>
  </si>
  <si>
    <t>HTH00264</t>
  </si>
  <si>
    <t>HTH00265</t>
  </si>
  <si>
    <t>HTH00266</t>
  </si>
  <si>
    <t>HTH00267</t>
  </si>
  <si>
    <t>HTH00268</t>
  </si>
  <si>
    <t>HTH00269</t>
  </si>
  <si>
    <t>HTH00270</t>
  </si>
  <si>
    <t>HTH00271</t>
  </si>
  <si>
    <t>HTH00272</t>
  </si>
  <si>
    <t>HTH00273</t>
  </si>
  <si>
    <t>HTH00274</t>
  </si>
  <si>
    <t>HTH00275</t>
  </si>
  <si>
    <t>HTH00276</t>
  </si>
  <si>
    <t>HTH00277</t>
  </si>
  <si>
    <t>HTH00278</t>
  </si>
  <si>
    <t>HTH00279</t>
  </si>
  <si>
    <t>HTH00280</t>
  </si>
  <si>
    <t>HTH00281</t>
  </si>
  <si>
    <t>HTH00282</t>
  </si>
  <si>
    <t>HTH00283</t>
  </si>
  <si>
    <t>HTH00284</t>
  </si>
  <si>
    <t>HTH00285</t>
  </si>
  <si>
    <t>HTH00286</t>
  </si>
  <si>
    <t>HTH00287</t>
  </si>
  <si>
    <t>HTH00288</t>
  </si>
  <si>
    <t>HTH00289</t>
  </si>
  <si>
    <t>HTH00290</t>
  </si>
  <si>
    <t>HTH00291</t>
  </si>
  <si>
    <t>HTH00292</t>
  </si>
  <si>
    <t>HTH00293</t>
  </si>
  <si>
    <t>HTH00294</t>
  </si>
  <si>
    <t>HTH00295</t>
  </si>
  <si>
    <t>HTH00296</t>
  </si>
  <si>
    <t>HTH00297</t>
  </si>
  <si>
    <t>HTH00298</t>
  </si>
  <si>
    <t>HTH00299</t>
  </si>
  <si>
    <t>HTH00300</t>
  </si>
  <si>
    <t>HTH00301</t>
  </si>
  <si>
    <t>HTH00302</t>
  </si>
  <si>
    <t>HTH00303</t>
  </si>
  <si>
    <t>HTH00304</t>
  </si>
  <si>
    <t>HTH00305</t>
  </si>
  <si>
    <t>HTH00306</t>
  </si>
  <si>
    <t>HTH00307</t>
  </si>
  <si>
    <t>HTH00308</t>
  </si>
  <si>
    <t>HTH00309</t>
  </si>
  <si>
    <t>HTH00310</t>
  </si>
  <si>
    <t>HTH00311</t>
  </si>
  <si>
    <t>HTH00312</t>
  </si>
  <si>
    <t>HTH00313</t>
  </si>
  <si>
    <t>HTH00314</t>
  </si>
  <si>
    <t>HTH00315</t>
  </si>
  <si>
    <t>HTH00316</t>
  </si>
  <si>
    <t>HTH00317</t>
  </si>
  <si>
    <t>HTH00318</t>
  </si>
  <si>
    <t>HTH00319</t>
  </si>
  <si>
    <t>HTH00320</t>
  </si>
  <si>
    <t>HTH00321</t>
  </si>
  <si>
    <t>HTH00322</t>
  </si>
  <si>
    <t>HTH00323</t>
  </si>
  <si>
    <t>HTH00324</t>
  </si>
  <si>
    <t>HTH00325</t>
  </si>
  <si>
    <t>HTH00326</t>
  </si>
  <si>
    <t>HTH00327</t>
  </si>
  <si>
    <t>HTH00328</t>
  </si>
  <si>
    <t>HTH00329</t>
  </si>
  <si>
    <t>HTH00330</t>
  </si>
  <si>
    <t>HTH00331</t>
  </si>
  <si>
    <t>HTH00332</t>
  </si>
  <si>
    <t>HTH00333</t>
  </si>
  <si>
    <t>HTH00334</t>
  </si>
  <si>
    <t>HTH00335</t>
  </si>
  <si>
    <t>HTH00336</t>
  </si>
  <si>
    <t>HTH00337</t>
  </si>
  <si>
    <t>HTH00338</t>
  </si>
  <si>
    <t>HTH00339</t>
  </si>
  <si>
    <t>HTH00340</t>
  </si>
  <si>
    <t>HTH00341</t>
  </si>
  <si>
    <t>HTH00342</t>
  </si>
  <si>
    <t>HTH00343</t>
  </si>
  <si>
    <t>HTH00344</t>
  </si>
  <si>
    <t>HTH00345</t>
  </si>
  <si>
    <t>HTH00346</t>
  </si>
  <si>
    <t>HTH00347</t>
  </si>
  <si>
    <t>HTH00348</t>
  </si>
  <si>
    <t>HTH00349</t>
  </si>
  <si>
    <t>HTH00350</t>
  </si>
  <si>
    <t>HTH00351</t>
  </si>
  <si>
    <t>HTH00352</t>
  </si>
  <si>
    <t>HTH00353</t>
  </si>
  <si>
    <t>HTH00354</t>
  </si>
  <si>
    <t>HTH00355</t>
  </si>
  <si>
    <t>HTH00356</t>
  </si>
  <si>
    <t>HTH00357</t>
  </si>
  <si>
    <t>HTH00358</t>
  </si>
  <si>
    <t>HTH00359</t>
  </si>
  <si>
    <t>HTH00360</t>
  </si>
  <si>
    <t>HTH00361</t>
  </si>
  <si>
    <t>HTH00362</t>
  </si>
  <si>
    <t>HTH00363</t>
  </si>
  <si>
    <t>HTH00364</t>
  </si>
  <si>
    <t>HTH00365</t>
  </si>
  <si>
    <t>HTH00366</t>
  </si>
  <si>
    <t>HTH00367</t>
  </si>
  <si>
    <t>HTH00368</t>
  </si>
  <si>
    <t>HTH00369</t>
  </si>
  <si>
    <t>HTH00370</t>
  </si>
  <si>
    <t>HTH00371</t>
  </si>
  <si>
    <t>HTH00372</t>
  </si>
  <si>
    <t>HTH00373</t>
  </si>
  <si>
    <t>HTH00374</t>
  </si>
  <si>
    <t>HTH00375</t>
  </si>
  <si>
    <t>HTH00376</t>
  </si>
  <si>
    <t>HTH00377</t>
  </si>
  <si>
    <t>HTH00378</t>
  </si>
  <si>
    <t>HTH00379</t>
  </si>
  <si>
    <t>HTH00380</t>
  </si>
  <si>
    <t>HTH00381</t>
  </si>
  <si>
    <t>HTH00382</t>
  </si>
  <si>
    <t>HTH00383</t>
  </si>
  <si>
    <t>HTH00384</t>
  </si>
  <si>
    <t>HTH00385</t>
  </si>
  <si>
    <t>HTH00386</t>
  </si>
  <si>
    <t>HTH00387</t>
  </si>
  <si>
    <t>HTH00388</t>
  </si>
  <si>
    <t>HTH00389</t>
  </si>
  <si>
    <t>HTH00390</t>
  </si>
  <si>
    <t>HTH00391</t>
  </si>
  <si>
    <t>HTH00392</t>
  </si>
  <si>
    <t>HTH00393</t>
  </si>
  <si>
    <t>HTH00394</t>
  </si>
  <si>
    <t>HTH00395</t>
  </si>
  <si>
    <t>HTH00396</t>
  </si>
  <si>
    <t>HTH00397</t>
  </si>
  <si>
    <t>HTH00398</t>
  </si>
  <si>
    <t>HTH00399</t>
  </si>
  <si>
    <t>HTH00400</t>
  </si>
  <si>
    <t>HTH00401</t>
  </si>
  <si>
    <t>HTH00402</t>
  </si>
  <si>
    <t>HTH00403</t>
  </si>
  <si>
    <t>HTH00404</t>
  </si>
  <si>
    <t>HTH00405</t>
  </si>
  <si>
    <t>HTH00406</t>
  </si>
  <si>
    <t>HTH00407</t>
  </si>
  <si>
    <t>HTH00408</t>
  </si>
  <si>
    <t>HTH00409</t>
  </si>
  <si>
    <t>HTH00410</t>
  </si>
  <si>
    <t>HTH00411</t>
  </si>
  <si>
    <t>HTH00412</t>
  </si>
  <si>
    <t>HTH00413</t>
  </si>
  <si>
    <t>HTH00414</t>
  </si>
  <si>
    <t>HTH00415</t>
  </si>
  <si>
    <t>HTH00416</t>
  </si>
  <si>
    <t>HTH00417</t>
  </si>
  <si>
    <t>HTH00418</t>
  </si>
  <si>
    <t>HTH00419</t>
  </si>
  <si>
    <t>HTH00420</t>
  </si>
  <si>
    <t>HTH00421</t>
  </si>
  <si>
    <t>HTH00422</t>
  </si>
  <si>
    <t>HTH00423</t>
  </si>
  <si>
    <t>HTH00424</t>
  </si>
  <si>
    <t>HTH00425</t>
  </si>
  <si>
    <t>HTH00426</t>
  </si>
  <si>
    <t>HTH00427</t>
  </si>
  <si>
    <t>HTH00428</t>
  </si>
  <si>
    <t>HTH00429</t>
  </si>
  <si>
    <t>HTH00430</t>
  </si>
  <si>
    <t>HTH00431</t>
  </si>
  <si>
    <t>HTH00432</t>
  </si>
  <si>
    <t>HTH00433</t>
  </si>
  <si>
    <t>HTH00434</t>
  </si>
  <si>
    <t>HTH00435</t>
  </si>
  <si>
    <t>HTH00436</t>
  </si>
  <si>
    <t>HTH00437</t>
  </si>
  <si>
    <t>HTH00438</t>
  </si>
  <si>
    <t>HTH00439</t>
  </si>
  <si>
    <t>HTH00440</t>
  </si>
  <si>
    <t>HTH00441</t>
  </si>
  <si>
    <t>HTH00442</t>
  </si>
  <si>
    <t>HTH00443</t>
  </si>
  <si>
    <t>HTH00444</t>
  </si>
  <si>
    <t>HTH00445</t>
  </si>
  <si>
    <t>HTH00446</t>
  </si>
  <si>
    <t>HTH00447</t>
  </si>
  <si>
    <t>HTH00448</t>
  </si>
  <si>
    <t>HTH00449</t>
  </si>
  <si>
    <t>HTH00450</t>
  </si>
  <si>
    <t>HTH00451</t>
  </si>
  <si>
    <t>HTH00452</t>
  </si>
  <si>
    <t>HTH00453</t>
  </si>
  <si>
    <t>HTH00454</t>
  </si>
  <si>
    <t>HTH00455</t>
  </si>
  <si>
    <t>HTH00456</t>
  </si>
  <si>
    <t>HTH00457</t>
  </si>
  <si>
    <t>HTH00458</t>
  </si>
  <si>
    <t>HTH00459</t>
  </si>
  <si>
    <t>HTH00460</t>
  </si>
  <si>
    <t>HTH00461</t>
  </si>
  <si>
    <t>HTH00462</t>
  </si>
  <si>
    <t>HTH00463</t>
  </si>
  <si>
    <t>HTH00464</t>
  </si>
  <si>
    <t>HTH00465</t>
  </si>
  <si>
    <t>HTH00466</t>
  </si>
  <si>
    <t>HTH00467</t>
  </si>
  <si>
    <t>HTH00468</t>
  </si>
  <si>
    <t>HTH00469</t>
  </si>
  <si>
    <t>HTH00470</t>
  </si>
  <si>
    <t>HTH00471</t>
  </si>
  <si>
    <t>HTH00472</t>
  </si>
  <si>
    <t>HTH00473</t>
  </si>
  <si>
    <t>HTH00474</t>
  </si>
  <si>
    <t>HTH00475</t>
  </si>
  <si>
    <t>HTH00476</t>
  </si>
  <si>
    <t>HTH00477</t>
  </si>
  <si>
    <t>HTH00478</t>
  </si>
  <si>
    <t>HTH00479</t>
  </si>
  <si>
    <t>HTH00480</t>
  </si>
  <si>
    <t>HTH00481</t>
  </si>
  <si>
    <t>HTH00482</t>
  </si>
  <si>
    <t>HTH00483</t>
  </si>
  <si>
    <t>HTH00484</t>
  </si>
  <si>
    <t>HTH00485</t>
  </si>
  <si>
    <t>HTH00486</t>
  </si>
  <si>
    <t>HTH00487</t>
  </si>
  <si>
    <t>HTH00488</t>
  </si>
  <si>
    <t>HTH00489</t>
  </si>
  <si>
    <t>HTH00490</t>
  </si>
  <si>
    <t>HTH00491</t>
  </si>
  <si>
    <t>HTH00492</t>
  </si>
  <si>
    <t>HTH00493</t>
  </si>
  <si>
    <t>HTH00494</t>
  </si>
  <si>
    <t>HTH00495</t>
  </si>
  <si>
    <t>HTH00496</t>
  </si>
  <si>
    <t>HTH00497</t>
  </si>
  <si>
    <t>HTH00498</t>
  </si>
  <si>
    <t>HTH00499</t>
  </si>
  <si>
    <t>HTH00500</t>
  </si>
  <si>
    <t>HTH00501</t>
  </si>
  <si>
    <t>HTH00502</t>
  </si>
  <si>
    <t>HTH00503</t>
  </si>
  <si>
    <t>HTH00504</t>
  </si>
  <si>
    <t>HTH00505</t>
  </si>
  <si>
    <t>HTH00506</t>
  </si>
  <si>
    <t>HTH00507</t>
  </si>
  <si>
    <t>HTH00508</t>
  </si>
  <si>
    <t>HTH00509</t>
  </si>
  <si>
    <t>HTH00510</t>
  </si>
  <si>
    <t>HTH00511</t>
  </si>
  <si>
    <t>HTH00512</t>
  </si>
  <si>
    <t>HTH00513</t>
  </si>
  <si>
    <t>HTH00514</t>
  </si>
  <si>
    <t>HTH00515</t>
  </si>
  <si>
    <t>HTH00516</t>
  </si>
  <si>
    <t>HTH00517</t>
  </si>
  <si>
    <t>HTH00518</t>
  </si>
  <si>
    <t>HTH00519</t>
  </si>
  <si>
    <t>HTH00520</t>
  </si>
  <si>
    <t>HTH00521</t>
  </si>
  <si>
    <t>HTH00522</t>
  </si>
  <si>
    <t>HTH00523</t>
  </si>
  <si>
    <t>HTH00524</t>
  </si>
  <si>
    <t>HTH00525</t>
  </si>
  <si>
    <t>HTH00526</t>
  </si>
  <si>
    <t>HTH00527</t>
  </si>
  <si>
    <t>HTH00528</t>
  </si>
  <si>
    <t>HTH00529</t>
  </si>
  <si>
    <t>HTH00530</t>
  </si>
  <si>
    <t>HTH00531</t>
  </si>
  <si>
    <t>HTH00532</t>
  </si>
  <si>
    <t>HTH00533</t>
  </si>
  <si>
    <t>HTH00534</t>
  </si>
  <si>
    <t>HTH00535</t>
  </si>
  <si>
    <t>HTH00536</t>
  </si>
  <si>
    <t>HTH00537</t>
  </si>
  <si>
    <t>HTH00538</t>
  </si>
  <si>
    <t>HTH00539</t>
  </si>
  <si>
    <t>HTH00540</t>
  </si>
  <si>
    <t>HTH00541</t>
  </si>
  <si>
    <t>HTH00542</t>
  </si>
  <si>
    <t>HTH00543</t>
  </si>
  <si>
    <t>HTH00544</t>
  </si>
  <si>
    <t>HTH00545</t>
  </si>
  <si>
    <t>HTH00546</t>
  </si>
  <si>
    <t>HTH00547</t>
  </si>
  <si>
    <t>HTH00548</t>
  </si>
  <si>
    <t>HTH00549</t>
  </si>
  <si>
    <t>HTH00550</t>
  </si>
  <si>
    <t>HTH00551</t>
  </si>
  <si>
    <t>HTH00552</t>
  </si>
  <si>
    <t>HTH00553</t>
  </si>
  <si>
    <t>HTH00554</t>
  </si>
  <si>
    <t>HTH00555</t>
  </si>
  <si>
    <t>HTH00556</t>
  </si>
  <si>
    <t>HTH00557</t>
  </si>
  <si>
    <t>HTH00558</t>
  </si>
  <si>
    <t>HTH00559</t>
  </si>
  <si>
    <t>HTH00560</t>
  </si>
  <si>
    <t>HTH00561</t>
  </si>
  <si>
    <t>HTH00562</t>
  </si>
  <si>
    <t>HTH00563</t>
  </si>
  <si>
    <t>HTH00564</t>
  </si>
  <si>
    <t>HTH00565</t>
  </si>
  <si>
    <t>HTH00566</t>
  </si>
  <si>
    <t>HTH00567</t>
  </si>
  <si>
    <t>HTH00568</t>
  </si>
  <si>
    <t>HTH00569</t>
  </si>
  <si>
    <t>HTH00570</t>
  </si>
  <si>
    <t>HTH00571</t>
  </si>
  <si>
    <t>HTH00572</t>
  </si>
  <si>
    <t>HTH00573</t>
  </si>
  <si>
    <t>HTH00574</t>
  </si>
  <si>
    <t>HTH00575</t>
  </si>
  <si>
    <t>HTH00576</t>
  </si>
  <si>
    <t>HTH00577</t>
  </si>
  <si>
    <t>HTH00578</t>
  </si>
  <si>
    <t>HTH00579</t>
  </si>
  <si>
    <t>HTH00580</t>
  </si>
  <si>
    <t>HTH00581</t>
  </si>
  <si>
    <t>HTH00582</t>
  </si>
  <si>
    <t>HTH00583</t>
  </si>
  <si>
    <t>HTH00584</t>
  </si>
  <si>
    <t>HTH00585</t>
  </si>
  <si>
    <t>HTH00586</t>
  </si>
  <si>
    <t>HTH00587</t>
  </si>
  <si>
    <t>HTH00588</t>
  </si>
  <si>
    <t>HTH00589</t>
  </si>
  <si>
    <t>HTH00590</t>
  </si>
  <si>
    <t>HTH00591</t>
  </si>
  <si>
    <t>HTH00592</t>
  </si>
  <si>
    <t>HTH00593</t>
  </si>
  <si>
    <t>HTH00594</t>
  </si>
  <si>
    <t>HTH00595</t>
  </si>
  <si>
    <t>HTH00596</t>
  </si>
  <si>
    <t>HTH00597</t>
  </si>
  <si>
    <t>HTH00598</t>
  </si>
  <si>
    <t>HTH00599</t>
  </si>
  <si>
    <t>HTH00600</t>
  </si>
  <si>
    <t>HTH00601</t>
  </si>
  <si>
    <t>HTH00602</t>
  </si>
  <si>
    <t>HTH00603</t>
  </si>
  <si>
    <t>HTH00604</t>
  </si>
  <si>
    <t>HTH00605</t>
  </si>
  <si>
    <t>HTH00606</t>
  </si>
  <si>
    <t>HTH00607</t>
  </si>
  <si>
    <t>HTH00608</t>
  </si>
  <si>
    <t>HTH00609</t>
  </si>
  <si>
    <t>HTH00610</t>
  </si>
  <si>
    <t>HTH00611</t>
  </si>
  <si>
    <t>HTH00612</t>
  </si>
  <si>
    <t>HTH00613</t>
  </si>
  <si>
    <t>HTH00614</t>
  </si>
  <si>
    <t>HTH00615</t>
  </si>
  <si>
    <t>HTH00616</t>
  </si>
  <si>
    <t>HTH00617</t>
  </si>
  <si>
    <t>HTH00618</t>
  </si>
  <si>
    <t>HTH00619</t>
  </si>
  <si>
    <t>HTH00620</t>
  </si>
  <si>
    <t>HTH00621</t>
  </si>
  <si>
    <t>HTH00622</t>
  </si>
  <si>
    <t>HTH00623</t>
  </si>
  <si>
    <t>HTH00624</t>
  </si>
  <si>
    <t>HTH00625</t>
  </si>
  <si>
    <t>HTH00626</t>
  </si>
  <si>
    <t>HTH00627</t>
  </si>
  <si>
    <t>HTH00628</t>
  </si>
  <si>
    <t>HTH00629</t>
  </si>
  <si>
    <t>HTH00630</t>
  </si>
  <si>
    <t>HTH00631</t>
  </si>
  <si>
    <t>HTH00632</t>
  </si>
  <si>
    <t>HTH00633</t>
  </si>
  <si>
    <t>HTH00634</t>
  </si>
  <si>
    <t>HTH00635</t>
  </si>
  <si>
    <t>HTH00636</t>
  </si>
  <si>
    <t>HTH00637</t>
  </si>
  <si>
    <t>HTH00638</t>
  </si>
  <si>
    <t>HTH00639</t>
  </si>
  <si>
    <t>HTH00640</t>
  </si>
  <si>
    <t>HTH00641</t>
  </si>
  <si>
    <t>HTH00642</t>
  </si>
  <si>
    <t>HTH00643</t>
  </si>
  <si>
    <t>HTH00644</t>
  </si>
  <si>
    <t>HTH00645</t>
  </si>
  <si>
    <t>HTH00646</t>
  </si>
  <si>
    <t>HTH00647</t>
  </si>
  <si>
    <t>HTH00648</t>
  </si>
  <si>
    <t>HTH00649</t>
  </si>
  <si>
    <t>HTH00650</t>
  </si>
  <si>
    <t>HTH00651</t>
  </si>
  <si>
    <t>HTH00652</t>
  </si>
  <si>
    <t>HTH00653</t>
  </si>
  <si>
    <t>HTH00654</t>
  </si>
  <si>
    <t>HTH00655</t>
  </si>
  <si>
    <t>HTH00656</t>
  </si>
  <si>
    <t>HTH00657</t>
  </si>
  <si>
    <t>HTH00658</t>
  </si>
  <si>
    <t>HTH00659</t>
  </si>
  <si>
    <t>HTH00660</t>
  </si>
  <si>
    <t>HTH00661</t>
  </si>
  <si>
    <t>HTH00662</t>
  </si>
  <si>
    <t>HTH00663</t>
  </si>
  <si>
    <t>HTH00664</t>
  </si>
  <si>
    <t>HTH00665</t>
  </si>
  <si>
    <t>HTH00666</t>
  </si>
  <si>
    <t>HTH00667</t>
  </si>
  <si>
    <t>HTH00668</t>
  </si>
  <si>
    <t>HTH00669</t>
  </si>
  <si>
    <t>HTH00670</t>
  </si>
  <si>
    <t>HTH00671</t>
  </si>
  <si>
    <t>HTH00672</t>
  </si>
  <si>
    <t>HTH00673</t>
  </si>
  <si>
    <t>HTH00674</t>
  </si>
  <si>
    <t>HTH00675</t>
  </si>
  <si>
    <t>HTH00676</t>
  </si>
  <si>
    <t>HTH00677</t>
  </si>
  <si>
    <t>HTH00678</t>
  </si>
  <si>
    <t>HTH00679</t>
  </si>
  <si>
    <t>HTH00680</t>
  </si>
  <si>
    <t>HTH00681</t>
  </si>
  <si>
    <t>HTH00682</t>
  </si>
  <si>
    <t>HTH00683</t>
  </si>
  <si>
    <t>HTH00684</t>
  </si>
  <si>
    <t>HTH00685</t>
  </si>
  <si>
    <t>HTH00686</t>
  </si>
  <si>
    <t>HTH00687</t>
  </si>
  <si>
    <t>HTH00688</t>
  </si>
  <si>
    <t>HTH00689</t>
  </si>
  <si>
    <t>HTH00690</t>
  </si>
  <si>
    <t>HTH00691</t>
  </si>
  <si>
    <t>HTH00692</t>
  </si>
  <si>
    <t>HTH00693</t>
  </si>
  <si>
    <t>HTH00694</t>
  </si>
  <si>
    <t>HTH00695</t>
  </si>
  <si>
    <t>HTH00696</t>
  </si>
  <si>
    <t>HTH00697</t>
  </si>
  <si>
    <t>HTH00698</t>
  </si>
  <si>
    <t>HTH00699</t>
  </si>
  <si>
    <t>HTH00700</t>
  </si>
  <si>
    <t>HTH00701</t>
  </si>
  <si>
    <t>HTH00702</t>
  </si>
  <si>
    <t>HTH00703</t>
  </si>
  <si>
    <t>HTH00704</t>
  </si>
  <si>
    <t>HTH00705</t>
  </si>
  <si>
    <t>HTH00706</t>
  </si>
  <si>
    <t>HTH00707</t>
  </si>
  <si>
    <t>HTH00708</t>
  </si>
  <si>
    <t>HTH00709</t>
  </si>
  <si>
    <t>HTH00710</t>
  </si>
  <si>
    <t>HTH00711</t>
  </si>
  <si>
    <t>HTH00712</t>
  </si>
  <si>
    <t>HTH00713</t>
  </si>
  <si>
    <t>HTH00714</t>
  </si>
  <si>
    <t>HTH00715</t>
  </si>
  <si>
    <t>HTH00716</t>
  </si>
  <si>
    <t>HTH00717</t>
  </si>
  <si>
    <t>HTH00718</t>
  </si>
  <si>
    <t>HTH00719</t>
  </si>
  <si>
    <t>HTH00720</t>
  </si>
  <si>
    <t>HTH00721</t>
  </si>
  <si>
    <t>HTH00722</t>
  </si>
  <si>
    <t>HTH00723</t>
  </si>
  <si>
    <t>HTH00724</t>
  </si>
  <si>
    <t>HTH00725</t>
  </si>
  <si>
    <t>HTH00726</t>
  </si>
  <si>
    <t>HTH00727</t>
  </si>
  <si>
    <t>HTH00728</t>
  </si>
  <si>
    <t>HTH00729</t>
  </si>
  <si>
    <t>HTH00730</t>
  </si>
  <si>
    <t>HTH00731</t>
  </si>
  <si>
    <t>HTH00732</t>
  </si>
  <si>
    <t>HTH00733</t>
  </si>
  <si>
    <t>HTH00734</t>
  </si>
  <si>
    <t>HTH00735</t>
  </si>
  <si>
    <t>HTH00736</t>
  </si>
  <si>
    <t>HTH00737</t>
  </si>
  <si>
    <t>HTH00738</t>
  </si>
  <si>
    <t>HTH00739</t>
  </si>
  <si>
    <t>HTH00740</t>
  </si>
  <si>
    <t>HTH00741</t>
  </si>
  <si>
    <t>HTH00742</t>
  </si>
  <si>
    <t>HTH00743</t>
  </si>
  <si>
    <t>HTH00744</t>
  </si>
  <si>
    <t>HTH00745</t>
  </si>
  <si>
    <t>HTH00746</t>
  </si>
  <si>
    <t>HTH00747</t>
  </si>
  <si>
    <t>HTH00748</t>
  </si>
  <si>
    <t>HTH00749</t>
  </si>
  <si>
    <t>HTH00750</t>
  </si>
  <si>
    <t>HTH00751</t>
  </si>
  <si>
    <t>HTH00752</t>
  </si>
  <si>
    <t>HTH00753</t>
  </si>
  <si>
    <t>HTH00754</t>
  </si>
  <si>
    <t>HTH00755</t>
  </si>
  <si>
    <t>HTH00756</t>
  </si>
  <si>
    <t>HTH00757</t>
  </si>
  <si>
    <t>HTH00758</t>
  </si>
  <si>
    <t>HTH00759</t>
  </si>
  <si>
    <t>HTH00760</t>
  </si>
  <si>
    <t>HTH00761</t>
  </si>
  <si>
    <t>HTH00762</t>
  </si>
  <si>
    <t>HTH00763</t>
  </si>
  <si>
    <t>HTH00764</t>
  </si>
  <si>
    <t>HTH00765</t>
  </si>
  <si>
    <t>HTH00766</t>
  </si>
  <si>
    <t>HTH00767</t>
  </si>
  <si>
    <t>HTH00768</t>
  </si>
  <si>
    <t>HTH00769</t>
  </si>
  <si>
    <t>HTH00770</t>
  </si>
  <si>
    <t>HTH00771</t>
  </si>
  <si>
    <t>HTH00772</t>
  </si>
  <si>
    <t>HTH00773</t>
  </si>
  <si>
    <t>HTH00774</t>
  </si>
  <si>
    <t>HTH00775</t>
  </si>
  <si>
    <t>HTH00776</t>
  </si>
  <si>
    <t>HTH00777</t>
  </si>
  <si>
    <t>HTH00778</t>
  </si>
  <si>
    <t>HTH00779</t>
  </si>
  <si>
    <t>HTH00780</t>
  </si>
  <si>
    <t>HTH00781</t>
  </si>
  <si>
    <t>HTH00782</t>
  </si>
  <si>
    <t>HTH00783</t>
  </si>
  <si>
    <t>HTH00784</t>
  </si>
  <si>
    <t>HTH00785</t>
  </si>
  <si>
    <t>HTH00786</t>
  </si>
  <si>
    <t>HTH00787</t>
  </si>
  <si>
    <t>HTH00788</t>
  </si>
  <si>
    <t>HTH00789</t>
  </si>
  <si>
    <t>HTH00790</t>
  </si>
  <si>
    <t>HTH00791</t>
  </si>
  <si>
    <t>HTH00792</t>
  </si>
  <si>
    <t>HTH00793</t>
  </si>
  <si>
    <t>HTH00794</t>
  </si>
  <si>
    <t>HTH00795</t>
  </si>
  <si>
    <t>HTH00796</t>
  </si>
  <si>
    <t>HTH00797</t>
  </si>
  <si>
    <t>HTH00798</t>
  </si>
  <si>
    <t>HTH00799</t>
  </si>
  <si>
    <t>HTH00800</t>
  </si>
  <si>
    <t>HTH00801</t>
  </si>
  <si>
    <t>HTH00802</t>
  </si>
  <si>
    <t>HTH00803</t>
  </si>
  <si>
    <t>HTH00804</t>
  </si>
  <si>
    <t>HTH00805</t>
  </si>
  <si>
    <t>HTH00806</t>
  </si>
  <si>
    <t>HTH00807</t>
  </si>
  <si>
    <t>HTH00808</t>
  </si>
  <si>
    <t>HTH00809</t>
  </si>
  <si>
    <t>HTH00810</t>
  </si>
  <si>
    <t>HTH00811</t>
  </si>
  <si>
    <t>HTH00812</t>
  </si>
  <si>
    <t>HTH00813</t>
  </si>
  <si>
    <t>HTH00814</t>
  </si>
  <si>
    <t>HTH00815</t>
  </si>
  <si>
    <t>HTH00816</t>
  </si>
  <si>
    <t>HTH00817</t>
  </si>
  <si>
    <t>HTH00818</t>
  </si>
  <si>
    <t>HTH00819</t>
  </si>
  <si>
    <t>HTH00820</t>
  </si>
  <si>
    <t>HTH00821</t>
  </si>
  <si>
    <t>HTH00822</t>
  </si>
  <si>
    <t>HTH00823</t>
  </si>
  <si>
    <t>HTH00824</t>
  </si>
  <si>
    <t>HTH00825</t>
  </si>
  <si>
    <t>HTH00826</t>
  </si>
  <si>
    <t>HTH00827</t>
  </si>
  <si>
    <t>HTH00828</t>
  </si>
  <si>
    <t>HTH00829</t>
  </si>
  <si>
    <t>HTH00830</t>
  </si>
  <si>
    <t>HTH00831</t>
  </si>
  <si>
    <t>HTH00832</t>
  </si>
  <si>
    <t>HTH00833</t>
  </si>
  <si>
    <t>HTH00834</t>
  </si>
  <si>
    <t>HTH00835</t>
  </si>
  <si>
    <t>HTH00836</t>
  </si>
  <si>
    <t>HTH00837</t>
  </si>
  <si>
    <t>HTH00838</t>
  </si>
  <si>
    <t>HTH00839</t>
  </si>
  <si>
    <t>HTH00840</t>
  </si>
  <si>
    <t>HTH00841</t>
  </si>
  <si>
    <t>HTH00842</t>
  </si>
  <si>
    <t>HTH00843</t>
  </si>
  <si>
    <t>HTH00844</t>
  </si>
  <si>
    <t>HTH00845</t>
  </si>
  <si>
    <t>HTH00846</t>
  </si>
  <si>
    <t>HTH00847</t>
  </si>
  <si>
    <t>HTH00848</t>
  </si>
  <si>
    <t>HTH00849</t>
  </si>
  <si>
    <t>HTH00850</t>
  </si>
  <si>
    <t>HTH00851</t>
  </si>
  <si>
    <t>HTH00852</t>
  </si>
  <si>
    <t>HTH00853</t>
  </si>
  <si>
    <t>HTH00854</t>
  </si>
  <si>
    <t>HTH00855</t>
  </si>
  <si>
    <t>HTH00856</t>
  </si>
  <si>
    <t>HTH00857</t>
  </si>
  <si>
    <t>HTH00858</t>
  </si>
  <si>
    <t>HTH00859</t>
  </si>
  <si>
    <t>HTH00860</t>
  </si>
  <si>
    <t>HTH00861</t>
  </si>
  <si>
    <t>HTH00862</t>
  </si>
  <si>
    <t>HTH00863</t>
  </si>
  <si>
    <t>HTH00864</t>
  </si>
  <si>
    <t>HTH00865</t>
  </si>
  <si>
    <t>HTH00866</t>
  </si>
  <si>
    <t>HTH00867</t>
  </si>
  <si>
    <t>HTH00868</t>
  </si>
  <si>
    <t>HTH00869</t>
  </si>
  <si>
    <t>HTH00870</t>
  </si>
  <si>
    <t>HTH00871</t>
  </si>
  <si>
    <t>HTH00872</t>
  </si>
  <si>
    <t>HTH00873</t>
  </si>
  <si>
    <t>HTH00874</t>
  </si>
  <si>
    <t>HTH00875</t>
  </si>
  <si>
    <t>HTH00876</t>
  </si>
  <si>
    <t>HTH00877</t>
  </si>
  <si>
    <t>HTH00878</t>
  </si>
  <si>
    <t>HTH00879</t>
  </si>
  <si>
    <t>HTH00880</t>
  </si>
  <si>
    <t>HTH00881</t>
  </si>
  <si>
    <t>HTH00882</t>
  </si>
  <si>
    <t>HTH00883</t>
  </si>
  <si>
    <t>HTH00884</t>
  </si>
  <si>
    <t>HTH00885</t>
  </si>
  <si>
    <t>HTH00886</t>
  </si>
  <si>
    <t>HTH00887</t>
  </si>
  <si>
    <t>HTH00888</t>
  </si>
  <si>
    <t>HTH00889</t>
  </si>
  <si>
    <t>HTH00890</t>
  </si>
  <si>
    <t>HTH00891</t>
  </si>
  <si>
    <t>HTH00892</t>
  </si>
  <si>
    <t>HTH00893</t>
  </si>
  <si>
    <t>HTH00894</t>
  </si>
  <si>
    <t>HTH00895</t>
  </si>
  <si>
    <t>HTH00896</t>
  </si>
  <si>
    <t>HTH00897</t>
  </si>
  <si>
    <t>HTH00898</t>
  </si>
  <si>
    <t>HTH00899</t>
  </si>
  <si>
    <t>HTH00900</t>
  </si>
  <si>
    <t>HTH00901</t>
  </si>
  <si>
    <t>HTH00902</t>
  </si>
  <si>
    <t>HTH00903</t>
  </si>
  <si>
    <t>HTH00904</t>
  </si>
  <si>
    <t>HTH00905</t>
  </si>
  <si>
    <t>HTH00906</t>
  </si>
  <si>
    <t>HTH00907</t>
  </si>
  <si>
    <t>HTH00908</t>
  </si>
  <si>
    <t>HTH00909</t>
  </si>
  <si>
    <t>HTH00910</t>
  </si>
  <si>
    <t>HTH00911</t>
  </si>
  <si>
    <t>HTH00912</t>
  </si>
  <si>
    <t>HTH00913</t>
  </si>
  <si>
    <t>HTH00914</t>
  </si>
  <si>
    <t>HTH00915</t>
  </si>
  <si>
    <t>HTH00916</t>
  </si>
  <si>
    <t>HTH00917</t>
  </si>
  <si>
    <t>HTH00918</t>
  </si>
  <si>
    <t>HTH00919</t>
  </si>
  <si>
    <t>HTH00920</t>
  </si>
  <si>
    <t>HTH00921</t>
  </si>
  <si>
    <t>HTH00922</t>
  </si>
  <si>
    <t>HTH00923</t>
  </si>
  <si>
    <t>HTH00924</t>
  </si>
  <si>
    <t>HTH00925</t>
  </si>
  <si>
    <t>HTH00926</t>
  </si>
  <si>
    <t>HTH00927</t>
  </si>
  <si>
    <t>HTH00928</t>
  </si>
  <si>
    <t>HTH00929</t>
  </si>
  <si>
    <t>HTH00930</t>
  </si>
  <si>
    <t>HTH00931</t>
  </si>
  <si>
    <t>HTH00932</t>
  </si>
  <si>
    <t>HTH00933</t>
  </si>
  <si>
    <t>HTH00934</t>
  </si>
  <si>
    <t>HTH00935</t>
  </si>
  <si>
    <t>HTH00936</t>
  </si>
  <si>
    <t>HTH00937</t>
  </si>
  <si>
    <t>HTH00938</t>
  </si>
  <si>
    <t>HTH00939</t>
  </si>
  <si>
    <t>HTH00940</t>
  </si>
  <si>
    <t>HTH00941</t>
  </si>
  <si>
    <t>HTH00942</t>
  </si>
  <si>
    <t>HTH00943</t>
  </si>
  <si>
    <t>HTH00944</t>
  </si>
  <si>
    <t>HTH00945</t>
  </si>
  <si>
    <t>HTH00946</t>
  </si>
  <si>
    <t>HTH00947</t>
  </si>
  <si>
    <t>HTH00948</t>
  </si>
  <si>
    <t>HTH00949</t>
  </si>
  <si>
    <t>HTH00950</t>
  </si>
  <si>
    <t>HTH00951</t>
  </si>
  <si>
    <t>HTH00952</t>
  </si>
  <si>
    <t>HTH00953</t>
  </si>
  <si>
    <t>HTH00954</t>
  </si>
  <si>
    <t>HTH00955</t>
  </si>
  <si>
    <t>HTH00956</t>
  </si>
  <si>
    <t>HTH00957</t>
  </si>
  <si>
    <t>HTH00958</t>
  </si>
  <si>
    <t>HTH00959</t>
  </si>
  <si>
    <t>HTH00960</t>
  </si>
  <si>
    <t>HTH00961</t>
  </si>
  <si>
    <t>HTH00962</t>
  </si>
  <si>
    <t>HTH00963</t>
  </si>
  <si>
    <t>HTH00964</t>
  </si>
  <si>
    <t>HTH00965</t>
  </si>
  <si>
    <t>HTH00966</t>
  </si>
  <si>
    <t>HTH00967</t>
  </si>
  <si>
    <t>HTH00968</t>
  </si>
  <si>
    <t>HTH00969</t>
  </si>
  <si>
    <t>HTH00970</t>
  </si>
  <si>
    <t>HTH00971</t>
  </si>
  <si>
    <t>HTH00972</t>
  </si>
  <si>
    <t>HTH00973</t>
  </si>
  <si>
    <t>HTH00974</t>
  </si>
  <si>
    <t>HTH00975</t>
  </si>
  <si>
    <t>HTH00976</t>
  </si>
  <si>
    <t>HTH00977</t>
  </si>
  <si>
    <t>HTH00978</t>
  </si>
  <si>
    <t>HTH00979</t>
  </si>
  <si>
    <t>HTH00980</t>
  </si>
  <si>
    <t>HTH00981</t>
  </si>
  <si>
    <t>HTH00982</t>
  </si>
  <si>
    <t>HTH00983</t>
  </si>
  <si>
    <t>HTH00984</t>
  </si>
  <si>
    <t>HTH00985</t>
  </si>
  <si>
    <t>HTH00986</t>
  </si>
  <si>
    <t>HTH00987</t>
  </si>
  <si>
    <t>HTH00988</t>
  </si>
  <si>
    <t>HTH00989</t>
  </si>
  <si>
    <t>HTH00990</t>
  </si>
  <si>
    <t>HTH00991</t>
  </si>
  <si>
    <t>HTH00992</t>
  </si>
  <si>
    <t>HTH00993</t>
  </si>
  <si>
    <t>HTH00994</t>
  </si>
  <si>
    <t>HTH00995</t>
  </si>
  <si>
    <t>HTH00996</t>
  </si>
  <si>
    <t>HTH00997</t>
  </si>
  <si>
    <t>HTH00998</t>
  </si>
  <si>
    <t>HTH00999</t>
  </si>
  <si>
    <t>HTH01000</t>
  </si>
  <si>
    <t>HTH01001</t>
  </si>
  <si>
    <t>HTH01002</t>
  </si>
  <si>
    <t>HTH01003</t>
  </si>
  <si>
    <t>HTH01004</t>
  </si>
  <si>
    <t>HTH01005</t>
  </si>
  <si>
    <t>HTH01006</t>
  </si>
  <si>
    <t>HTH01007</t>
  </si>
  <si>
    <t>HTH01008</t>
  </si>
  <si>
    <t>HTH01009</t>
  </si>
  <si>
    <t>HTH01010</t>
  </si>
  <si>
    <t>HTH01011</t>
  </si>
  <si>
    <t>HTH01012</t>
  </si>
  <si>
    <t>HTH01013</t>
  </si>
  <si>
    <t>HTH01014</t>
  </si>
  <si>
    <t>HTH01015</t>
  </si>
  <si>
    <t>HTH01016</t>
  </si>
  <si>
    <t>HTH01017</t>
  </si>
  <si>
    <t>HTH01018</t>
  </si>
  <si>
    <t>HTH01019</t>
  </si>
  <si>
    <t>HTH01020</t>
  </si>
  <si>
    <t>HTH01021</t>
  </si>
  <si>
    <t>HTH01022</t>
  </si>
  <si>
    <t>HTH01023</t>
  </si>
  <si>
    <t>HTH01024</t>
  </si>
  <si>
    <t>HTH01025</t>
  </si>
  <si>
    <t>HTH01026</t>
  </si>
  <si>
    <t>HTH01027</t>
  </si>
  <si>
    <t>HTH01028</t>
  </si>
  <si>
    <t>HTH01029</t>
  </si>
  <si>
    <t>HTH01030</t>
  </si>
  <si>
    <t>HTH01031</t>
  </si>
  <si>
    <t>HTH01032</t>
  </si>
  <si>
    <t>HTH01033</t>
  </si>
  <si>
    <t>HTH01034</t>
  </si>
  <si>
    <t>HTH01035</t>
  </si>
  <si>
    <t>HTH01036</t>
  </si>
  <si>
    <t>HTH01037</t>
  </si>
  <si>
    <t>HTH01038</t>
  </si>
  <si>
    <t>HTH01039</t>
  </si>
  <si>
    <t>HTH01040</t>
  </si>
  <si>
    <t>HTH01041</t>
  </si>
  <si>
    <t>HTH01042</t>
  </si>
  <si>
    <t>HTH01043</t>
  </si>
  <si>
    <t>HTH01044</t>
  </si>
  <si>
    <t>HTH01045</t>
  </si>
  <si>
    <t>HTH01046</t>
  </si>
  <si>
    <t>HTH01047</t>
  </si>
  <si>
    <t>HTH01048</t>
  </si>
  <si>
    <t>HTH01049</t>
  </si>
  <si>
    <t>HTH01050</t>
  </si>
  <si>
    <t>HTH01051</t>
  </si>
  <si>
    <t>HTH01052</t>
  </si>
  <si>
    <t>HTH01053</t>
  </si>
  <si>
    <t>HTH01054</t>
  </si>
  <si>
    <t>HTH01055</t>
  </si>
  <si>
    <t>HTH01056</t>
  </si>
  <si>
    <t>HTH01057</t>
  </si>
  <si>
    <t>HTH01058</t>
  </si>
  <si>
    <t>HTH01059</t>
  </si>
  <si>
    <t>HTH01060</t>
  </si>
  <si>
    <t>HTH01061</t>
  </si>
  <si>
    <t>HTH01062</t>
  </si>
  <si>
    <t>HTH01063</t>
  </si>
  <si>
    <t>HTH01064</t>
  </si>
  <si>
    <t>HTH01065</t>
  </si>
  <si>
    <t>HTH01066</t>
  </si>
  <si>
    <t>HTH01067</t>
  </si>
  <si>
    <t>HTH01068</t>
  </si>
  <si>
    <t>HTH01069</t>
  </si>
  <si>
    <t>HTH01070</t>
  </si>
  <si>
    <t>HTH01071</t>
  </si>
  <si>
    <t>HTH01072</t>
  </si>
  <si>
    <t>HTH01073</t>
  </si>
  <si>
    <t>HTH01074</t>
  </si>
  <si>
    <t>HTH01075</t>
  </si>
  <si>
    <t>HTH01076</t>
  </si>
  <si>
    <t>HTH01077</t>
  </si>
  <si>
    <t>HTH01078</t>
  </si>
  <si>
    <t>HTH01079</t>
  </si>
  <si>
    <t>HTH01080</t>
  </si>
  <si>
    <t>HTH01081</t>
  </si>
  <si>
    <t>HTH01082</t>
  </si>
  <si>
    <t>HTH01083</t>
  </si>
  <si>
    <t>HTH01084</t>
  </si>
  <si>
    <t>HTH01085</t>
  </si>
  <si>
    <t>HTH01086</t>
  </si>
  <si>
    <t>HTH01087</t>
  </si>
  <si>
    <t>HTH01088</t>
  </si>
  <si>
    <t>HTH01089</t>
  </si>
  <si>
    <t>HTH01090</t>
  </si>
  <si>
    <t>HTH01091</t>
  </si>
  <si>
    <t>HTH01092</t>
  </si>
  <si>
    <t>HTH01093</t>
  </si>
  <si>
    <t>HTH01094</t>
  </si>
  <si>
    <t>HTH01095</t>
  </si>
  <si>
    <t>HTH01096</t>
  </si>
  <si>
    <t>HTH01097</t>
  </si>
  <si>
    <t>HTH01098</t>
  </si>
  <si>
    <t>HTH01099</t>
  </si>
  <si>
    <t>HTH01100</t>
  </si>
  <si>
    <t>HTH01101</t>
  </si>
  <si>
    <t>HTH01102</t>
  </si>
  <si>
    <t>HTH01103</t>
  </si>
  <si>
    <t>HTH01104</t>
  </si>
  <si>
    <t>HTH01105</t>
  </si>
  <si>
    <t>HTH01106</t>
  </si>
  <si>
    <t>HTH01107</t>
  </si>
  <si>
    <t>HTH01108</t>
  </si>
  <si>
    <t>HTH01109</t>
  </si>
  <si>
    <t>HTH01110</t>
  </si>
  <si>
    <t>HTH01111</t>
  </si>
  <si>
    <t>HTH01112</t>
  </si>
  <si>
    <t>HTH01113</t>
  </si>
  <si>
    <t>HTH01114</t>
  </si>
  <si>
    <t>HTH01115</t>
  </si>
  <si>
    <t>HTH01116</t>
  </si>
  <si>
    <t>HTH01117</t>
  </si>
  <si>
    <t>HTH01118</t>
  </si>
  <si>
    <t>HTH01119</t>
  </si>
  <si>
    <t>HTH01120</t>
  </si>
  <si>
    <t>HTH01121</t>
  </si>
  <si>
    <t>HTH01122</t>
  </si>
  <si>
    <t>HTH01123</t>
  </si>
  <si>
    <t>HTH01124</t>
  </si>
  <si>
    <t>HTH01125</t>
  </si>
  <si>
    <t>HTH01126</t>
  </si>
  <si>
    <t>HTH01127</t>
  </si>
  <si>
    <t>HTH01128</t>
  </si>
  <si>
    <t>HTH01129</t>
  </si>
  <si>
    <t>HTH01130</t>
  </si>
  <si>
    <t>HTH01131</t>
  </si>
  <si>
    <t>HTH01132</t>
  </si>
  <si>
    <t>HTH01133</t>
  </si>
  <si>
    <t>HTH01134</t>
  </si>
  <si>
    <t>HTH01135</t>
  </si>
  <si>
    <t>HTH01136</t>
  </si>
  <si>
    <t>HTH01137</t>
  </si>
  <si>
    <t>HTH01138</t>
  </si>
  <si>
    <t>HTH01139</t>
  </si>
  <si>
    <t>HTH01140</t>
  </si>
  <si>
    <t>HTH01141</t>
  </si>
  <si>
    <t>HTH01142</t>
  </si>
  <si>
    <t>HTH01143</t>
  </si>
  <si>
    <t>HTH01144</t>
  </si>
  <si>
    <t>HTH01145</t>
  </si>
  <si>
    <t>HTH01146</t>
  </si>
  <si>
    <t>HTH01147</t>
  </si>
  <si>
    <t>HTH01148</t>
  </si>
  <si>
    <t>HTH01149</t>
  </si>
  <si>
    <t>HTH01150</t>
  </si>
  <si>
    <t>HTH01151</t>
  </si>
  <si>
    <t>HTH01152</t>
  </si>
  <si>
    <t>HTH01153</t>
  </si>
  <si>
    <t>HTH01154</t>
  </si>
  <si>
    <t>HTH01155</t>
  </si>
  <si>
    <t>HTH01156</t>
  </si>
  <si>
    <t>HTH01157</t>
  </si>
  <si>
    <t>HTH01158</t>
  </si>
  <si>
    <t>HTH01159</t>
  </si>
  <si>
    <t>HTH01160</t>
  </si>
  <si>
    <t>HTH01161</t>
  </si>
  <si>
    <t>HTH01162</t>
  </si>
  <si>
    <t>HTH01163</t>
  </si>
  <si>
    <t>HTH01164</t>
  </si>
  <si>
    <t>HTH01165</t>
  </si>
  <si>
    <t>HTH01166</t>
  </si>
  <si>
    <t>HTH01167</t>
  </si>
  <si>
    <t>HTH01168</t>
  </si>
  <si>
    <t>HTH01169</t>
  </si>
  <si>
    <t>HTH01170</t>
  </si>
  <si>
    <t>HTH01171</t>
  </si>
  <si>
    <t>HTH01172</t>
  </si>
  <si>
    <t>HTH01173</t>
  </si>
  <si>
    <t>HTH01174</t>
  </si>
  <si>
    <t>HTH01175</t>
  </si>
  <si>
    <t>HTH01176</t>
  </si>
  <si>
    <t>HTH01177</t>
  </si>
  <si>
    <t>HTH01178</t>
  </si>
  <si>
    <t>HTH01179</t>
  </si>
  <si>
    <t>HTH01180</t>
  </si>
  <si>
    <t>HTH01181</t>
  </si>
  <si>
    <t>HTH01182</t>
  </si>
  <si>
    <t>HTH01183</t>
  </si>
  <si>
    <t>HTH01184</t>
  </si>
  <si>
    <t>HTH01185</t>
  </si>
  <si>
    <t>HTH01186</t>
  </si>
  <si>
    <t>HTH01187</t>
  </si>
  <si>
    <t>HTH01188</t>
  </si>
  <si>
    <t>HTH01189</t>
  </si>
  <si>
    <t>HTH01190</t>
  </si>
  <si>
    <t>HTH01191</t>
  </si>
  <si>
    <t>HTH01192</t>
  </si>
  <si>
    <t>HTH01193</t>
  </si>
  <si>
    <t>HTH01194</t>
  </si>
  <si>
    <t>HTH01195</t>
  </si>
  <si>
    <t>HTH01196</t>
  </si>
  <si>
    <t>HTH01197</t>
  </si>
  <si>
    <t>HTH01198</t>
  </si>
  <si>
    <t>HTH01199</t>
  </si>
  <si>
    <t>HTH01200</t>
  </si>
  <si>
    <t>HTH01201</t>
  </si>
  <si>
    <t>HTH01202</t>
  </si>
  <si>
    <t>HTH01203</t>
  </si>
  <si>
    <t>HTH01204</t>
  </si>
  <si>
    <t>HTH01205</t>
  </si>
  <si>
    <t>HTH01206</t>
  </si>
  <si>
    <t>HTH01207</t>
  </si>
  <si>
    <t>HTH01208</t>
  </si>
  <si>
    <t>HTH01209</t>
  </si>
  <si>
    <t>HTH01210</t>
  </si>
  <si>
    <t>HTH01211</t>
  </si>
  <si>
    <t>HTH01212</t>
  </si>
  <si>
    <t>HTH01213</t>
  </si>
  <si>
    <t>HTH01214</t>
  </si>
  <si>
    <t>HTH01215</t>
  </si>
  <si>
    <t>HTH01216</t>
  </si>
  <si>
    <t>HTH01217</t>
  </si>
  <si>
    <t>HTH01218</t>
  </si>
  <si>
    <t>HTH01219</t>
  </si>
  <si>
    <t>HTH01220</t>
  </si>
  <si>
    <t>HTH01221</t>
  </si>
  <si>
    <t>HTH01222</t>
  </si>
  <si>
    <t>HTH01223</t>
  </si>
  <si>
    <t>HTH01224</t>
  </si>
  <si>
    <t>HTH01225</t>
  </si>
  <si>
    <t>HTH01226</t>
  </si>
  <si>
    <t>HTH01227</t>
  </si>
  <si>
    <t>HTH01228</t>
  </si>
  <si>
    <t>HTH01229</t>
  </si>
  <si>
    <t>HTH01230</t>
  </si>
  <si>
    <t>HTH01231</t>
  </si>
  <si>
    <t>HTH01232</t>
  </si>
  <si>
    <t>HTH01233</t>
  </si>
  <si>
    <t>HTH01234</t>
  </si>
  <si>
    <t>HTH01235</t>
  </si>
  <si>
    <t>HTH01236</t>
  </si>
  <si>
    <t>HTH01237</t>
  </si>
  <si>
    <t>HTH01238</t>
  </si>
  <si>
    <t>HTH01239</t>
  </si>
  <si>
    <t>HTH01240</t>
  </si>
  <si>
    <t>HTH01241</t>
  </si>
  <si>
    <t>HTH01242</t>
  </si>
  <si>
    <t>HTH01243</t>
  </si>
  <si>
    <t>HTH01244</t>
  </si>
  <si>
    <t>HTH01245</t>
  </si>
  <si>
    <t>HTH01246</t>
  </si>
  <si>
    <t>HTH01247</t>
  </si>
  <si>
    <t>HTH01248</t>
  </si>
  <si>
    <t>HTH01249</t>
  </si>
  <si>
    <t>HTH01250</t>
  </si>
  <si>
    <t>HTH01251</t>
  </si>
  <si>
    <t>HTH01252</t>
  </si>
  <si>
    <t>HTH01253</t>
  </si>
  <si>
    <t>HTH01254</t>
  </si>
  <si>
    <t>HTH01255</t>
  </si>
  <si>
    <t>HTH01256</t>
  </si>
  <si>
    <t>HTH01257</t>
  </si>
  <si>
    <t>HTH01258</t>
  </si>
  <si>
    <t>HTH01259</t>
  </si>
  <si>
    <t>HTH01260</t>
  </si>
  <si>
    <t>HTH01261</t>
  </si>
  <si>
    <t>HTH01262</t>
  </si>
  <si>
    <t>HTH01263</t>
  </si>
  <si>
    <t>HTH01264</t>
  </si>
  <si>
    <t>HTH01265</t>
  </si>
  <si>
    <t>HTH01266</t>
  </si>
  <si>
    <t>HTH01267</t>
  </si>
  <si>
    <t>HTH01268</t>
  </si>
  <si>
    <t>HTH01269</t>
  </si>
  <si>
    <t>HTH01270</t>
  </si>
  <si>
    <t>HTH01271</t>
  </si>
  <si>
    <t>HTH01272</t>
  </si>
  <si>
    <t>HTH01273</t>
  </si>
  <si>
    <t>HTH01274</t>
  </si>
  <si>
    <t>HTH01275</t>
  </si>
  <si>
    <t>HTH01276</t>
  </si>
  <si>
    <t>HTH01277</t>
  </si>
  <si>
    <t>HTH01278</t>
  </si>
  <si>
    <t>HTH01279</t>
  </si>
  <si>
    <t>HTH01280</t>
  </si>
  <si>
    <t>HTH01281</t>
  </si>
  <si>
    <t>HTH01282</t>
  </si>
  <si>
    <t>HTH01283</t>
  </si>
  <si>
    <t>HTH01284</t>
  </si>
  <si>
    <t>HTH01285</t>
  </si>
  <si>
    <t>HTH01286</t>
  </si>
  <si>
    <t>HTH01287</t>
  </si>
  <si>
    <t>HTH01288</t>
  </si>
  <si>
    <t>HTH01289</t>
  </si>
  <si>
    <t>HTH01290</t>
  </si>
  <si>
    <t>HTH01291</t>
  </si>
  <si>
    <t>HTH01292</t>
  </si>
  <si>
    <t>HTH01293</t>
  </si>
  <si>
    <t>HTH01294</t>
  </si>
  <si>
    <t>HTH01295</t>
  </si>
  <si>
    <t>HTH01296</t>
  </si>
  <si>
    <t>HTH01297</t>
  </si>
  <si>
    <t>HTH01298</t>
  </si>
  <si>
    <t>HTH01299</t>
  </si>
  <si>
    <t>HTH01300</t>
  </si>
  <si>
    <t>HTH01301</t>
  </si>
  <si>
    <t>HTH01302</t>
  </si>
  <si>
    <t>HTH01303</t>
  </si>
  <si>
    <t>HTH01304</t>
  </si>
  <si>
    <t>HTH01305</t>
  </si>
  <si>
    <t>HTH01306</t>
  </si>
  <si>
    <t>HTH01307</t>
  </si>
  <si>
    <t>HTH01308</t>
  </si>
  <si>
    <t>HTH01309</t>
  </si>
  <si>
    <t>HTH01310</t>
  </si>
  <si>
    <t>HTH01311</t>
  </si>
  <si>
    <t>HTH01312</t>
  </si>
  <si>
    <t>HTH01313</t>
  </si>
  <si>
    <t>HTH01314</t>
  </si>
  <si>
    <t>HTH01315</t>
  </si>
  <si>
    <t>HTH01316</t>
  </si>
  <si>
    <t>HTH01317</t>
  </si>
  <si>
    <t>HTH01318</t>
  </si>
  <si>
    <t>HTH01319</t>
  </si>
  <si>
    <t>HTH01320</t>
  </si>
  <si>
    <t>HTH01321</t>
  </si>
  <si>
    <t>HTH01322</t>
  </si>
  <si>
    <t>HTH01323</t>
  </si>
  <si>
    <t>HTH01324</t>
  </si>
  <si>
    <t>HTH01325</t>
  </si>
  <si>
    <t>HTH01326</t>
  </si>
  <si>
    <t>HTH01327</t>
  </si>
  <si>
    <t>HTH01328</t>
  </si>
  <si>
    <t>HTH01329</t>
  </si>
  <si>
    <t>HTH01330</t>
  </si>
  <si>
    <t>HTH01331</t>
  </si>
  <si>
    <t>HTH01332</t>
  </si>
  <si>
    <t>HTH01333</t>
  </si>
  <si>
    <t>HTH01334</t>
  </si>
  <si>
    <t>HTH01335</t>
  </si>
  <si>
    <t>HTH01336</t>
  </si>
  <si>
    <t>HTH01337</t>
  </si>
  <si>
    <t>HTH01338</t>
  </si>
  <si>
    <t>HTH01339</t>
  </si>
  <si>
    <t>HTH01340</t>
  </si>
  <si>
    <t>HTH01341</t>
  </si>
  <si>
    <t>HTH01342</t>
  </si>
  <si>
    <t>HTH01343</t>
  </si>
  <si>
    <t>HTH01344</t>
  </si>
  <si>
    <t>HTH01345</t>
  </si>
  <si>
    <t>HTH01346</t>
  </si>
  <si>
    <t>HTH01347</t>
  </si>
  <si>
    <t>HTH01348</t>
  </si>
  <si>
    <t>HTH01349</t>
  </si>
  <si>
    <t>HTH01350</t>
  </si>
  <si>
    <t>HTH01351</t>
  </si>
  <si>
    <t>HTH01352</t>
  </si>
  <si>
    <t>HTH01353</t>
  </si>
  <si>
    <t>HTH01354</t>
  </si>
  <si>
    <t>HTH01355</t>
  </si>
  <si>
    <t>HTH01356</t>
  </si>
  <si>
    <t>HTH01357</t>
  </si>
  <si>
    <t>HTH01358</t>
  </si>
  <si>
    <t>HTH01359</t>
  </si>
  <si>
    <t>HTH01360</t>
  </si>
  <si>
    <t>HTH01361</t>
  </si>
  <si>
    <t>HTH01362</t>
  </si>
  <si>
    <t>HTH01363</t>
  </si>
  <si>
    <t>HTH01364</t>
  </si>
  <si>
    <t>HTH01365</t>
  </si>
  <si>
    <t>HTH01366</t>
  </si>
  <si>
    <t>HTH01367</t>
  </si>
  <si>
    <t>HTH01368</t>
  </si>
  <si>
    <t>HTH01369</t>
  </si>
  <si>
    <t>HTH01370</t>
  </si>
  <si>
    <t>HTH01371</t>
  </si>
  <si>
    <t>HTH01372</t>
  </si>
  <si>
    <t>HTH01373</t>
  </si>
  <si>
    <t>HTH01374</t>
  </si>
  <si>
    <t>HTH01375</t>
  </si>
  <si>
    <t>HTH01376</t>
  </si>
  <si>
    <t>HTH01377</t>
  </si>
  <si>
    <t>HTH01378</t>
  </si>
  <si>
    <t>HTH01379</t>
  </si>
  <si>
    <t>HTH01380</t>
  </si>
  <si>
    <t>HTH01381</t>
  </si>
  <si>
    <t>HTH01382</t>
  </si>
  <si>
    <t>HTH01383</t>
  </si>
  <si>
    <t>HTH01384</t>
  </si>
  <si>
    <t>HTH01385</t>
  </si>
  <si>
    <t>HTH01386</t>
  </si>
  <si>
    <t>HTH01387</t>
  </si>
  <si>
    <t>HTH01388</t>
  </si>
  <si>
    <t>HTH01389</t>
  </si>
  <si>
    <t>HTH01390</t>
  </si>
  <si>
    <t>HTH01391</t>
  </si>
  <si>
    <t>HTH01392</t>
  </si>
  <si>
    <t>HTH01393</t>
  </si>
  <si>
    <t>HTH01394</t>
  </si>
  <si>
    <t>HTH01395</t>
  </si>
  <si>
    <t>HTH01396</t>
  </si>
  <si>
    <t>HTH01397</t>
  </si>
  <si>
    <t>HTH01398</t>
  </si>
  <si>
    <t>HTH01399</t>
  </si>
  <si>
    <t>HTH01400</t>
  </si>
  <si>
    <t>HTH01401</t>
  </si>
  <si>
    <t>HTH01402</t>
  </si>
  <si>
    <t>HTH01403</t>
  </si>
  <si>
    <t>HTH01404</t>
  </si>
  <si>
    <t>HTH01405</t>
  </si>
  <si>
    <t>HTH01406</t>
  </si>
  <si>
    <t>HTH01407</t>
  </si>
  <si>
    <t>HTH01408</t>
  </si>
  <si>
    <t>HTH01409</t>
  </si>
  <si>
    <t>HTH01410</t>
  </si>
  <si>
    <t>HTH01411</t>
  </si>
  <si>
    <t>HTH01412</t>
  </si>
  <si>
    <t>HTH01413</t>
  </si>
  <si>
    <t>HTH01414</t>
  </si>
  <si>
    <t>HTH01415</t>
  </si>
  <si>
    <t>HTH01416</t>
  </si>
  <si>
    <t>HTH01417</t>
  </si>
  <si>
    <t>HTH01418</t>
  </si>
  <si>
    <t>HTH01419</t>
  </si>
  <si>
    <t>HTH01420</t>
  </si>
  <si>
    <t>HTH01421</t>
  </si>
  <si>
    <t>HTH01422</t>
  </si>
  <si>
    <t>HTH01423</t>
  </si>
  <si>
    <t>HTH01424</t>
  </si>
  <si>
    <t>HTH01425</t>
  </si>
  <si>
    <t>HTH01426</t>
  </si>
  <si>
    <t>HTH01427</t>
  </si>
  <si>
    <t>HTH01428</t>
  </si>
  <si>
    <t>HTH01429</t>
  </si>
  <si>
    <t>HTH01430</t>
  </si>
  <si>
    <t>HTH01431</t>
  </si>
  <si>
    <t>HTH01432</t>
  </si>
  <si>
    <t>HTH01433</t>
  </si>
  <si>
    <t>HTH01434</t>
  </si>
  <si>
    <t>HTH01435</t>
  </si>
  <si>
    <t>HTH01436</t>
  </si>
  <si>
    <t>HTH01437</t>
  </si>
  <si>
    <t>HTH01438</t>
  </si>
  <si>
    <t>HTH01439</t>
  </si>
  <si>
    <t>HTH01440</t>
  </si>
  <si>
    <t>HTH01441</t>
  </si>
  <si>
    <t>HTH01442</t>
  </si>
  <si>
    <t>HTH01443</t>
  </si>
  <si>
    <t>HTH01444</t>
  </si>
  <si>
    <t>HTH01445</t>
  </si>
  <si>
    <t>HTH01446</t>
  </si>
  <si>
    <t>HTH01447</t>
  </si>
  <si>
    <t>HTH01448</t>
  </si>
  <si>
    <t>HTH01449</t>
  </si>
  <si>
    <t>HTH01450</t>
  </si>
  <si>
    <t>HTH01451</t>
  </si>
  <si>
    <t>HTH01452</t>
  </si>
  <si>
    <t>HTH01453</t>
  </si>
  <si>
    <t>HTH01454</t>
  </si>
  <si>
    <t>HTH01455</t>
  </si>
  <si>
    <t>HTH01456</t>
  </si>
  <si>
    <t>HTH01457</t>
  </si>
  <si>
    <t>HTH01458</t>
  </si>
  <si>
    <t>HTH01459</t>
  </si>
  <si>
    <t>HTH01460</t>
  </si>
  <si>
    <t>HTH01461</t>
  </si>
  <si>
    <t>HTH01462</t>
  </si>
  <si>
    <t>HTH01463</t>
  </si>
  <si>
    <t>HTH01464</t>
  </si>
  <si>
    <t>HTH01465</t>
  </si>
  <si>
    <t>HTH01466</t>
  </si>
  <si>
    <t>HTH01467</t>
  </si>
  <si>
    <t>HTH01468</t>
  </si>
  <si>
    <t>HTH01469</t>
  </si>
  <si>
    <t>HTH01470</t>
  </si>
  <si>
    <t>HTH01471</t>
  </si>
  <si>
    <t>HTH01472</t>
  </si>
  <si>
    <t>HTH01473</t>
  </si>
  <si>
    <t>HTH01474</t>
  </si>
  <si>
    <t>HTH01475</t>
  </si>
  <si>
    <t>HTH01476</t>
  </si>
  <si>
    <t>HTH01477</t>
  </si>
  <si>
    <t>HTH01478</t>
  </si>
  <si>
    <t>HTH01479</t>
  </si>
  <si>
    <t>HTH01480</t>
  </si>
  <si>
    <t>HTH01481</t>
  </si>
  <si>
    <t>HTH01482</t>
  </si>
  <si>
    <t>HTH01483</t>
  </si>
  <si>
    <t>HTH01484</t>
  </si>
  <si>
    <t>HTH01485</t>
  </si>
  <si>
    <t>HTH01486</t>
  </si>
  <si>
    <t>HTH01487</t>
  </si>
  <si>
    <t>HTH01488</t>
  </si>
  <si>
    <t>HTH01489</t>
  </si>
  <si>
    <t>HTH01490</t>
  </si>
  <si>
    <t>HTH01491</t>
  </si>
  <si>
    <t>HTH01492</t>
  </si>
  <si>
    <t>HTH01493</t>
  </si>
  <si>
    <t>HTH01494</t>
  </si>
  <si>
    <t>HTH01495</t>
  </si>
  <si>
    <t>HTH01496</t>
  </si>
  <si>
    <t>HTH01497</t>
  </si>
  <si>
    <t>HTH01498</t>
  </si>
  <si>
    <t>HTH01499</t>
  </si>
  <si>
    <t>HTH01500</t>
  </si>
  <si>
    <t>HTH01501</t>
  </si>
  <si>
    <t>HTH01502</t>
  </si>
  <si>
    <t>HTH01503</t>
  </si>
  <si>
    <t>HTH01504</t>
  </si>
  <si>
    <t>HTH01505</t>
  </si>
  <si>
    <t>HTH01506</t>
  </si>
  <si>
    <t>HTH01507</t>
  </si>
  <si>
    <t>HTH01508</t>
  </si>
  <si>
    <t>HTH01509</t>
  </si>
  <si>
    <t>HTH01510</t>
  </si>
  <si>
    <t>HTH01511</t>
  </si>
  <si>
    <t>HTH01512</t>
  </si>
  <si>
    <t>HTH01513</t>
  </si>
  <si>
    <t>HTH01514</t>
  </si>
  <si>
    <t>HTH01515</t>
  </si>
  <si>
    <t>HTH01516</t>
  </si>
  <si>
    <t>HTH01517</t>
  </si>
  <si>
    <t>HTH01518</t>
  </si>
  <si>
    <t>HTH01519</t>
  </si>
  <si>
    <t>HTH01520</t>
  </si>
  <si>
    <t>HTH01521</t>
  </si>
  <si>
    <t>HTH01522</t>
  </si>
  <si>
    <t>HTH01523</t>
  </si>
  <si>
    <t>HTH01524</t>
  </si>
  <si>
    <t>HTH01525</t>
  </si>
  <si>
    <t>HTH01526</t>
  </si>
  <si>
    <t>HTH01527</t>
  </si>
  <si>
    <t>HTH01528</t>
  </si>
  <si>
    <t>HTH01529</t>
  </si>
  <si>
    <t>HTH01530</t>
  </si>
  <si>
    <t>HTH01531</t>
  </si>
  <si>
    <t>HTH01532</t>
  </si>
  <si>
    <t>HTH01533</t>
  </si>
  <si>
    <t>HTH01534</t>
  </si>
  <si>
    <t>HTH01535</t>
  </si>
  <si>
    <t>HTH01536</t>
  </si>
  <si>
    <t>HTH01537</t>
  </si>
  <si>
    <t>HTH01538</t>
  </si>
  <si>
    <t>HTH01539</t>
  </si>
  <si>
    <t>HTH01540</t>
  </si>
  <si>
    <t>HTH01541</t>
  </si>
  <si>
    <t>HTH01542</t>
  </si>
  <si>
    <t>HTH01543</t>
  </si>
  <si>
    <t>HTH01544</t>
  </si>
  <si>
    <t>HTH01545</t>
  </si>
  <si>
    <t>HTH01546</t>
  </si>
  <si>
    <t>HTH01547</t>
  </si>
  <si>
    <t>HTH01548</t>
  </si>
  <si>
    <t>HTH01549</t>
  </si>
  <si>
    <t>HTH01550</t>
  </si>
  <si>
    <t>HTH01551</t>
  </si>
  <si>
    <t>HTH01552</t>
  </si>
  <si>
    <t>HTH01553</t>
  </si>
  <si>
    <t>HTH01554</t>
  </si>
  <si>
    <t>HTH01555</t>
  </si>
  <si>
    <t>HTH01556</t>
  </si>
  <si>
    <t>HTH01557</t>
  </si>
  <si>
    <t>HTH01558</t>
  </si>
  <si>
    <t>HTH01559</t>
  </si>
  <si>
    <t>HTH01560</t>
  </si>
  <si>
    <t>HTH01561</t>
  </si>
  <si>
    <t>HTH01562</t>
  </si>
  <si>
    <t>HTH01563</t>
  </si>
  <si>
    <t>HTH01564</t>
  </si>
  <si>
    <t>HTH01565</t>
  </si>
  <si>
    <t>HTH01566</t>
  </si>
  <si>
    <t>HTH01567</t>
  </si>
  <si>
    <t>HTH01568</t>
  </si>
  <si>
    <t>HTH01569</t>
  </si>
  <si>
    <t>HTH01570</t>
  </si>
  <si>
    <t>HTH01571</t>
  </si>
  <si>
    <t>HTH01572</t>
  </si>
  <si>
    <t>HTH01573</t>
  </si>
  <si>
    <t>HTH01574</t>
  </si>
  <si>
    <t>HTH01575</t>
  </si>
  <si>
    <t>HTH01576</t>
  </si>
  <si>
    <t>HTH01577</t>
  </si>
  <si>
    <t>HTH01578</t>
  </si>
  <si>
    <t>HTH01579</t>
  </si>
  <si>
    <t>HTH01580</t>
  </si>
  <si>
    <t>HTH01581</t>
  </si>
  <si>
    <t>HTH01582</t>
  </si>
  <si>
    <t>HTH01583</t>
  </si>
  <si>
    <t>HTH01584</t>
  </si>
  <si>
    <t>HTH01585</t>
  </si>
  <si>
    <t>HTH01586</t>
  </si>
  <si>
    <t>HTH01587</t>
  </si>
  <si>
    <t>HTH01588</t>
  </si>
  <si>
    <t>HTH01589</t>
  </si>
  <si>
    <t>HTH01590</t>
  </si>
  <si>
    <t>HTH01591</t>
  </si>
  <si>
    <t>HTH01592</t>
  </si>
  <si>
    <t>HTH01593</t>
  </si>
  <si>
    <t>HTH01594</t>
  </si>
  <si>
    <t>HTH01595</t>
  </si>
  <si>
    <t>HTH01596</t>
  </si>
  <si>
    <t>HTH01597</t>
  </si>
  <si>
    <t>HTH01598</t>
  </si>
  <si>
    <t>HTH01599</t>
  </si>
  <si>
    <t>HTH01600</t>
  </si>
  <si>
    <t>HTH01601</t>
  </si>
  <si>
    <t>HTH01602</t>
  </si>
  <si>
    <t>HTH01603</t>
  </si>
  <si>
    <t>HTH01604</t>
  </si>
  <si>
    <t>HTH01605</t>
  </si>
  <si>
    <t>HTH01606</t>
  </si>
  <si>
    <t>HTH01607</t>
  </si>
  <si>
    <t>HTH01608</t>
  </si>
  <si>
    <t>HTH01609</t>
  </si>
  <si>
    <t>HTH01610</t>
  </si>
  <si>
    <t>HTH01611</t>
  </si>
  <si>
    <t>HTH01612</t>
  </si>
  <si>
    <t>HTH01613</t>
  </si>
  <si>
    <t>HTH01614</t>
  </si>
  <si>
    <t>HTH01615</t>
  </si>
  <si>
    <t>HTH01616</t>
  </si>
  <si>
    <t>HTH01617</t>
  </si>
  <si>
    <t>HTH01618</t>
  </si>
  <si>
    <t>HTH01619</t>
  </si>
  <si>
    <t>HTH01620</t>
  </si>
  <si>
    <t>HTH01621</t>
  </si>
  <si>
    <t>HTH01622</t>
  </si>
  <si>
    <t>HTH01623</t>
  </si>
  <si>
    <t>HTH01624</t>
  </si>
  <si>
    <t>HTH01625</t>
  </si>
  <si>
    <t>HTH01626</t>
  </si>
  <si>
    <t>HTH01627</t>
  </si>
  <si>
    <t>HTH01628</t>
  </si>
  <si>
    <t>HTH01629</t>
  </si>
  <si>
    <t>HTH01630</t>
  </si>
  <si>
    <t>HTH01631</t>
  </si>
  <si>
    <t>HTH01632</t>
  </si>
  <si>
    <t>HTH01633</t>
  </si>
  <si>
    <t>HTH01634</t>
  </si>
  <si>
    <t>HTH01635</t>
  </si>
  <si>
    <t>HTH01636</t>
  </si>
  <si>
    <t>HTH01637</t>
  </si>
  <si>
    <t>HTH01638</t>
  </si>
  <si>
    <t>HTH01639</t>
  </si>
  <si>
    <t>HTH01640</t>
  </si>
  <si>
    <t>HTH01641</t>
  </si>
  <si>
    <t>HTH01642</t>
  </si>
  <si>
    <t>HTH01643</t>
  </si>
  <si>
    <t>HTH01644</t>
  </si>
  <si>
    <t>HTH01645</t>
  </si>
  <si>
    <t>HTH01646</t>
  </si>
  <si>
    <t>HTH01647</t>
  </si>
  <si>
    <t>HTH01648</t>
  </si>
  <si>
    <t>HTH01649</t>
  </si>
  <si>
    <t>HTH01650</t>
  </si>
  <si>
    <t>HTH01651</t>
  </si>
  <si>
    <t>HTH01652</t>
  </si>
  <si>
    <t>HTH01653</t>
  </si>
  <si>
    <t>HTH01654</t>
  </si>
  <si>
    <t>HTH01655</t>
  </si>
  <si>
    <t>HTH01656</t>
  </si>
  <si>
    <t>HTH01657</t>
  </si>
  <si>
    <t>HTH01658</t>
  </si>
  <si>
    <t>HTH01659</t>
  </si>
  <si>
    <t>HTH01660</t>
  </si>
  <si>
    <t>HTH01661</t>
  </si>
  <si>
    <t>HTH01662</t>
  </si>
  <si>
    <t>HTH01663</t>
  </si>
  <si>
    <t>HTH01664</t>
  </si>
  <si>
    <t>HTH01665</t>
  </si>
  <si>
    <t>HTH01666</t>
  </si>
  <si>
    <t>HTH01667</t>
  </si>
  <si>
    <t>HTH01668</t>
  </si>
  <si>
    <t>HTH01669</t>
  </si>
  <si>
    <t>HTH01670</t>
  </si>
  <si>
    <t>HTH01671</t>
  </si>
  <si>
    <t>HTH01672</t>
  </si>
  <si>
    <t>HTH01673</t>
  </si>
  <si>
    <t>HTH01674</t>
  </si>
  <si>
    <t>HTH01675</t>
  </si>
  <si>
    <t>HTH01676</t>
  </si>
  <si>
    <t>HTH01677</t>
  </si>
  <si>
    <t>HTH01678</t>
  </si>
  <si>
    <t>HTH01679</t>
  </si>
  <si>
    <t>HTH01680</t>
  </si>
  <si>
    <t>HTH01681</t>
  </si>
  <si>
    <t>HTH01682</t>
  </si>
  <si>
    <t>HTH01683</t>
  </si>
  <si>
    <t>HTH01684</t>
  </si>
  <si>
    <t>HTH01685</t>
  </si>
  <si>
    <t>HTH01686</t>
  </si>
  <si>
    <t>HTH01687</t>
  </si>
  <si>
    <t>HTH01688</t>
  </si>
  <si>
    <t>HTH01689</t>
  </si>
  <si>
    <t>HTH01690</t>
  </si>
  <si>
    <t>HTH01691</t>
  </si>
  <si>
    <t>HTH01692</t>
  </si>
  <si>
    <t>HTH01693</t>
  </si>
  <si>
    <t>HTH01694</t>
  </si>
  <si>
    <t>HTH01695</t>
  </si>
  <si>
    <t>HTH01696</t>
  </si>
  <si>
    <t>HTH01697</t>
  </si>
  <si>
    <t>HTH01698</t>
  </si>
  <si>
    <t>HTH01699</t>
  </si>
  <si>
    <t>HTH01700</t>
  </si>
  <si>
    <t>HTH01701</t>
  </si>
  <si>
    <t>HTH01702</t>
  </si>
  <si>
    <t>HTH01703</t>
  </si>
  <si>
    <t>HTH01704</t>
  </si>
  <si>
    <t>HTH01705</t>
  </si>
  <si>
    <t>HTH01706</t>
  </si>
  <si>
    <t>HTH01707</t>
  </si>
  <si>
    <t>HTH01708</t>
  </si>
  <si>
    <t>HTH01709</t>
  </si>
  <si>
    <t>HTH01710</t>
  </si>
  <si>
    <t>HTH01711</t>
  </si>
  <si>
    <t>HTH01712</t>
  </si>
  <si>
    <t>HTH01713</t>
  </si>
  <si>
    <t>HTH01714</t>
  </si>
  <si>
    <t>HTH01715</t>
  </si>
  <si>
    <t>HTH01716</t>
  </si>
  <si>
    <t>HTH01717</t>
  </si>
  <si>
    <t>HTH01718</t>
  </si>
  <si>
    <t>HTH01719</t>
  </si>
  <si>
    <t>HTH01720</t>
  </si>
  <si>
    <t>HTH01721</t>
  </si>
  <si>
    <t>HTH01722</t>
  </si>
  <si>
    <t>HTH01723</t>
  </si>
  <si>
    <t>HTH01724</t>
  </si>
  <si>
    <t>HTH01725</t>
  </si>
  <si>
    <t>HTH01726</t>
  </si>
  <si>
    <t>HTH01727</t>
  </si>
  <si>
    <t>HTH01728</t>
  </si>
  <si>
    <t>HTH01729</t>
  </si>
  <si>
    <t>HTH01730</t>
  </si>
  <si>
    <t>HTH01731</t>
  </si>
  <si>
    <t>HTH01732</t>
  </si>
  <si>
    <t>HTH01733</t>
  </si>
  <si>
    <t>HTH01734</t>
  </si>
  <si>
    <t>HTH01735</t>
  </si>
  <si>
    <t>HTH01736</t>
  </si>
  <si>
    <t>HTH01737</t>
  </si>
  <si>
    <t>HTH01738</t>
  </si>
  <si>
    <t>HTH01739</t>
  </si>
  <si>
    <t>HTH01740</t>
  </si>
  <si>
    <t>HTH01741</t>
  </si>
  <si>
    <t>HTH01742</t>
  </si>
  <si>
    <t>HTH01743</t>
  </si>
  <si>
    <t>HTH01744</t>
  </si>
  <si>
    <t>HTH01745</t>
  </si>
  <si>
    <t>HTH01746</t>
  </si>
  <si>
    <t>HTH01747</t>
  </si>
  <si>
    <t>HTH01748</t>
  </si>
  <si>
    <t>HTH01749</t>
  </si>
  <si>
    <t>HTH01750</t>
  </si>
  <si>
    <t>HTH01751</t>
  </si>
  <si>
    <t>HTH01752</t>
  </si>
  <si>
    <t>HTH01753</t>
  </si>
  <si>
    <t>HTH01754</t>
  </si>
  <si>
    <t>HTH01755</t>
  </si>
  <si>
    <t>HTH01756</t>
  </si>
  <si>
    <t>HTH01757</t>
  </si>
  <si>
    <t>HTH01758</t>
  </si>
  <si>
    <t>HTH01759</t>
  </si>
  <si>
    <t>HTH01760</t>
  </si>
  <si>
    <t>HTH01761</t>
  </si>
  <si>
    <t>HTH01762</t>
  </si>
  <si>
    <t>HTH01763</t>
  </si>
  <si>
    <t>HTH01764</t>
  </si>
  <si>
    <t>HTH01765</t>
  </si>
  <si>
    <t>HTH01766</t>
  </si>
  <si>
    <t>HTH01767</t>
  </si>
  <si>
    <t>HTH01768</t>
  </si>
  <si>
    <t>HTH01769</t>
  </si>
  <si>
    <t>HTH01770</t>
  </si>
  <si>
    <t>HTH01771</t>
  </si>
  <si>
    <t>HTH01772</t>
  </si>
  <si>
    <t>HTH01773</t>
  </si>
  <si>
    <t>HTH01774</t>
  </si>
  <si>
    <t>HTH01775</t>
  </si>
  <si>
    <t>HTH01776</t>
  </si>
  <si>
    <t>HTH01777</t>
  </si>
  <si>
    <t>HTH01778</t>
  </si>
  <si>
    <t>HTH01779</t>
  </si>
  <si>
    <t>HTH01780</t>
  </si>
  <si>
    <t>HTH01781</t>
  </si>
  <si>
    <t>HTH01782</t>
  </si>
  <si>
    <t>HTH01783</t>
  </si>
  <si>
    <t>HTH01784</t>
  </si>
  <si>
    <t>HTH01785</t>
  </si>
  <si>
    <t>HTH01786</t>
  </si>
  <si>
    <t>HTH01787</t>
  </si>
  <si>
    <t>HTH01788</t>
  </si>
  <si>
    <t>HTH01789</t>
  </si>
  <si>
    <t>HTH01790</t>
  </si>
  <si>
    <t>HTH01791</t>
  </si>
  <si>
    <t>HTH01792</t>
  </si>
  <si>
    <t>HTH01793</t>
  </si>
  <si>
    <t>HTH01794</t>
  </si>
  <si>
    <t>HTH01795</t>
  </si>
  <si>
    <t>HTH01796</t>
  </si>
  <si>
    <t>HTH01797</t>
  </si>
  <si>
    <t>HTH01798</t>
  </si>
  <si>
    <t>HTH01799</t>
  </si>
  <si>
    <t>HTH01800</t>
  </si>
  <si>
    <t>HTH01801</t>
  </si>
  <si>
    <t>HTH01802</t>
  </si>
  <si>
    <t>HTH01803</t>
  </si>
  <si>
    <t>HTH01804</t>
  </si>
  <si>
    <t>HTH01805</t>
  </si>
  <si>
    <t>HTH01806</t>
  </si>
  <si>
    <t>HTH01807</t>
  </si>
  <si>
    <t>HTH01808</t>
  </si>
  <si>
    <t>HTH01809</t>
  </si>
  <si>
    <t>HTH01810</t>
  </si>
  <si>
    <t>HTH01811</t>
  </si>
  <si>
    <t>HTH01812</t>
  </si>
  <si>
    <t>HTH01813</t>
  </si>
  <si>
    <t>HTH01814</t>
  </si>
  <si>
    <t>HTH01815</t>
  </si>
  <si>
    <t>HTH01816</t>
  </si>
  <si>
    <t>HTH01817</t>
  </si>
  <si>
    <t>HTH01818</t>
  </si>
  <si>
    <t>HTH01819</t>
  </si>
  <si>
    <t>HTH01820</t>
  </si>
  <si>
    <t>HTH01821</t>
  </si>
  <si>
    <t>HTH01822</t>
  </si>
  <si>
    <t>HTH01823</t>
  </si>
  <si>
    <t>HTH01824</t>
  </si>
  <si>
    <t>HTH01825</t>
  </si>
  <si>
    <t>HTH01826</t>
  </si>
  <si>
    <t>HTH01827</t>
  </si>
  <si>
    <t>HTH01828</t>
  </si>
  <si>
    <t>HTH01829</t>
  </si>
  <si>
    <t>HTH01830</t>
  </si>
  <si>
    <t>HTH01831</t>
  </si>
  <si>
    <t>HTH01832</t>
  </si>
  <si>
    <t>HTH01833</t>
  </si>
  <si>
    <t>HTH01834</t>
  </si>
  <si>
    <t>HTH01835</t>
  </si>
  <si>
    <t>HTH01836</t>
  </si>
  <si>
    <t>HTH01837</t>
  </si>
  <si>
    <t>HTH01838</t>
  </si>
  <si>
    <t>HTH01839</t>
  </si>
  <si>
    <t>HTH01840</t>
  </si>
  <si>
    <t>HTH01841</t>
  </si>
  <si>
    <t>HTH01842</t>
  </si>
  <si>
    <t>HTH01843</t>
  </si>
  <si>
    <t>HTH01844</t>
  </si>
  <si>
    <t>HTH01845</t>
  </si>
  <si>
    <t>HTH01846</t>
  </si>
  <si>
    <t>HTH01847</t>
  </si>
  <si>
    <t>HTH01848</t>
  </si>
  <si>
    <t>HTH01849</t>
  </si>
  <si>
    <t>HTH01850</t>
  </si>
  <si>
    <t>HTH01851</t>
  </si>
  <si>
    <t>HTH01852</t>
  </si>
  <si>
    <t>HTH01853</t>
  </si>
  <si>
    <t>HTH01854</t>
  </si>
  <si>
    <t>HTH01855</t>
  </si>
  <si>
    <t>HTH01856</t>
  </si>
  <si>
    <t>HTH01857</t>
  </si>
  <si>
    <t>HTH01858</t>
  </si>
  <si>
    <t>HTH01859</t>
  </si>
  <si>
    <t>HTH01860</t>
  </si>
  <si>
    <t>HTH01861</t>
  </si>
  <si>
    <t>HTH01862</t>
  </si>
  <si>
    <t>HTH01863</t>
  </si>
  <si>
    <t>HTH01864</t>
  </si>
  <si>
    <t>HTH01865</t>
  </si>
  <si>
    <t>HTH01866</t>
  </si>
  <si>
    <t>HTH01867</t>
  </si>
  <si>
    <t>HTH01868</t>
  </si>
  <si>
    <t>HTH01869</t>
  </si>
  <si>
    <t>HTH01870</t>
  </si>
  <si>
    <t>HTH01871</t>
  </si>
  <si>
    <t>HTH01872</t>
  </si>
  <si>
    <t>HTH01873</t>
  </si>
  <si>
    <t>HTH01874</t>
  </si>
  <si>
    <t>HTH01875</t>
  </si>
  <si>
    <t>HTH01876</t>
  </si>
  <si>
    <t>HTH01877</t>
  </si>
  <si>
    <t>HTH01878</t>
  </si>
  <si>
    <t>HTH01879</t>
  </si>
  <si>
    <t>HTH01880</t>
  </si>
  <si>
    <t>HTH01881</t>
  </si>
  <si>
    <t>HTH01882</t>
  </si>
  <si>
    <t>HTH01883</t>
  </si>
  <si>
    <t>HTH01884</t>
  </si>
  <si>
    <t>HTH01885</t>
  </si>
  <si>
    <t>HTH01886</t>
  </si>
  <si>
    <t>HTH01887</t>
  </si>
  <si>
    <t>HTH01888</t>
  </si>
  <si>
    <t>HTH01889</t>
  </si>
  <si>
    <t>HTH01890</t>
  </si>
  <si>
    <t>HTH01891</t>
  </si>
  <si>
    <t>HTH01892</t>
  </si>
  <si>
    <t>HTH01893</t>
  </si>
  <si>
    <t>HTH01894</t>
  </si>
  <si>
    <t>HTH01895</t>
  </si>
  <si>
    <t>HTH01896</t>
  </si>
  <si>
    <t>HTH01897</t>
  </si>
  <si>
    <t>HTH01898</t>
  </si>
  <si>
    <t>HTH01899</t>
  </si>
  <si>
    <t>HTH01900</t>
  </si>
  <si>
    <t>HTH01901</t>
  </si>
  <si>
    <t>HTH01902</t>
  </si>
  <si>
    <t>HTH01903</t>
  </si>
  <si>
    <t>HTH01904</t>
  </si>
  <si>
    <t>HTH01905</t>
  </si>
  <si>
    <t>HTH01906</t>
  </si>
  <si>
    <t>HTH01907</t>
  </si>
  <si>
    <t>HTH01908</t>
  </si>
  <si>
    <t>HTH01909</t>
  </si>
  <si>
    <t>HTH01910</t>
  </si>
  <si>
    <t>HTH01911</t>
  </si>
  <si>
    <t>HTH01912</t>
  </si>
  <si>
    <t>HTH01913</t>
  </si>
  <si>
    <t>HTH01914</t>
  </si>
  <si>
    <t>HTH01915</t>
  </si>
  <si>
    <t>HTH01916</t>
  </si>
  <si>
    <t>HTH01917</t>
  </si>
  <si>
    <t>HTH01918</t>
  </si>
  <si>
    <t>HTH01919</t>
  </si>
  <si>
    <t>HTH01920</t>
  </si>
  <si>
    <t>HTH01921</t>
  </si>
  <si>
    <t>HTH01922</t>
  </si>
  <si>
    <t>HTH01923</t>
  </si>
  <si>
    <t>HTH01924</t>
  </si>
  <si>
    <t>HTH01925</t>
  </si>
  <si>
    <t>HTH01926</t>
  </si>
  <si>
    <t>HTH01927</t>
  </si>
  <si>
    <t>HTH01928</t>
  </si>
  <si>
    <t>HTH01929</t>
  </si>
  <si>
    <t>HTH01930</t>
  </si>
  <si>
    <t>HTH01931</t>
  </si>
  <si>
    <t>HTH01932</t>
  </si>
  <si>
    <t>HTH01933</t>
  </si>
  <si>
    <t>HTH01934</t>
  </si>
  <si>
    <t>HTH01935</t>
  </si>
  <si>
    <t>HTH01936</t>
  </si>
  <si>
    <t>HTH01937</t>
  </si>
  <si>
    <t>HTH01938</t>
  </si>
  <si>
    <t>HTH01939</t>
  </si>
  <si>
    <t>HTH01940</t>
  </si>
  <si>
    <t>HTH01941</t>
  </si>
  <si>
    <t>HTH01942</t>
  </si>
  <si>
    <t>HTH01943</t>
  </si>
  <si>
    <t>HTH01944</t>
  </si>
  <si>
    <t>HTH01945</t>
  </si>
  <si>
    <t>HTH01946</t>
  </si>
  <si>
    <t>HTH01947</t>
  </si>
  <si>
    <t>HTH01948</t>
  </si>
  <si>
    <t>HTH01949</t>
  </si>
  <si>
    <t>HTH01950</t>
  </si>
  <si>
    <t>HTH01951</t>
  </si>
  <si>
    <t>HTH01952</t>
  </si>
  <si>
    <t>HTH01953</t>
  </si>
  <si>
    <t>HTH01954</t>
  </si>
  <si>
    <t>HTH01955</t>
  </si>
  <si>
    <t>HTH01956</t>
  </si>
  <si>
    <t>HTH01957</t>
  </si>
  <si>
    <t>HTH01958</t>
  </si>
  <si>
    <t>HTH01959</t>
  </si>
  <si>
    <t>HTH01960</t>
  </si>
  <si>
    <t>HTH01961</t>
  </si>
  <si>
    <t>HTH01962</t>
  </si>
  <si>
    <t>HTH01963</t>
  </si>
  <si>
    <t>HTH01964</t>
  </si>
  <si>
    <t>HTH01965</t>
  </si>
  <si>
    <t>HTH01966</t>
  </si>
  <si>
    <t>HTH01967</t>
  </si>
  <si>
    <t>HTH01968</t>
  </si>
  <si>
    <t>HTH01969</t>
  </si>
  <si>
    <t>HTH01970</t>
  </si>
  <si>
    <t>HTH01971</t>
  </si>
  <si>
    <t>HTH01972</t>
  </si>
  <si>
    <t>HTH01973</t>
  </si>
  <si>
    <t>HTH01974</t>
  </si>
  <si>
    <t>HTH01975</t>
  </si>
  <si>
    <t>HTH01976</t>
  </si>
  <si>
    <t>HTH01977</t>
  </si>
  <si>
    <t>HTH01978</t>
  </si>
  <si>
    <t>HTH01979</t>
  </si>
  <si>
    <t>HTH01980</t>
  </si>
  <si>
    <t>HTH01981</t>
  </si>
  <si>
    <t>HTH01982</t>
  </si>
  <si>
    <t>HTH01983</t>
  </si>
  <si>
    <t>HTH01984</t>
  </si>
  <si>
    <t>HTH01985</t>
  </si>
  <si>
    <t>HTH01986</t>
  </si>
  <si>
    <t>HTH01987</t>
  </si>
  <si>
    <t>HTH01988</t>
  </si>
  <si>
    <t>HTH01989</t>
  </si>
  <si>
    <t>HTH01990</t>
  </si>
  <si>
    <t>HTH01991</t>
  </si>
  <si>
    <t>HTH01992</t>
  </si>
  <si>
    <t>HTH01993</t>
  </si>
  <si>
    <t>HTH01994</t>
  </si>
  <si>
    <t>HTH01995</t>
  </si>
  <si>
    <t>HTH01996</t>
  </si>
  <si>
    <t>HTH01997</t>
  </si>
  <si>
    <t>HTH01998</t>
  </si>
  <si>
    <t>HTH01999</t>
  </si>
  <si>
    <t>HTH02000</t>
  </si>
  <si>
    <t>HTH02001</t>
  </si>
  <si>
    <t>HTH02002</t>
  </si>
  <si>
    <t>HTH02003</t>
  </si>
  <si>
    <t>HTH02004</t>
  </si>
  <si>
    <t>HTH02005</t>
  </si>
  <si>
    <t>HTH02006</t>
  </si>
  <si>
    <t>HTH02007</t>
  </si>
  <si>
    <t>HTH02008</t>
  </si>
  <si>
    <t>HTH02009</t>
  </si>
  <si>
    <t>HTH02010</t>
  </si>
  <si>
    <t>HTH02011</t>
  </si>
  <si>
    <t>HTH02012</t>
  </si>
  <si>
    <t>HTH02013</t>
  </si>
  <si>
    <t>HTH02014</t>
  </si>
  <si>
    <t>HTH02015</t>
  </si>
  <si>
    <t>HTH02016</t>
  </si>
  <si>
    <t>HTH02017</t>
  </si>
  <si>
    <t>HTH02018</t>
  </si>
  <si>
    <t>HTH02019</t>
  </si>
  <si>
    <t>HTH02020</t>
  </si>
  <si>
    <t>HTH02021</t>
  </si>
  <si>
    <t>HTH02022</t>
  </si>
  <si>
    <t>HTH02023</t>
  </si>
  <si>
    <t>HTH02024</t>
  </si>
  <si>
    <t>HTH02025</t>
  </si>
  <si>
    <t>HTH02026</t>
  </si>
  <si>
    <t>HTH02027</t>
  </si>
  <si>
    <t>HTH02028</t>
  </si>
  <si>
    <t>HTH02029</t>
  </si>
  <si>
    <t>HTH02030</t>
  </si>
  <si>
    <t>HTH02031</t>
  </si>
  <si>
    <t>HTH02032</t>
  </si>
  <si>
    <t>HTH02033</t>
  </si>
  <si>
    <t>HTH02034</t>
  </si>
  <si>
    <t>HTH02035</t>
  </si>
  <si>
    <t>HTH02036</t>
  </si>
  <si>
    <t>HTH02037</t>
  </si>
  <si>
    <t>HTH02038</t>
  </si>
  <si>
    <t>HTH02039</t>
  </si>
  <si>
    <t>HTH02040</t>
  </si>
  <si>
    <t>HTH02041</t>
  </si>
  <si>
    <t>HTH02042</t>
  </si>
  <si>
    <t>HTH02043</t>
  </si>
  <si>
    <t>HTH02044</t>
  </si>
  <si>
    <t>HTH02045</t>
  </si>
  <si>
    <t>HTH02046</t>
  </si>
  <si>
    <t>HTH02047</t>
  </si>
  <si>
    <t>HTH02048</t>
  </si>
  <si>
    <t>HTH02049</t>
  </si>
  <si>
    <t>HTH02050</t>
  </si>
  <si>
    <t>HTH02051</t>
  </si>
  <si>
    <t>HTH02052</t>
  </si>
  <si>
    <t>HTH02053</t>
  </si>
  <si>
    <t>HTH02054</t>
  </si>
  <si>
    <t>HTH02055</t>
  </si>
  <si>
    <t>HTH02056</t>
  </si>
  <si>
    <t>HTH02057</t>
  </si>
  <si>
    <t>HTH02058</t>
  </si>
  <si>
    <t>HTH02059</t>
  </si>
  <si>
    <t>HTH02060</t>
  </si>
  <si>
    <t>HTH02061</t>
  </si>
  <si>
    <t>HTH02062</t>
  </si>
  <si>
    <t>HTH02063</t>
  </si>
  <si>
    <t>HTH02064</t>
  </si>
  <si>
    <t>HTH02065</t>
  </si>
  <si>
    <t>HTH02066</t>
  </si>
  <si>
    <t>HTH02067</t>
  </si>
  <si>
    <t>HTH02068</t>
  </si>
  <si>
    <t>HTH02069</t>
  </si>
  <si>
    <t>HTH02070</t>
  </si>
  <si>
    <t>HTH02071</t>
  </si>
  <si>
    <t>HTH02072</t>
  </si>
  <si>
    <t>HTH02073</t>
  </si>
  <si>
    <t>HTH02074</t>
  </si>
  <si>
    <t>HTH02075</t>
  </si>
  <si>
    <t>HTH02076</t>
  </si>
  <si>
    <t>HTH02077</t>
  </si>
  <si>
    <t>HTH02078</t>
  </si>
  <si>
    <t>HTH02079</t>
  </si>
  <si>
    <t>HTH02080</t>
  </si>
  <si>
    <t>HTH02081</t>
  </si>
  <si>
    <t>HTH02082</t>
  </si>
  <si>
    <t>HTH02083</t>
  </si>
  <si>
    <t>HTH02084</t>
  </si>
  <si>
    <t>HTH02085</t>
  </si>
  <si>
    <t>HTH02086</t>
  </si>
  <si>
    <t>HTH02087</t>
  </si>
  <si>
    <t>HTH02088</t>
  </si>
  <si>
    <t>HTH02089</t>
  </si>
  <si>
    <t>HTH02090</t>
  </si>
  <si>
    <t>HTH02091</t>
  </si>
  <si>
    <t>HTH02092</t>
  </si>
  <si>
    <t>HTH02093</t>
  </si>
  <si>
    <t>HTH02094</t>
  </si>
  <si>
    <t>HTH02095</t>
  </si>
  <si>
    <t>HTH02096</t>
  </si>
  <si>
    <t>HTH02097</t>
  </si>
  <si>
    <t>HTH02098</t>
  </si>
  <si>
    <t>HTH02099</t>
  </si>
  <si>
    <t>HTH02100</t>
  </si>
  <si>
    <t>HTH02101</t>
  </si>
  <si>
    <t>HTH02102</t>
  </si>
  <si>
    <t>HTH02103</t>
  </si>
  <si>
    <t>HTH02104</t>
  </si>
  <si>
    <t>HTH02105</t>
  </si>
  <si>
    <t>HTH02106</t>
  </si>
  <si>
    <t>HTH02107</t>
  </si>
  <si>
    <t>HTH02108</t>
  </si>
  <si>
    <t>HTH02109</t>
  </si>
  <si>
    <t>HTH02110</t>
  </si>
  <si>
    <t>HTH02111</t>
  </si>
  <si>
    <t>HTH02112</t>
  </si>
  <si>
    <t>HTH02113</t>
  </si>
  <si>
    <t>HTH02114</t>
  </si>
  <si>
    <t>HTH02115</t>
  </si>
  <si>
    <t>HTH02116</t>
  </si>
  <si>
    <t>HTH02117</t>
  </si>
  <si>
    <t>HTH02118</t>
  </si>
  <si>
    <t>HTH02119</t>
  </si>
  <si>
    <t>HTH02120</t>
  </si>
  <si>
    <t>HTH02121</t>
  </si>
  <si>
    <t>HTH02122</t>
  </si>
  <si>
    <t>HTH02123</t>
  </si>
  <si>
    <t>HTH02124</t>
  </si>
  <si>
    <t>HTH02125</t>
  </si>
  <si>
    <t>HTH02126</t>
  </si>
  <si>
    <t>HTH02127</t>
  </si>
  <si>
    <t>HTH02128</t>
  </si>
  <si>
    <t>HTH02129</t>
  </si>
  <si>
    <t>HTH02130</t>
  </si>
  <si>
    <t>HTH02131</t>
  </si>
  <si>
    <t>HTH02132</t>
  </si>
  <si>
    <t>HTH02133</t>
  </si>
  <si>
    <t>HTH02134</t>
  </si>
  <si>
    <t>HTH02135</t>
  </si>
  <si>
    <t>HTH02136</t>
  </si>
  <si>
    <t>HTH02137</t>
  </si>
  <si>
    <t>HTH02138</t>
  </si>
  <si>
    <t>HTH02139</t>
  </si>
  <si>
    <t>HTH02140</t>
  </si>
  <si>
    <t>HTH02141</t>
  </si>
  <si>
    <t>HTH02142</t>
  </si>
  <si>
    <t>HTH02143</t>
  </si>
  <si>
    <t>HTH02144</t>
  </si>
  <si>
    <t>HTH02145</t>
  </si>
  <si>
    <t>HTH02146</t>
  </si>
  <si>
    <t>HTH02147</t>
  </si>
  <si>
    <t>HTH02148</t>
  </si>
  <si>
    <t>HTH02149</t>
  </si>
  <si>
    <t>HTH02150</t>
  </si>
  <si>
    <t>HTH02151</t>
  </si>
  <si>
    <t>HTH02152</t>
  </si>
  <si>
    <t>HTH02153</t>
  </si>
  <si>
    <t>HTH02154</t>
  </si>
  <si>
    <t>HTH02155</t>
  </si>
  <si>
    <t>HTH02156</t>
  </si>
  <si>
    <t>HTH02157</t>
  </si>
  <si>
    <t>HTH02158</t>
  </si>
  <si>
    <t>HTH02159</t>
  </si>
  <si>
    <t>HTH02160</t>
  </si>
  <si>
    <t>HTH02161</t>
  </si>
  <si>
    <t>HTH02162</t>
  </si>
  <si>
    <t>HTH02163</t>
  </si>
  <si>
    <t>HTH02164</t>
  </si>
  <si>
    <t>HTH02165</t>
  </si>
  <si>
    <t>HTH02166</t>
  </si>
  <si>
    <t>HTH02167</t>
  </si>
  <si>
    <t>HTH02168</t>
  </si>
  <si>
    <t>HTH02169</t>
  </si>
  <si>
    <t>HTH02170</t>
  </si>
  <si>
    <t>HTH02171</t>
  </si>
  <si>
    <t>HTH02172</t>
  </si>
  <si>
    <t>HTH02173</t>
  </si>
  <si>
    <t>HTH02174</t>
  </si>
  <si>
    <t>HTH02175</t>
  </si>
  <si>
    <t>HTH02176</t>
  </si>
  <si>
    <t>HTH02177</t>
  </si>
  <si>
    <t>HTH02178</t>
  </si>
  <si>
    <t>HTH02179</t>
  </si>
  <si>
    <t>HTH02180</t>
  </si>
  <si>
    <t>HTH02181</t>
  </si>
  <si>
    <t>HTH02182</t>
  </si>
  <si>
    <t>HTH02183</t>
  </si>
  <si>
    <t>HTH02184</t>
  </si>
  <si>
    <t>HTH02185</t>
  </si>
  <si>
    <t>HTH02186</t>
  </si>
  <si>
    <t>HTH02187</t>
  </si>
  <si>
    <t>HTH02188</t>
  </si>
  <si>
    <t>HTH02189</t>
  </si>
  <si>
    <t>HTH02190</t>
  </si>
  <si>
    <t>HTH02191</t>
  </si>
  <si>
    <t>HTH02192</t>
  </si>
  <si>
    <t>HTH02193</t>
  </si>
  <si>
    <t>HTH02194</t>
  </si>
  <si>
    <t>HTH02195</t>
  </si>
  <si>
    <t>HTH02196</t>
  </si>
  <si>
    <t>HTH02197</t>
  </si>
  <si>
    <t>HTH02198</t>
  </si>
  <si>
    <t>HTH02199</t>
  </si>
  <si>
    <t>HTH02200</t>
  </si>
  <si>
    <t>HTH02201</t>
  </si>
  <si>
    <t>HTH02202</t>
  </si>
  <si>
    <t>HTH02203</t>
  </si>
  <si>
    <t>HTH02204</t>
  </si>
  <si>
    <t>HTH02205</t>
  </si>
  <si>
    <t>HTH02206</t>
  </si>
  <si>
    <t>HTH02207</t>
  </si>
  <si>
    <t>HTH02208</t>
  </si>
  <si>
    <t>HTH02209</t>
  </si>
  <si>
    <t>HTH02210</t>
  </si>
  <si>
    <t>HTH02211</t>
  </si>
  <si>
    <t>HTH02212</t>
  </si>
  <si>
    <t>HTH02213</t>
  </si>
  <si>
    <t>HTH02214</t>
  </si>
  <si>
    <t>HTH02215</t>
  </si>
  <si>
    <t>HTH02216</t>
  </si>
  <si>
    <t>HTH02217</t>
  </si>
  <si>
    <t>HTH02218</t>
  </si>
  <si>
    <t>HTH02219</t>
  </si>
  <si>
    <t>HTH02220</t>
  </si>
  <si>
    <t>HTH02221</t>
  </si>
  <si>
    <t>HTH02222</t>
  </si>
  <si>
    <t>HTH02223</t>
  </si>
  <si>
    <t>HTH02224</t>
  </si>
  <si>
    <t>HTH02225</t>
  </si>
  <si>
    <t>HTH02226</t>
  </si>
  <si>
    <t>HTH02227</t>
  </si>
  <si>
    <t>HTH02228</t>
  </si>
  <si>
    <t>HTH02229</t>
  </si>
  <si>
    <t>HTH02230</t>
  </si>
  <si>
    <t>HTH02231</t>
  </si>
  <si>
    <t>HTH02232</t>
  </si>
  <si>
    <t>HTH02233</t>
  </si>
  <si>
    <t>HTH02234</t>
  </si>
  <si>
    <t>HTH02235</t>
  </si>
  <si>
    <t>HTH02236</t>
  </si>
  <si>
    <t>HTH02237</t>
  </si>
  <si>
    <t>HTH02238</t>
  </si>
  <si>
    <t>HTH02239</t>
  </si>
  <si>
    <t>HTH02240</t>
  </si>
  <si>
    <t>HTH02241</t>
  </si>
  <si>
    <t>HTH02242</t>
  </si>
  <si>
    <t>HTH02243</t>
  </si>
  <si>
    <t>HTH02244</t>
  </si>
  <si>
    <t>HTH02245</t>
  </si>
  <si>
    <t>HTH02246</t>
  </si>
  <si>
    <t>HTH02247</t>
  </si>
  <si>
    <t>HTH02248</t>
  </si>
  <si>
    <t>HTH02249</t>
  </si>
  <si>
    <t>HTH02250</t>
  </si>
  <si>
    <t>HTH02251</t>
  </si>
  <si>
    <t>HTH02252</t>
  </si>
  <si>
    <t>HTH02253</t>
  </si>
  <si>
    <t>HTH02254</t>
  </si>
  <si>
    <t>HTH02255</t>
  </si>
  <si>
    <t>HTH02256</t>
  </si>
  <si>
    <t>HTH02257</t>
  </si>
  <si>
    <t>HTH02258</t>
  </si>
  <si>
    <t>HTH02259</t>
  </si>
  <si>
    <t>HTH02260</t>
  </si>
  <si>
    <t>HTH02261</t>
  </si>
  <si>
    <t>HTH02262</t>
  </si>
  <si>
    <t>HTH02263</t>
  </si>
  <si>
    <t>HTH02264</t>
  </si>
  <si>
    <t>HTH02265</t>
  </si>
  <si>
    <t>HTH02266</t>
  </si>
  <si>
    <t>HTH02267</t>
  </si>
  <si>
    <t>HTH02268</t>
  </si>
  <si>
    <t>HTH02269</t>
  </si>
  <si>
    <t>HTH02270</t>
  </si>
  <si>
    <t>HTH02271</t>
  </si>
  <si>
    <t>HTH02272</t>
  </si>
  <si>
    <t>HTH02273</t>
  </si>
  <si>
    <t>HTH02274</t>
  </si>
  <si>
    <t>HTH02275</t>
  </si>
  <si>
    <t>HTH02276</t>
  </si>
  <si>
    <t>HTH02277</t>
  </si>
  <si>
    <t>HTH02278</t>
  </si>
  <si>
    <t>HTH02279</t>
  </si>
  <si>
    <t>HTH02280</t>
  </si>
  <si>
    <t>HTH02281</t>
  </si>
  <si>
    <t>HTH02282</t>
  </si>
  <si>
    <t>HTH02283</t>
  </si>
  <si>
    <t>HTH02284</t>
  </si>
  <si>
    <t>HTH02285</t>
  </si>
  <si>
    <t>HTH02286</t>
  </si>
  <si>
    <t>HTH02287</t>
  </si>
  <si>
    <t>HTH02288</t>
  </si>
  <si>
    <t>HTH02289</t>
  </si>
  <si>
    <t>HTH02290</t>
  </si>
  <si>
    <t>HTH02291</t>
  </si>
  <si>
    <t>HTH02292</t>
  </si>
  <si>
    <t>HTH02293</t>
  </si>
  <si>
    <t>HTH02294</t>
  </si>
  <si>
    <t>HTH02295</t>
  </si>
  <si>
    <t>HTH02296</t>
  </si>
  <si>
    <t>HTH02297</t>
  </si>
  <si>
    <t>HTH02298</t>
  </si>
  <si>
    <t>HTH02299</t>
  </si>
  <si>
    <t>HTH02300</t>
  </si>
  <si>
    <t>HTH02301</t>
  </si>
  <si>
    <t>HTH02302</t>
  </si>
  <si>
    <t>HTH02303</t>
  </si>
  <si>
    <t>HTH02304</t>
  </si>
  <si>
    <t>HTH02305</t>
  </si>
  <si>
    <t>HTH02306</t>
  </si>
  <si>
    <t>HTH02307</t>
  </si>
  <si>
    <t>HTH02308</t>
  </si>
  <si>
    <t>HTH02309</t>
  </si>
  <si>
    <t>HTH02310</t>
  </si>
  <si>
    <t>HTH02311</t>
  </si>
  <si>
    <t>HTH02312</t>
  </si>
  <si>
    <t>HTH02313</t>
  </si>
  <si>
    <t>HTH02314</t>
  </si>
  <si>
    <t>HTH02315</t>
  </si>
  <si>
    <t>HTH02316</t>
  </si>
  <si>
    <t>HTH02317</t>
  </si>
  <si>
    <t>HTH02318</t>
  </si>
  <si>
    <t>HTH02319</t>
  </si>
  <si>
    <t>HTH02320</t>
  </si>
  <si>
    <t>HTH02321</t>
  </si>
  <si>
    <t>HTH02322</t>
  </si>
  <si>
    <t>HTH02323</t>
  </si>
  <si>
    <t>HTH02324</t>
  </si>
  <si>
    <t>HTH02325</t>
  </si>
  <si>
    <t>HTH02326</t>
  </si>
  <si>
    <t>HTH02327</t>
  </si>
  <si>
    <t>HTH02328</t>
  </si>
  <si>
    <t>HTH02329</t>
  </si>
  <si>
    <t>HTH02330</t>
  </si>
  <si>
    <t>HTH02331</t>
  </si>
  <si>
    <t>HTH02332</t>
  </si>
  <si>
    <t>HTH02333</t>
  </si>
  <si>
    <t>HTH02334</t>
  </si>
  <si>
    <t>HTH02335</t>
  </si>
  <si>
    <t>HTH02336</t>
  </si>
  <si>
    <t>HTH02337</t>
  </si>
  <si>
    <t>HTH02338</t>
  </si>
  <si>
    <t>HTH02339</t>
  </si>
  <si>
    <t>HTH02340</t>
  </si>
  <si>
    <t>HTH02341</t>
  </si>
  <si>
    <t>HTH02342</t>
  </si>
  <si>
    <t>HTH02343</t>
  </si>
  <si>
    <t>HTH02344</t>
  </si>
  <si>
    <t>HTH02345</t>
  </si>
  <si>
    <t>HTH02346</t>
  </si>
  <si>
    <t>HTH02347</t>
  </si>
  <si>
    <t>HTH02348</t>
  </si>
  <si>
    <t>HTH02349</t>
  </si>
  <si>
    <t>HTH02350</t>
  </si>
  <si>
    <t>HTH02351</t>
  </si>
  <si>
    <t>HTH02352</t>
  </si>
  <si>
    <t>HTH02353</t>
  </si>
  <si>
    <t>HTH02354</t>
  </si>
  <si>
    <t>HTH02355</t>
  </si>
  <si>
    <t>HTH02356</t>
  </si>
  <si>
    <t>HTH02357</t>
  </si>
  <si>
    <t>HTH02358</t>
  </si>
  <si>
    <t>HTH02359</t>
  </si>
  <si>
    <t>HTH02360</t>
  </si>
  <si>
    <t>HTH02361</t>
  </si>
  <si>
    <t>HTH02362</t>
  </si>
  <si>
    <t>HTH02363</t>
  </si>
  <si>
    <t>HTH02364</t>
  </si>
  <si>
    <t>HTH02365</t>
  </si>
  <si>
    <t>HTH02366</t>
  </si>
  <si>
    <t>HTH02367</t>
  </si>
  <si>
    <t>HTH02368</t>
  </si>
  <si>
    <t>HTH02369</t>
  </si>
  <si>
    <t>HTH02370</t>
  </si>
  <si>
    <t>HTH02371</t>
  </si>
  <si>
    <t>HTH02372</t>
  </si>
  <si>
    <t>HTH02373</t>
  </si>
  <si>
    <t>HTH02374</t>
  </si>
  <si>
    <t>HTH02375</t>
  </si>
  <si>
    <t>HTH02376</t>
  </si>
  <si>
    <t>HTH02377</t>
  </si>
  <si>
    <t>HTH02378</t>
  </si>
  <si>
    <t>HTH02379</t>
  </si>
  <si>
    <t>HTH02380</t>
  </si>
  <si>
    <t>HTH02381</t>
  </si>
  <si>
    <t>HTH02382</t>
  </si>
  <si>
    <t>HTH02383</t>
  </si>
  <si>
    <t>HTH02384</t>
  </si>
  <si>
    <t>HTH02385</t>
  </si>
  <si>
    <t>HTH02386</t>
  </si>
  <si>
    <t>HTH02387</t>
  </si>
  <si>
    <t>HTH02388</t>
  </si>
  <si>
    <t>HTH02389</t>
  </si>
  <si>
    <t>HTH02390</t>
  </si>
  <si>
    <t>HTH02391</t>
  </si>
  <si>
    <t>HTH02392</t>
  </si>
  <si>
    <t>HTH02393</t>
  </si>
  <si>
    <t>HTH02394</t>
  </si>
  <si>
    <t>HTH02395</t>
  </si>
  <si>
    <t>HTH02396</t>
  </si>
  <si>
    <t>HTH02397</t>
  </si>
  <si>
    <t>HTH02398</t>
  </si>
  <si>
    <t>HTH02399</t>
  </si>
  <si>
    <t>HTH02400</t>
  </si>
  <si>
    <t>HTH02401</t>
  </si>
  <si>
    <t>HTH02402</t>
  </si>
  <si>
    <t>HTH02403</t>
  </si>
  <si>
    <t>HTH02404</t>
  </si>
  <si>
    <t>HTH02405</t>
  </si>
  <si>
    <t>HTH02406</t>
  </si>
  <si>
    <t>HTH02407</t>
  </si>
  <si>
    <t>HTH02408</t>
  </si>
  <si>
    <t>HTH02409</t>
  </si>
  <si>
    <t>HTH02410</t>
  </si>
  <si>
    <t>HTH02411</t>
  </si>
  <si>
    <t>HTH02412</t>
  </si>
  <si>
    <t>HTH02413</t>
  </si>
  <si>
    <t>HTH02414</t>
  </si>
  <si>
    <t>HTH02415</t>
  </si>
  <si>
    <t>HTH02416</t>
  </si>
  <si>
    <t>HTH02417</t>
  </si>
  <si>
    <t>HTH02418</t>
  </si>
  <si>
    <t>HTH02419</t>
  </si>
  <si>
    <t>HTH02420</t>
  </si>
  <si>
    <t>HTH02421</t>
  </si>
  <si>
    <t>HTH02422</t>
  </si>
  <si>
    <t>HTH02423</t>
  </si>
  <si>
    <t>HTH02424</t>
  </si>
  <si>
    <t>HTH02425</t>
  </si>
  <si>
    <t>HTH02426</t>
  </si>
  <si>
    <t>HTH02427</t>
  </si>
  <si>
    <t>HTH02428</t>
  </si>
  <si>
    <t>HTH02429</t>
  </si>
  <si>
    <t>HTH02430</t>
  </si>
  <si>
    <t>HTH02431</t>
  </si>
  <si>
    <t>HTH02432</t>
  </si>
  <si>
    <t>HTH02433</t>
  </si>
  <si>
    <t>HTH02434</t>
  </si>
  <si>
    <t>HTH02435</t>
  </si>
  <si>
    <t>HTH02436</t>
  </si>
  <si>
    <t>HTH02437</t>
  </si>
  <si>
    <t>HTH02438</t>
  </si>
  <si>
    <t>HTH02439</t>
  </si>
  <si>
    <t>HTH02440</t>
  </si>
  <si>
    <t>HTH02441</t>
  </si>
  <si>
    <t>HTH02442</t>
  </si>
  <si>
    <t>HTH02443</t>
  </si>
  <si>
    <t>HTH02444</t>
  </si>
  <si>
    <t>HTH02445</t>
  </si>
  <si>
    <t>HTH02446</t>
  </si>
  <si>
    <t>HTH02447</t>
  </si>
  <si>
    <t>HTH02448</t>
  </si>
  <si>
    <t>HTH02449</t>
  </si>
  <si>
    <t>HTH02450</t>
  </si>
  <si>
    <t>HTH02451</t>
  </si>
  <si>
    <t>HTH02452</t>
  </si>
  <si>
    <t>HTH02453</t>
  </si>
  <si>
    <t>HTH02454</t>
  </si>
  <si>
    <t>HTH02455</t>
  </si>
  <si>
    <t>HTH02456</t>
  </si>
  <si>
    <t>HTH02457</t>
  </si>
  <si>
    <t>HTH02458</t>
  </si>
  <si>
    <t>HTH02459</t>
  </si>
  <si>
    <t>HTH02460</t>
  </si>
  <si>
    <t>HTH02461</t>
  </si>
  <si>
    <t>HTH02462</t>
  </si>
  <si>
    <t>HTH02463</t>
  </si>
  <si>
    <t>HTH02464</t>
  </si>
  <si>
    <t>HTH02465</t>
  </si>
  <si>
    <t>HTH02466</t>
  </si>
  <si>
    <t>HTH02467</t>
  </si>
  <si>
    <t>HTH02468</t>
  </si>
  <si>
    <t>HTH02469</t>
  </si>
  <si>
    <t>HTH02470</t>
  </si>
  <si>
    <t>HTH02471</t>
  </si>
  <si>
    <t>HTH02472</t>
  </si>
  <si>
    <t>HTH02473</t>
  </si>
  <si>
    <t>HTH02474</t>
  </si>
  <si>
    <t>HTH02475</t>
  </si>
  <si>
    <t>HTH02476</t>
  </si>
  <si>
    <t>HTH02477</t>
  </si>
  <si>
    <t>HTH02478</t>
  </si>
  <si>
    <t>HTH02479</t>
  </si>
  <si>
    <t>HTH02480</t>
  </si>
  <si>
    <t>HTH02481</t>
  </si>
  <si>
    <t>HTH02482</t>
  </si>
  <si>
    <t>HTH02483</t>
  </si>
  <si>
    <t>HTH02484</t>
  </si>
  <si>
    <t>HTH02485</t>
  </si>
  <si>
    <t>HTH02486</t>
  </si>
  <si>
    <t>HTH02487</t>
  </si>
  <si>
    <t>HTH02488</t>
  </si>
  <si>
    <t>HTH02489</t>
  </si>
  <si>
    <t>HTH02490</t>
  </si>
  <si>
    <t>HTH02491</t>
  </si>
  <si>
    <t>HTH02492</t>
  </si>
  <si>
    <t>HTH02493</t>
  </si>
  <si>
    <t>HTH02494</t>
  </si>
  <si>
    <t>HTH02495</t>
  </si>
  <si>
    <t>HTH02496</t>
  </si>
  <si>
    <t>HTH02497</t>
  </si>
  <si>
    <t>HTH02498</t>
  </si>
  <si>
    <t>HTH02499</t>
  </si>
  <si>
    <t>HTH02500</t>
  </si>
  <si>
    <t>Row Labels</t>
  </si>
  <si>
    <t>Grand Total</t>
  </si>
  <si>
    <t>Sum of Budget Amount</t>
  </si>
  <si>
    <t>Sum of Actual Amount</t>
  </si>
  <si>
    <t>Jan</t>
  </si>
  <si>
    <t>Feb</t>
  </si>
  <si>
    <t>Mar</t>
  </si>
  <si>
    <t>Apr</t>
  </si>
  <si>
    <t>May</t>
  </si>
  <si>
    <t>Jun</t>
  </si>
  <si>
    <t>Jul</t>
  </si>
  <si>
    <t>Aug</t>
  </si>
  <si>
    <t>Sep</t>
  </si>
  <si>
    <t>Oct</t>
  </si>
  <si>
    <t>Nov</t>
  </si>
  <si>
    <t>Dec</t>
  </si>
  <si>
    <t>PIVOT BY DEPARTMENT</t>
  </si>
  <si>
    <t>PIVOT BY MONTHS</t>
  </si>
  <si>
    <t>PIVOT BY CATEGORY</t>
  </si>
  <si>
    <t>PIVOT BY REGION</t>
  </si>
  <si>
    <t>DEPARTMENT</t>
  </si>
  <si>
    <t>Formula-driven from CLEANED DATA</t>
  </si>
  <si>
    <t>Revenue Budget</t>
  </si>
  <si>
    <t>Revenue Actual</t>
  </si>
  <si>
    <t>Revenue Variance</t>
  </si>
  <si>
    <t>Expense Budget</t>
  </si>
  <si>
    <t>Expense Actual</t>
  </si>
  <si>
    <t>favorable/unfavorable</t>
  </si>
  <si>
    <t>variance</t>
  </si>
  <si>
    <t>Expense variance</t>
  </si>
  <si>
    <t>DEPARTMENT-WISE FINANCIAL ANALYSIS</t>
  </si>
  <si>
    <t>Favorability logic</t>
  </si>
  <si>
    <t>Revenue: Actual above Budget = Favorable</t>
  </si>
  <si>
    <t>Expense: Actual below Budget = Favorable</t>
  </si>
  <si>
    <t>CATEGORY-WISE FINANCIAL ANALYSIS</t>
  </si>
  <si>
    <t>ExpenseBudget</t>
  </si>
  <si>
    <t>Expense Variance</t>
  </si>
  <si>
    <t>BUSINESS UNIT</t>
  </si>
  <si>
    <t>BUSINESS UNIT-WISE FINANCIAL ANALYSIS</t>
  </si>
  <si>
    <t>KPI</t>
  </si>
  <si>
    <t>TOTAL ACTUAL REVENUE</t>
  </si>
  <si>
    <t>TOTAL BUDGTED REVENUE</t>
  </si>
  <si>
    <t>REVENUE VARIANCE</t>
  </si>
  <si>
    <t>TOTAL ACTUAL EXPENSE</t>
  </si>
  <si>
    <t>TOTAL BUDGTED EXPENSE</t>
  </si>
  <si>
    <t>EXPENSE VARIANCE</t>
  </si>
  <si>
    <t>FAVORABLE/UNFAVORABLE</t>
  </si>
  <si>
    <t>UNFAVORABLE</t>
  </si>
  <si>
    <t>FAVORABLE</t>
  </si>
  <si>
    <t>Qtr1</t>
  </si>
  <si>
    <t>Qtr2</t>
  </si>
  <si>
    <t>Qtr3</t>
  </si>
  <si>
    <t>Qtr4</t>
  </si>
  <si>
    <t>PIVOT BY BUSINESS UNIT</t>
  </si>
  <si>
    <t xml:space="preserve">PIVOT BY QUARTER </t>
  </si>
  <si>
    <t>PIVOT MONTHS</t>
  </si>
  <si>
    <t>Sum of 2025</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</si>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</sst>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 &quot;₹&quot;\ * #,##0_ ;_ &quot;₹&quot;\ * \-#,##0_ ;_ &quot;₹&quot;\ * &quot;-&quot;??_ ;_ @_ "/>
    <numFmt numFmtId="165" formatCode="[$-14009]dd\ mmmm\ yyyy;@"/>
    <numFmt numFmtId="166" formatCode="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9" tint="0.79998168889431442"/>
      <name val="Calibri"/>
      <family val="2"/>
    </font>
    <font>
      <b/>
      <sz val="14"/>
      <color rgb="FFFFFFFF"/>
      <name val="Aptos Narrow"/>
      <family val="2"/>
      <scheme val="minor"/>
    </font>
    <font>
      <b/>
      <sz val="10"/>
      <color rgb="FF000000"/>
      <name val="Aptos Narrow"/>
      <family val="2"/>
      <scheme val="minor"/>
    </font>
    <font>
      <i/>
      <sz val="10"/>
      <color rgb="FF222222"/>
      <name val="Aptos Narrow"/>
      <family val="2"/>
      <scheme val="minor"/>
    </font>
    <font>
      <sz val="16"/>
      <color theme="1"/>
      <name val="Aptos Narrow"/>
      <family val="2"/>
      <scheme val="minor"/>
    </font>
    <font>
      <b/>
      <sz val="14"/>
      <color theme="9"/>
      <name val="Aptos Narrow"/>
      <family val="2"/>
      <scheme val="minor"/>
    </font>
    <font>
      <sz val="14"/>
      <color rgb="FFFE0202"/>
      <name val="Aptos Narrow"/>
      <family val="2"/>
      <scheme val="minor"/>
    </font>
  </fonts>
  <fills count="8">
    <fill>
      <patternFill patternType="none"/>
    </fill>
    <fill>
      <patternFill patternType="gray125"/>
    </fill>
    <fill>
      <patternFill patternType="solid">
        <fgColor theme="9" tint="-0.249977111117893"/>
        <bgColor indexed="64"/>
      </patternFill>
    </fill>
    <fill>
      <patternFill patternType="solid">
        <fgColor rgb="FF1D2330"/>
        <bgColor indexed="64"/>
      </patternFill>
    </fill>
    <fill>
      <patternFill patternType="solid">
        <fgColor rgb="FFE2E3E5"/>
        <bgColor indexed="64"/>
      </patternFill>
    </fill>
    <fill>
      <patternFill patternType="solid">
        <fgColor rgb="FFFFF2CC"/>
        <bgColor indexed="64"/>
      </patternFill>
    </fill>
    <fill>
      <patternFill patternType="solid">
        <fgColor theme="2" tint="-9.9978637043366805E-2"/>
        <bgColor indexed="64"/>
      </patternFill>
    </fill>
    <fill>
      <patternFill patternType="solid">
        <fgColor theme="3" tint="0.89999084444715716"/>
        <bgColor indexed="64"/>
      </patternFill>
    </fill>
  </fills>
  <borders count="2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rgb="FF1D2330"/>
      </bottom>
      <diagonal/>
    </border>
    <border>
      <left/>
      <right/>
      <top/>
      <bottom style="thin">
        <color rgb="FF808080"/>
      </bottom>
      <diagonal/>
    </border>
    <border>
      <left style="thin">
        <color rgb="FFD6B656"/>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70">
    <xf numFmtId="0" fontId="0" fillId="0" borderId="0" xfId="0"/>
    <xf numFmtId="164" fontId="0" fillId="0" borderId="0" xfId="1" applyNumberFormat="1" applyFont="1"/>
    <xf numFmtId="0" fontId="0" fillId="0" borderId="8" xfId="0" applyBorder="1"/>
    <xf numFmtId="165" fontId="0" fillId="0" borderId="8" xfId="0" applyNumberFormat="1" applyBorder="1"/>
    <xf numFmtId="164" fontId="0" fillId="0" borderId="8" xfId="1" applyNumberFormat="1" applyFont="1" applyBorder="1"/>
    <xf numFmtId="0" fontId="3" fillId="2" borderId="8" xfId="0" applyFont="1" applyFill="1" applyBorder="1"/>
    <xf numFmtId="164" fontId="0" fillId="0" borderId="0" xfId="0" applyNumberFormat="1"/>
    <xf numFmtId="0" fontId="0" fillId="0" borderId="4" xfId="0" applyBorder="1" applyAlignment="1">
      <alignment horizontal="left"/>
    </xf>
    <xf numFmtId="164" fontId="0" fillId="0" borderId="5" xfId="0" applyNumberFormat="1" applyBorder="1"/>
    <xf numFmtId="164" fontId="0" fillId="0" borderId="7" xfId="0" applyNumberFormat="1" applyBorder="1"/>
    <xf numFmtId="0" fontId="0" fillId="0" borderId="0" xfId="0" applyAlignment="1">
      <alignment horizontal="left"/>
    </xf>
    <xf numFmtId="164" fontId="0" fillId="0" borderId="5" xfId="0" applyNumberFormat="1" applyBorder="1" applyAlignment="1">
      <alignment horizontal="left"/>
    </xf>
    <xf numFmtId="164" fontId="0" fillId="0" borderId="7" xfId="0" applyNumberFormat="1" applyBorder="1" applyAlignment="1">
      <alignment horizontal="left"/>
    </xf>
    <xf numFmtId="0" fontId="4" fillId="3" borderId="12" xfId="0" applyFont="1" applyFill="1" applyBorder="1" applyAlignment="1">
      <alignment horizontal="left"/>
    </xf>
    <xf numFmtId="0" fontId="5" fillId="4" borderId="13" xfId="0" applyFont="1" applyFill="1" applyBorder="1" applyAlignment="1">
      <alignment horizontal="center"/>
    </xf>
    <xf numFmtId="166" fontId="0" fillId="0" borderId="0" xfId="2" applyNumberFormat="1" applyFont="1"/>
    <xf numFmtId="0" fontId="4" fillId="3" borderId="0" xfId="0" applyFont="1" applyFill="1" applyAlignment="1">
      <alignment horizontal="left"/>
    </xf>
    <xf numFmtId="0" fontId="6" fillId="5" borderId="14" xfId="0" applyFont="1" applyFill="1" applyBorder="1" applyAlignment="1">
      <alignment horizontal="left"/>
    </xf>
    <xf numFmtId="0" fontId="2" fillId="0" borderId="0" xfId="0" applyFont="1"/>
    <xf numFmtId="166" fontId="2" fillId="0" borderId="0" xfId="2" applyNumberFormat="1" applyFont="1"/>
    <xf numFmtId="10" fontId="0" fillId="0" borderId="0" xfId="2" applyNumberFormat="1" applyFont="1"/>
    <xf numFmtId="0" fontId="7" fillId="6" borderId="8" xfId="0" applyFont="1" applyFill="1" applyBorder="1" applyAlignment="1">
      <alignment horizontal="center"/>
    </xf>
    <xf numFmtId="0" fontId="0" fillId="7" borderId="8" xfId="0" applyFill="1" applyBorder="1" applyAlignment="1">
      <alignment horizontal="center"/>
    </xf>
    <xf numFmtId="164" fontId="0" fillId="7" borderId="8" xfId="1" applyNumberFormat="1" applyFont="1" applyFill="1" applyBorder="1" applyAlignment="1">
      <alignment horizontal="right"/>
    </xf>
    <xf numFmtId="10" fontId="0" fillId="7" borderId="8" xfId="2" applyNumberFormat="1" applyFont="1" applyFill="1" applyBorder="1" applyAlignment="1">
      <alignment horizontal="right"/>
    </xf>
    <xf numFmtId="164" fontId="0" fillId="0" borderId="6" xfId="0" applyNumberFormat="1" applyBorder="1" applyAlignment="1">
      <alignment horizontal="left"/>
    </xf>
    <xf numFmtId="0" fontId="0" fillId="0" borderId="9" xfId="0" applyBorder="1" applyAlignment="1">
      <alignment horizontal="left"/>
    </xf>
    <xf numFmtId="0" fontId="0" fillId="0" borderId="11" xfId="0" applyBorder="1" applyAlignment="1">
      <alignment horizontal="left"/>
    </xf>
    <xf numFmtId="0" fontId="0" fillId="0" borderId="0" xfId="0" pivotButton="1"/>
    <xf numFmtId="0" fontId="0" fillId="0" borderId="1" xfId="0" pivotButton="1" applyBorder="1" applyAlignment="1">
      <alignment horizontal="left"/>
    </xf>
    <xf numFmtId="164" fontId="0" fillId="0" borderId="1" xfId="0" applyNumberFormat="1" applyBorder="1" applyAlignment="1">
      <alignment horizontal="left"/>
    </xf>
    <xf numFmtId="164" fontId="0" fillId="0" borderId="3" xfId="0" applyNumberFormat="1" applyBorder="1" applyAlignment="1">
      <alignment horizontal="left"/>
    </xf>
    <xf numFmtId="164" fontId="0" fillId="0" borderId="4" xfId="0" applyNumberFormat="1" applyBorder="1" applyAlignment="1">
      <alignment horizontal="left"/>
    </xf>
    <xf numFmtId="0" fontId="0" fillId="0" borderId="15" xfId="0" applyBorder="1" applyAlignment="1">
      <alignment horizontal="left"/>
    </xf>
    <xf numFmtId="0" fontId="0" fillId="0" borderId="1" xfId="0" pivotButton="1" applyBorder="1"/>
    <xf numFmtId="164" fontId="0" fillId="0" borderId="1" xfId="0" applyNumberFormat="1" applyBorder="1"/>
    <xf numFmtId="164" fontId="0" fillId="0" borderId="3" xfId="0" applyNumberFormat="1" applyBorder="1"/>
    <xf numFmtId="164" fontId="0" fillId="0" borderId="4" xfId="0" applyNumberFormat="1" applyBorder="1"/>
    <xf numFmtId="164" fontId="0" fillId="0" borderId="6" xfId="0" applyNumberFormat="1" applyBorder="1"/>
    <xf numFmtId="0" fontId="0" fillId="0" borderId="15"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9" xfId="0" applyBorder="1"/>
    <xf numFmtId="0" fontId="0" fillId="0" borderId="11" xfId="0" applyBorder="1"/>
    <xf numFmtId="0" fontId="0" fillId="0" borderId="21" xfId="0" pivotButton="1" applyBorder="1"/>
    <xf numFmtId="0" fontId="0" fillId="0" borderId="6" xfId="0" applyBorder="1"/>
    <xf numFmtId="0" fontId="0" fillId="0" borderId="7" xfId="0" applyBorder="1"/>
    <xf numFmtId="0" fontId="0" fillId="0" borderId="15" xfId="0" pivotButton="1" applyBorder="1" applyAlignment="1">
      <alignment horizontal="left"/>
    </xf>
    <xf numFmtId="0" fontId="0" fillId="0" borderId="4" xfId="0" applyBorder="1" applyAlignment="1">
      <alignment horizontal="left" indent="1"/>
    </xf>
    <xf numFmtId="165" fontId="0" fillId="0" borderId="4" xfId="0" applyNumberFormat="1" applyBorder="1" applyAlignment="1">
      <alignment horizontal="left" indent="2"/>
    </xf>
    <xf numFmtId="164" fontId="9" fillId="7" borderId="16" xfId="1" applyNumberFormat="1" applyFont="1" applyFill="1" applyBorder="1" applyAlignment="1">
      <alignment horizontal="center"/>
    </xf>
    <xf numFmtId="164" fontId="9" fillId="7" borderId="17" xfId="1" applyNumberFormat="1" applyFont="1" applyFill="1" applyBorder="1" applyAlignment="1">
      <alignment horizontal="center"/>
    </xf>
    <xf numFmtId="164" fontId="9" fillId="7" borderId="18" xfId="1" applyNumberFormat="1" applyFont="1" applyFill="1" applyBorder="1" applyAlignment="1">
      <alignment horizontal="center"/>
    </xf>
    <xf numFmtId="164" fontId="8" fillId="7" borderId="16" xfId="1" applyNumberFormat="1" applyFont="1" applyFill="1" applyBorder="1" applyAlignment="1">
      <alignment horizontal="center"/>
    </xf>
    <xf numFmtId="164" fontId="0" fillId="7" borderId="17" xfId="1" applyNumberFormat="1" applyFont="1" applyFill="1" applyBorder="1" applyAlignment="1">
      <alignment horizontal="center"/>
    </xf>
    <xf numFmtId="164" fontId="0" fillId="7" borderId="18" xfId="1" applyNumberFormat="1"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15"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16" xfId="0" applyBorder="1"/>
    <xf numFmtId="164" fontId="0" fillId="0" borderId="17" xfId="1" applyNumberFormat="1" applyFont="1" applyBorder="1"/>
    <xf numFmtId="164" fontId="0" fillId="0" borderId="18" xfId="1" applyNumberFormat="1" applyFont="1" applyBorder="1"/>
    <xf numFmtId="10" fontId="0" fillId="0" borderId="0" xfId="0" applyNumberFormat="1"/>
  </cellXfs>
  <cellStyles count="3">
    <cellStyle name="Currency" xfId="1" builtinId="4"/>
    <cellStyle name="Normal" xfId="0" builtinId="0"/>
    <cellStyle name="Percent" xfId="2" builtinId="5"/>
  </cellStyles>
  <dxfs count="38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left"/>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left"/>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left"/>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left"/>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left"/>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left"/>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numFmt numFmtId="14" formatCode="0.00%"/>
    </dxf>
    <dxf>
      <numFmt numFmtId="13" formatCode="0%"/>
    </dxf>
    <dxf>
      <numFmt numFmtId="166" formatCode="0.0%"/>
    </dxf>
    <dxf>
      <numFmt numFmtId="14" formatCode="0.0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fill>
        <patternFill>
          <bgColor theme="4"/>
        </patternFill>
      </fill>
    </dxf>
    <dxf>
      <font>
        <b val="0"/>
        <i val="0"/>
        <color theme="0"/>
        <name val="Aptos Narrow"/>
        <family val="2"/>
        <scheme val="minor"/>
      </font>
      <fill>
        <patternFill>
          <bgColor theme="4" tint="-0.24994659260841701"/>
        </patternFill>
      </fill>
      <border diagonalUp="0" diagonalDown="1">
        <diagonal style="thin">
          <color auto="1"/>
        </diagonal>
      </border>
    </dxf>
  </dxfs>
  <tableStyles count="2" defaultTableStyle="TableStyleMedium2" defaultPivotStyle="PivotStyleLight16">
    <tableStyle name="CUSTOM" pivot="0" table="0" count="1" xr9:uid="{ECD3FFF9-3124-4F31-B1B9-36E144B4C7CD}">
      <tableStyleElement type="wholeTable" dxfId="385"/>
    </tableStyle>
    <tableStyle name="Slicer Style 1" pivot="0" table="0" count="1" xr9:uid="{CB66ABF7-CC70-4D88-9BF8-6436C9C47CF8}">
      <tableStyleElement type="headerRow" dxfId="384"/>
    </tableStyle>
  </tableStyles>
  <colors>
    <mruColors>
      <color rgb="FFFE0202"/>
      <color rgb="FFFE3030"/>
      <color rgb="FFCCECFF"/>
    </mruColors>
  </colors>
  <extLst>
    <ext xmlns:x14="http://schemas.microsoft.com/office/spreadsheetml/2009/9/main" uri="{EB79DEF2-80B8-43e5-95BD-54CBDDF9020C}">
      <x14:slicerStyles defaultSlicerStyle="SlicerStyleLight1">
        <x14:slicerStyle name="CUSTOM"/>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06/relationships/rdRichValueStructure" Target="richData/rdrichvaluestructure.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BUSINESS UNIT DATA</a:t>
            </a:r>
          </a:p>
        </c:rich>
      </c:tx>
      <c:layout>
        <c:manualLayout>
          <c:xMode val="edge"/>
          <c:yMode val="edge"/>
          <c:x val="0.30473094498645836"/>
          <c:y val="2.7144408251900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07099162405495E-2"/>
          <c:y val="0.10217753725409731"/>
          <c:w val="0.64083576631572736"/>
          <c:h val="0.55224335165651461"/>
        </c:manualLayout>
      </c:layout>
      <c:barChart>
        <c:barDir val="col"/>
        <c:grouping val="clustered"/>
        <c:varyColors val="0"/>
        <c:ser>
          <c:idx val="0"/>
          <c:order val="0"/>
          <c:tx>
            <c:strRef>
              <c:f>'PIVOT TABLE'!$G$3</c:f>
              <c:strCache>
                <c:ptCount val="1"/>
                <c:pt idx="0">
                  <c:v>Sum of Budget Amount</c:v>
                </c:pt>
              </c:strCache>
            </c:strRef>
          </c:tx>
          <c:spPr>
            <a:solidFill>
              <a:schemeClr val="accent1"/>
            </a:solidFill>
            <a:ln>
              <a:noFill/>
            </a:ln>
            <a:effectLst/>
          </c:spPr>
          <c:invertIfNegative val="0"/>
          <c:cat>
            <c:strRef>
              <c:f>'PIVOT TABLE'!$F$4:$F$8</c:f>
              <c:strCache>
                <c:ptCount val="4"/>
                <c:pt idx="0">
                  <c:v>Diagnostic Services</c:v>
                </c:pt>
                <c:pt idx="1">
                  <c:v>Emergency Services</c:v>
                </c:pt>
                <c:pt idx="2">
                  <c:v>Inpatient Services</c:v>
                </c:pt>
                <c:pt idx="3">
                  <c:v>Outpatient Services</c:v>
                </c:pt>
              </c:strCache>
            </c:strRef>
          </c:cat>
          <c:val>
            <c:numRef>
              <c:f>'PIVOT TABLE'!$G$4:$G$8</c:f>
              <c:numCache>
                <c:formatCode>_ "₹"\ * #,##0_ ;_ "₹"\ * \-#,##0_ ;_ "₹"\ * "-"??_ ;_ @_ </c:formatCode>
                <c:ptCount val="4"/>
                <c:pt idx="0">
                  <c:v>56455229</c:v>
                </c:pt>
                <c:pt idx="1">
                  <c:v>25743541</c:v>
                </c:pt>
                <c:pt idx="2">
                  <c:v>106153177</c:v>
                </c:pt>
                <c:pt idx="3">
                  <c:v>64345668</c:v>
                </c:pt>
              </c:numCache>
            </c:numRef>
          </c:val>
          <c:extLst>
            <c:ext xmlns:c16="http://schemas.microsoft.com/office/drawing/2014/chart" uri="{C3380CC4-5D6E-409C-BE32-E72D297353CC}">
              <c16:uniqueId val="{00000000-ECDB-4272-A898-568E3680A0AF}"/>
            </c:ext>
          </c:extLst>
        </c:ser>
        <c:ser>
          <c:idx val="1"/>
          <c:order val="1"/>
          <c:tx>
            <c:strRef>
              <c:f>'PIVOT TABLE'!$H$3</c:f>
              <c:strCache>
                <c:ptCount val="1"/>
                <c:pt idx="0">
                  <c:v>Sum of Actual Amount</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'PIVOT TABLE'!$F$4:$F$8</c:f>
              <c:strCache>
                <c:ptCount val="4"/>
                <c:pt idx="0">
                  <c:v>Diagnostic Services</c:v>
                </c:pt>
                <c:pt idx="1">
                  <c:v>Emergency Services</c:v>
                </c:pt>
                <c:pt idx="2">
                  <c:v>Inpatient Services</c:v>
                </c:pt>
                <c:pt idx="3">
                  <c:v>Outpatient Services</c:v>
                </c:pt>
              </c:strCache>
            </c:strRef>
          </c:cat>
          <c:val>
            <c:numRef>
              <c:f>'PIVOT TABLE'!$H$4:$H$8</c:f>
              <c:numCache>
                <c:formatCode>_ "₹"\ * #,##0_ ;_ "₹"\ * \-#,##0_ ;_ "₹"\ * "-"??_ ;_ @_ </c:formatCode>
                <c:ptCount val="4"/>
                <c:pt idx="0">
                  <c:v>56181200</c:v>
                </c:pt>
                <c:pt idx="1">
                  <c:v>25670300</c:v>
                </c:pt>
                <c:pt idx="2">
                  <c:v>105871000</c:v>
                </c:pt>
                <c:pt idx="3">
                  <c:v>64185100</c:v>
                </c:pt>
              </c:numCache>
            </c:numRef>
          </c:val>
          <c:extLst>
            <c:ext xmlns:c16="http://schemas.microsoft.com/office/drawing/2014/chart" uri="{C3380CC4-5D6E-409C-BE32-E72D297353CC}">
              <c16:uniqueId val="{00000001-ECDB-4272-A898-568E3680A0AF}"/>
            </c:ext>
          </c:extLst>
        </c:ser>
        <c:dLbls>
          <c:showLegendKey val="0"/>
          <c:showVal val="0"/>
          <c:showCatName val="0"/>
          <c:showSerName val="0"/>
          <c:showPercent val="0"/>
          <c:showBubbleSize val="0"/>
        </c:dLbls>
        <c:gapWidth val="183"/>
        <c:axId val="877846207"/>
        <c:axId val="552427215"/>
      </c:barChart>
      <c:catAx>
        <c:axId val="87784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2427215"/>
        <c:crosses val="autoZero"/>
        <c:auto val="1"/>
        <c:lblAlgn val="ctr"/>
        <c:lblOffset val="100"/>
        <c:noMultiLvlLbl val="0"/>
      </c:catAx>
      <c:valAx>
        <c:axId val="552427215"/>
        <c:scaling>
          <c:orientation val="minMax"/>
        </c:scaling>
        <c:delete val="1"/>
        <c:axPos val="l"/>
        <c:numFmt formatCode="_ &quot;₹&quot;\ * #,##0_ ;_ &quot;₹&quot;\ * \-#,##0_ ;_ &quot;₹&quot;\ * &quot;-&quot;??_ ;_ @_ " sourceLinked="1"/>
        <c:majorTickMark val="out"/>
        <c:minorTickMark val="none"/>
        <c:tickLblPos val="nextTo"/>
        <c:crossAx val="87784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(1).xlsx]PIVOT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 DATA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5000">
                <a:srgbClr val="00B050"/>
              </a:gs>
              <a:gs pos="6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44056">
                <a:schemeClr val="accent2">
                  <a:lumMod val="75000"/>
                </a:schemeClr>
              </a:gs>
              <a:gs pos="95750">
                <a:srgbClr val="97D3EF"/>
              </a:gs>
              <a:gs pos="91500">
                <a:srgbClr val="8BCEED"/>
              </a:gs>
              <a:gs pos="83000">
                <a:schemeClr val="accent1">
                  <a:lumMod val="45000"/>
                  <a:lumOff val="55000"/>
                </a:schemeClr>
              </a:gs>
              <a:gs pos="100000">
                <a:schemeClr val="accent1">
                  <a:lumMod val="30000"/>
                  <a:lumOff val="70000"/>
                </a:schemeClr>
              </a:gs>
            </a:gsLst>
            <a:lin ang="5400000" scaled="1"/>
          </a:gradFill>
          <a:ln>
            <a:gradFill>
              <a:gsLst>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65205261359499"/>
          <c:y val="0.1376054852320675"/>
          <c:w val="0.55350642757246582"/>
          <c:h val="0.85232316688262066"/>
        </c:manualLayout>
      </c:layout>
      <c:barChart>
        <c:barDir val="bar"/>
        <c:grouping val="clustered"/>
        <c:varyColors val="0"/>
        <c:ser>
          <c:idx val="0"/>
          <c:order val="0"/>
          <c:tx>
            <c:strRef>
              <c:f>'PIVOT TABLE'!$G$12</c:f>
              <c:strCache>
                <c:ptCount val="1"/>
                <c:pt idx="0">
                  <c:v>Sum of Budget Amount</c:v>
                </c:pt>
              </c:strCache>
            </c:strRef>
          </c:tx>
          <c:spPr>
            <a:gradFill>
              <a:gsLst>
                <a:gs pos="35000">
                  <a:srgbClr val="00B050"/>
                </a:gs>
                <a:gs pos="6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TABLE'!$F$13:$F$25</c:f>
              <c:strCache>
                <c:ptCount val="12"/>
                <c:pt idx="0">
                  <c:v>Administrative Costs</c:v>
                </c:pt>
                <c:pt idx="1">
                  <c:v>Consultation Services</c:v>
                </c:pt>
                <c:pt idx="2">
                  <c:v>Diagnostic Services</c:v>
                </c:pt>
                <c:pt idx="3">
                  <c:v>Emergency Services</c:v>
                </c:pt>
                <c:pt idx="4">
                  <c:v>Equipment &amp; Maintenance</c:v>
                </c:pt>
                <c:pt idx="5">
                  <c:v>Medical Supplies</c:v>
                </c:pt>
                <c:pt idx="6">
                  <c:v>Medicines &amp; Supplies</c:v>
                </c:pt>
                <c:pt idx="7">
                  <c:v>Pharmacy Services</c:v>
                </c:pt>
                <c:pt idx="8">
                  <c:v>Staff Costs</c:v>
                </c:pt>
                <c:pt idx="9">
                  <c:v>Surgical Services</c:v>
                </c:pt>
                <c:pt idx="10">
                  <c:v>Treatment Services</c:v>
                </c:pt>
                <c:pt idx="11">
                  <c:v>Utilities</c:v>
                </c:pt>
              </c:strCache>
            </c:strRef>
          </c:cat>
          <c:val>
            <c:numRef>
              <c:f>'PIVOT TABLE'!$G$13:$G$25</c:f>
              <c:numCache>
                <c:formatCode>_ "₹"\ * #,##0_ ;_ "₹"\ * \-#,##0_ ;_ "₹"\ * "-"??_ ;_ @_ </c:formatCode>
                <c:ptCount val="12"/>
                <c:pt idx="0">
                  <c:v>14030572</c:v>
                </c:pt>
                <c:pt idx="1">
                  <c:v>27015191</c:v>
                </c:pt>
                <c:pt idx="2">
                  <c:v>28450338</c:v>
                </c:pt>
                <c:pt idx="3">
                  <c:v>26771145</c:v>
                </c:pt>
                <c:pt idx="4">
                  <c:v>14839128</c:v>
                </c:pt>
                <c:pt idx="5">
                  <c:v>14773519</c:v>
                </c:pt>
                <c:pt idx="6">
                  <c:v>15812372</c:v>
                </c:pt>
                <c:pt idx="7">
                  <c:v>27653613</c:v>
                </c:pt>
                <c:pt idx="8">
                  <c:v>12736074</c:v>
                </c:pt>
                <c:pt idx="9">
                  <c:v>27681806</c:v>
                </c:pt>
                <c:pt idx="10">
                  <c:v>29846870</c:v>
                </c:pt>
                <c:pt idx="11">
                  <c:v>13086987</c:v>
                </c:pt>
              </c:numCache>
            </c:numRef>
          </c:val>
          <c:extLst>
            <c:ext xmlns:c16="http://schemas.microsoft.com/office/drawing/2014/chart" uri="{C3380CC4-5D6E-409C-BE32-E72D297353CC}">
              <c16:uniqueId val="{00000000-B462-4630-BF1D-69F3EB3260BC}"/>
            </c:ext>
          </c:extLst>
        </c:ser>
        <c:ser>
          <c:idx val="1"/>
          <c:order val="1"/>
          <c:tx>
            <c:strRef>
              <c:f>'PIVOT TABLE'!$H$12</c:f>
              <c:strCache>
                <c:ptCount val="1"/>
                <c:pt idx="0">
                  <c:v>Sum of Actual Amount</c:v>
                </c:pt>
              </c:strCache>
            </c:strRef>
          </c:tx>
          <c:spPr>
            <a:gradFill>
              <a:gsLst>
                <a:gs pos="44056">
                  <a:schemeClr val="accent2">
                    <a:lumMod val="75000"/>
                  </a:schemeClr>
                </a:gs>
                <a:gs pos="95750">
                  <a:srgbClr val="97D3EF"/>
                </a:gs>
                <a:gs pos="91500">
                  <a:srgbClr val="8BCEED"/>
                </a:gs>
                <a:gs pos="83000">
                  <a:schemeClr val="accent1">
                    <a:lumMod val="45000"/>
                    <a:lumOff val="55000"/>
                  </a:schemeClr>
                </a:gs>
                <a:gs pos="100000">
                  <a:schemeClr val="accent1">
                    <a:lumMod val="30000"/>
                    <a:lumOff val="70000"/>
                  </a:schemeClr>
                </a:gs>
              </a:gsLst>
              <a:lin ang="5400000" scaled="1"/>
            </a:gradFill>
            <a:ln>
              <a:gradFill>
                <a:gsLst>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TABLE'!$F$13:$F$25</c:f>
              <c:strCache>
                <c:ptCount val="12"/>
                <c:pt idx="0">
                  <c:v>Administrative Costs</c:v>
                </c:pt>
                <c:pt idx="1">
                  <c:v>Consultation Services</c:v>
                </c:pt>
                <c:pt idx="2">
                  <c:v>Diagnostic Services</c:v>
                </c:pt>
                <c:pt idx="3">
                  <c:v>Emergency Services</c:v>
                </c:pt>
                <c:pt idx="4">
                  <c:v>Equipment &amp; Maintenance</c:v>
                </c:pt>
                <c:pt idx="5">
                  <c:v>Medical Supplies</c:v>
                </c:pt>
                <c:pt idx="6">
                  <c:v>Medicines &amp; Supplies</c:v>
                </c:pt>
                <c:pt idx="7">
                  <c:v>Pharmacy Services</c:v>
                </c:pt>
                <c:pt idx="8">
                  <c:v>Staff Costs</c:v>
                </c:pt>
                <c:pt idx="9">
                  <c:v>Surgical Services</c:v>
                </c:pt>
                <c:pt idx="10">
                  <c:v>Treatment Services</c:v>
                </c:pt>
                <c:pt idx="11">
                  <c:v>Utilities</c:v>
                </c:pt>
              </c:strCache>
            </c:strRef>
          </c:cat>
          <c:val>
            <c:numRef>
              <c:f>'PIVOT TABLE'!$H$13:$H$25</c:f>
              <c:numCache>
                <c:formatCode>_ "₹"\ * #,##0_ ;_ "₹"\ * \-#,##0_ ;_ "₹"\ * "-"??_ ;_ @_ </c:formatCode>
                <c:ptCount val="12"/>
                <c:pt idx="0">
                  <c:v>13946200</c:v>
                </c:pt>
                <c:pt idx="1">
                  <c:v>26643300</c:v>
                </c:pt>
                <c:pt idx="2">
                  <c:v>28248500</c:v>
                </c:pt>
                <c:pt idx="3">
                  <c:v>26666800</c:v>
                </c:pt>
                <c:pt idx="4">
                  <c:v>14849100</c:v>
                </c:pt>
                <c:pt idx="5">
                  <c:v>14734300</c:v>
                </c:pt>
                <c:pt idx="6">
                  <c:v>15972800</c:v>
                </c:pt>
                <c:pt idx="7">
                  <c:v>27624500</c:v>
                </c:pt>
                <c:pt idx="8">
                  <c:v>12729400</c:v>
                </c:pt>
                <c:pt idx="9">
                  <c:v>27397000</c:v>
                </c:pt>
                <c:pt idx="10">
                  <c:v>30155000</c:v>
                </c:pt>
                <c:pt idx="11">
                  <c:v>12940700</c:v>
                </c:pt>
              </c:numCache>
            </c:numRef>
          </c:val>
          <c:extLst>
            <c:ext xmlns:c16="http://schemas.microsoft.com/office/drawing/2014/chart" uri="{C3380CC4-5D6E-409C-BE32-E72D297353CC}">
              <c16:uniqueId val="{00000001-B462-4630-BF1D-69F3EB3260BC}"/>
            </c:ext>
          </c:extLst>
        </c:ser>
        <c:dLbls>
          <c:showLegendKey val="0"/>
          <c:showVal val="0"/>
          <c:showCatName val="0"/>
          <c:showSerName val="0"/>
          <c:showPercent val="0"/>
          <c:showBubbleSize val="0"/>
        </c:dLbls>
        <c:gapWidth val="95"/>
        <c:axId val="877924159"/>
        <c:axId val="439268591"/>
      </c:barChart>
      <c:catAx>
        <c:axId val="87792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268591"/>
        <c:crosses val="autoZero"/>
        <c:auto val="1"/>
        <c:lblAlgn val="ctr"/>
        <c:lblOffset val="100"/>
        <c:noMultiLvlLbl val="0"/>
      </c:catAx>
      <c:valAx>
        <c:axId val="439268591"/>
        <c:scaling>
          <c:orientation val="minMax"/>
        </c:scaling>
        <c:delete val="1"/>
        <c:axPos val="b"/>
        <c:numFmt formatCode="_ &quot;₹&quot;\ * #,##0_ ;_ &quot;₹&quot;\ * \-#,##0_ ;_ &quot;₹&quot;\ * &quot;-&quot;??_ ;_ @_ " sourceLinked="1"/>
        <c:majorTickMark val="none"/>
        <c:minorTickMark val="none"/>
        <c:tickLblPos val="nextTo"/>
        <c:crossAx val="87792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(1).xlsx]PIVOT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QUATER WISE DATA</a:t>
            </a:r>
          </a:p>
        </c:rich>
      </c:tx>
      <c:layout>
        <c:manualLayout>
          <c:xMode val="edge"/>
          <c:yMode val="edge"/>
          <c:x val="0.2757567804024497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5000">
                <a:srgbClr val="C00000"/>
              </a:gs>
              <a:gs pos="6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headEnd type="none" w="lg" len="lg"/>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headEnd type="none" w="lg" len="lg"/>
            <a:tailEnd type="stealth" w="lg" len="lg"/>
          </a:ln>
          <a:effectLst/>
        </c:spPr>
        <c:marker>
          <c:symbol val="none"/>
        </c:marker>
      </c:pivotFmt>
      <c:pivotFmt>
        <c:idx val="7"/>
        <c:spPr>
          <a:ln w="28575" cap="rnd">
            <a:solidFill>
              <a:schemeClr val="accent2"/>
            </a:solidFill>
            <a:round/>
            <a:headEnd type="stealth" w="lg" len="lg"/>
          </a:ln>
          <a:effectLst/>
        </c:spPr>
        <c:marker>
          <c:symbol val="none"/>
        </c:marker>
      </c:pivotFmt>
    </c:pivotFmts>
    <c:plotArea>
      <c:layout>
        <c:manualLayout>
          <c:layoutTarget val="inner"/>
          <c:xMode val="edge"/>
          <c:yMode val="edge"/>
          <c:x val="6.0209098862642155E-2"/>
          <c:y val="5.0925925925925923E-2"/>
          <c:w val="0.61131824146981628"/>
          <c:h val="0.76510863225430159"/>
        </c:manualLayout>
      </c:layout>
      <c:barChart>
        <c:barDir val="col"/>
        <c:grouping val="clustered"/>
        <c:varyColors val="0"/>
        <c:ser>
          <c:idx val="0"/>
          <c:order val="0"/>
          <c:tx>
            <c:strRef>
              <c:f>'PIVOT TABLE'!$K$8</c:f>
              <c:strCache>
                <c:ptCount val="1"/>
                <c:pt idx="0">
                  <c:v>Sum of Budget Amount</c:v>
                </c:pt>
              </c:strCache>
            </c:strRef>
          </c:tx>
          <c:spPr>
            <a:gradFill>
              <a:gsLst>
                <a:gs pos="35000">
                  <a:srgbClr val="C00000"/>
                </a:gs>
                <a:gs pos="6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multiLvlStrRef>
              <c:f>'PIVOT TABLE'!$J$9:$J$25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'PIVOT TABLE'!$K$9:$K$25</c:f>
              <c:numCache>
                <c:formatCode>_ "₹"\ * #,##0_ ;_ "₹"\ * \-#,##0_ ;_ "₹"\ * "-"??_ ;_ @_ </c:formatCode>
                <c:ptCount val="12"/>
                <c:pt idx="0">
                  <c:v>21535639</c:v>
                </c:pt>
                <c:pt idx="1">
                  <c:v>20377643</c:v>
                </c:pt>
                <c:pt idx="2">
                  <c:v>20805034</c:v>
                </c:pt>
                <c:pt idx="3">
                  <c:v>23184081</c:v>
                </c:pt>
                <c:pt idx="4">
                  <c:v>19897007</c:v>
                </c:pt>
                <c:pt idx="5">
                  <c:v>19288776</c:v>
                </c:pt>
                <c:pt idx="6">
                  <c:v>23330187</c:v>
                </c:pt>
                <c:pt idx="7">
                  <c:v>21516505</c:v>
                </c:pt>
                <c:pt idx="8">
                  <c:v>19231508</c:v>
                </c:pt>
                <c:pt idx="9">
                  <c:v>22646372</c:v>
                </c:pt>
                <c:pt idx="10">
                  <c:v>21674973</c:v>
                </c:pt>
                <c:pt idx="11">
                  <c:v>19209890</c:v>
                </c:pt>
              </c:numCache>
            </c:numRef>
          </c:val>
          <c:extLst>
            <c:ext xmlns:c16="http://schemas.microsoft.com/office/drawing/2014/chart" uri="{C3380CC4-5D6E-409C-BE32-E72D297353CC}">
              <c16:uniqueId val="{00000000-DECB-4AB3-AF55-2198042FAB8D}"/>
            </c:ext>
          </c:extLst>
        </c:ser>
        <c:dLbls>
          <c:showLegendKey val="0"/>
          <c:showVal val="0"/>
          <c:showCatName val="0"/>
          <c:showSerName val="0"/>
          <c:showPercent val="0"/>
          <c:showBubbleSize val="0"/>
        </c:dLbls>
        <c:gapWidth val="219"/>
        <c:overlap val="-27"/>
        <c:axId val="960667471"/>
        <c:axId val="379537455"/>
      </c:barChart>
      <c:lineChart>
        <c:grouping val="standard"/>
        <c:varyColors val="0"/>
        <c:ser>
          <c:idx val="1"/>
          <c:order val="1"/>
          <c:tx>
            <c:strRef>
              <c:f>'PIVOT TABLE'!$L$8</c:f>
              <c:strCache>
                <c:ptCount val="1"/>
                <c:pt idx="0">
                  <c:v>Sum of Actual Amount</c:v>
                </c:pt>
              </c:strCache>
            </c:strRef>
          </c:tx>
          <c:spPr>
            <a:ln w="28575" cap="rnd">
              <a:solidFill>
                <a:schemeClr val="accent2"/>
              </a:solidFill>
              <a:round/>
              <a:headEnd type="none" w="lg" len="lg"/>
            </a:ln>
            <a:effectLst/>
          </c:spPr>
          <c:marker>
            <c:symbol val="none"/>
          </c:marker>
          <c:dPt>
            <c:idx val="0"/>
            <c:marker>
              <c:symbol val="none"/>
            </c:marker>
            <c:bubble3D val="0"/>
            <c:spPr>
              <a:ln w="28575" cap="rnd">
                <a:solidFill>
                  <a:schemeClr val="accent2"/>
                </a:solidFill>
                <a:round/>
                <a:headEnd type="stealth" w="lg" len="lg"/>
              </a:ln>
              <a:effectLst/>
            </c:spPr>
            <c:extLst>
              <c:ext xmlns:c16="http://schemas.microsoft.com/office/drawing/2014/chart" uri="{C3380CC4-5D6E-409C-BE32-E72D297353CC}">
                <c16:uniqueId val="{00000004-DECB-4AB3-AF55-2198042FAB8D}"/>
              </c:ext>
            </c:extLst>
          </c:dPt>
          <c:dPt>
            <c:idx val="11"/>
            <c:marker>
              <c:symbol val="none"/>
            </c:marker>
            <c:bubble3D val="0"/>
            <c:spPr>
              <a:ln w="28575" cap="rnd">
                <a:solidFill>
                  <a:schemeClr val="accent2"/>
                </a:solidFill>
                <a:round/>
                <a:headEnd type="none" w="lg" len="lg"/>
                <a:tailEnd type="stealth" w="lg" len="lg"/>
              </a:ln>
              <a:effectLst/>
            </c:spPr>
            <c:extLst>
              <c:ext xmlns:c16="http://schemas.microsoft.com/office/drawing/2014/chart" uri="{C3380CC4-5D6E-409C-BE32-E72D297353CC}">
                <c16:uniqueId val="{00000003-DECB-4AB3-AF55-2198042FAB8D}"/>
              </c:ext>
            </c:extLst>
          </c:dPt>
          <c:cat>
            <c:multiLvlStrRef>
              <c:f>'PIVOT TABLE'!$J$9:$J$25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'PIVOT TABLE'!$L$9:$L$25</c:f>
              <c:numCache>
                <c:formatCode>_ "₹"\ * #,##0_ ;_ "₹"\ * \-#,##0_ ;_ "₹"\ * "-"??_ ;_ @_ </c:formatCode>
                <c:ptCount val="12"/>
                <c:pt idx="0">
                  <c:v>21611000</c:v>
                </c:pt>
                <c:pt idx="1">
                  <c:v>19929600</c:v>
                </c:pt>
                <c:pt idx="2">
                  <c:v>20582500</c:v>
                </c:pt>
                <c:pt idx="3">
                  <c:v>23459500</c:v>
                </c:pt>
                <c:pt idx="4">
                  <c:v>19935000</c:v>
                </c:pt>
                <c:pt idx="5">
                  <c:v>19320800</c:v>
                </c:pt>
                <c:pt idx="6">
                  <c:v>23226000</c:v>
                </c:pt>
                <c:pt idx="7">
                  <c:v>21499400</c:v>
                </c:pt>
                <c:pt idx="8">
                  <c:v>19222000</c:v>
                </c:pt>
                <c:pt idx="9">
                  <c:v>22610800</c:v>
                </c:pt>
                <c:pt idx="10">
                  <c:v>21456500</c:v>
                </c:pt>
                <c:pt idx="11">
                  <c:v>19054500</c:v>
                </c:pt>
              </c:numCache>
            </c:numRef>
          </c:val>
          <c:smooth val="1"/>
          <c:extLst>
            <c:ext xmlns:c16="http://schemas.microsoft.com/office/drawing/2014/chart" uri="{C3380CC4-5D6E-409C-BE32-E72D297353CC}">
              <c16:uniqueId val="{00000001-DECB-4AB3-AF55-2198042FAB8D}"/>
            </c:ext>
          </c:extLst>
        </c:ser>
        <c:dLbls>
          <c:showLegendKey val="0"/>
          <c:showVal val="0"/>
          <c:showCatName val="0"/>
          <c:showSerName val="0"/>
          <c:showPercent val="0"/>
          <c:showBubbleSize val="0"/>
        </c:dLbls>
        <c:marker val="1"/>
        <c:smooth val="0"/>
        <c:axId val="960667471"/>
        <c:axId val="379537455"/>
      </c:lineChart>
      <c:catAx>
        <c:axId val="96066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9537455"/>
        <c:crosses val="autoZero"/>
        <c:auto val="1"/>
        <c:lblAlgn val="ctr"/>
        <c:lblOffset val="100"/>
        <c:noMultiLvlLbl val="0"/>
      </c:catAx>
      <c:valAx>
        <c:axId val="379537455"/>
        <c:scaling>
          <c:orientation val="minMax"/>
        </c:scaling>
        <c:delete val="1"/>
        <c:axPos val="l"/>
        <c:numFmt formatCode="_ &quot;₹&quot;\ * #,##0_ ;_ &quot;₹&quot;\ * \-#,##0_ ;_ &quot;₹&quot;\ * &quot;-&quot;??_ ;_ @_ " sourceLinked="1"/>
        <c:majorTickMark val="none"/>
        <c:minorTickMark val="none"/>
        <c:tickLblPos val="nextTo"/>
        <c:crossAx val="960667471"/>
        <c:crosses val="autoZero"/>
        <c:crossBetween val="between"/>
      </c:valAx>
      <c:spPr>
        <a:noFill/>
        <a:ln>
          <a:noFill/>
        </a:ln>
        <a:effectLst/>
      </c:spPr>
    </c:plotArea>
    <c:legend>
      <c:legendPos val="r"/>
      <c:layout>
        <c:manualLayout>
          <c:xMode val="edge"/>
          <c:yMode val="edge"/>
          <c:x val="0.6724293525809274"/>
          <c:y val="0.4882663454381635"/>
          <c:w val="0.31404442500243024"/>
          <c:h val="0.139926352489520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MONTH WISE DATA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TABLE'!$O$5</c:f>
              <c:strCache>
                <c:ptCount val="1"/>
                <c:pt idx="0">
                  <c:v>Sum of Budget Amount</c:v>
                </c:pt>
              </c:strCache>
            </c:strRef>
          </c:tx>
          <c:explosion val="1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F89-4AE1-86C5-95D9B44EB93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F89-4AE1-86C5-95D9B44EB93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F89-4AE1-86C5-95D9B44EB93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F89-4AE1-86C5-95D9B44EB93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F89-4AE1-86C5-95D9B44EB93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F89-4AE1-86C5-95D9B44EB93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F89-4AE1-86C5-95D9B44EB93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F89-4AE1-86C5-95D9B44EB93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F89-4AE1-86C5-95D9B44EB93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F89-4AE1-86C5-95D9B44EB93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F89-4AE1-86C5-95D9B44EB93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2F89-4AE1-86C5-95D9B44EB935}"/>
              </c:ext>
            </c:extLst>
          </c:dPt>
          <c:dLbls>
            <c:dLbl>
              <c:idx val="3"/>
              <c:delete val="1"/>
              <c:extLst>
                <c:ext xmlns:c15="http://schemas.microsoft.com/office/drawing/2012/chart" uri="{CE6537A1-D6FC-4f65-9D91-7224C49458BB}"/>
                <c:ext xmlns:c16="http://schemas.microsoft.com/office/drawing/2014/chart" uri="{C3380CC4-5D6E-409C-BE32-E72D297353CC}">
                  <c16:uniqueId val="{00000007-2F89-4AE1-86C5-95D9B44EB93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TABLE'!$O$6:$O$18</c:f>
              <c:numCache>
                <c:formatCode>_ "₹"\ * #,##0_ ;_ "₹"\ * \-#,##0_ ;_ "₹"\ * "-"??_ ;_ @_ </c:formatCode>
                <c:ptCount val="12"/>
                <c:pt idx="0">
                  <c:v>21535639</c:v>
                </c:pt>
                <c:pt idx="1">
                  <c:v>20377643</c:v>
                </c:pt>
                <c:pt idx="2">
                  <c:v>20805034</c:v>
                </c:pt>
                <c:pt idx="3">
                  <c:v>23184081</c:v>
                </c:pt>
                <c:pt idx="4">
                  <c:v>19897007</c:v>
                </c:pt>
                <c:pt idx="5">
                  <c:v>19288776</c:v>
                </c:pt>
                <c:pt idx="6">
                  <c:v>23330187</c:v>
                </c:pt>
                <c:pt idx="7">
                  <c:v>21516505</c:v>
                </c:pt>
                <c:pt idx="8">
                  <c:v>19231508</c:v>
                </c:pt>
                <c:pt idx="9">
                  <c:v>22646372</c:v>
                </c:pt>
                <c:pt idx="10">
                  <c:v>21674973</c:v>
                </c:pt>
                <c:pt idx="11">
                  <c:v>19209890</c:v>
                </c:pt>
              </c:numCache>
            </c:numRef>
          </c:val>
          <c:extLst>
            <c:ext xmlns:c16="http://schemas.microsoft.com/office/drawing/2014/chart" uri="{C3380CC4-5D6E-409C-BE32-E72D297353CC}">
              <c16:uniqueId val="{00000018-2F89-4AE1-86C5-95D9B44EB935}"/>
            </c:ext>
          </c:extLst>
        </c:ser>
        <c:ser>
          <c:idx val="1"/>
          <c:order val="1"/>
          <c:tx>
            <c:strRef>
              <c:f>'PIVOT TABLE'!$P$5</c:f>
              <c:strCache>
                <c:ptCount val="1"/>
                <c:pt idx="0">
                  <c:v>Sum of Actual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A-2F89-4AE1-86C5-95D9B44EB93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C-2F89-4AE1-86C5-95D9B44EB93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E-2F89-4AE1-86C5-95D9B44EB93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0-2F89-4AE1-86C5-95D9B44EB93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2-2F89-4AE1-86C5-95D9B44EB93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4-2F89-4AE1-86C5-95D9B44EB93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6-2F89-4AE1-86C5-95D9B44EB93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8-2F89-4AE1-86C5-95D9B44EB93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A-2F89-4AE1-86C5-95D9B44EB93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C-2F89-4AE1-86C5-95D9B44EB93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E-2F89-4AE1-86C5-95D9B44EB93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0-2F89-4AE1-86C5-95D9B44EB935}"/>
              </c:ext>
            </c:extLst>
          </c:dPt>
          <c:cat>
            <c:strRef>
              <c:f>'PIVOT TABLE'!$N$6:$N$18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TABLE'!$P$6:$P$18</c:f>
              <c:numCache>
                <c:formatCode>_ "₹"\ * #,##0_ ;_ "₹"\ * \-#,##0_ ;_ "₹"\ * "-"??_ ;_ @_ </c:formatCode>
                <c:ptCount val="12"/>
                <c:pt idx="0">
                  <c:v>21611000</c:v>
                </c:pt>
                <c:pt idx="1">
                  <c:v>19929600</c:v>
                </c:pt>
                <c:pt idx="2">
                  <c:v>20582500</c:v>
                </c:pt>
                <c:pt idx="3">
                  <c:v>23459500</c:v>
                </c:pt>
                <c:pt idx="4">
                  <c:v>19935000</c:v>
                </c:pt>
                <c:pt idx="5">
                  <c:v>19320800</c:v>
                </c:pt>
                <c:pt idx="6">
                  <c:v>23226000</c:v>
                </c:pt>
                <c:pt idx="7">
                  <c:v>21499400</c:v>
                </c:pt>
                <c:pt idx="8">
                  <c:v>19222000</c:v>
                </c:pt>
                <c:pt idx="9">
                  <c:v>22610800</c:v>
                </c:pt>
                <c:pt idx="10">
                  <c:v>21456500</c:v>
                </c:pt>
                <c:pt idx="11">
                  <c:v>19054500</c:v>
                </c:pt>
              </c:numCache>
            </c:numRef>
          </c:val>
          <c:extLst>
            <c:ext xmlns:c16="http://schemas.microsoft.com/office/drawing/2014/chart" uri="{C3380CC4-5D6E-409C-BE32-E72D297353CC}">
              <c16:uniqueId val="{00000031-2F89-4AE1-86C5-95D9B44EB935}"/>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83023672521704"/>
          <c:y val="7.0216283060771253E-2"/>
          <c:w val="9.7745558247526745E-2"/>
          <c:h val="0.913466585907530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(1).xlsx]PIVOT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 WISE DATA</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s>
    <c:plotArea>
      <c:layout/>
      <c:barChart>
        <c:barDir val="bar"/>
        <c:grouping val="clustered"/>
        <c:varyColors val="0"/>
        <c:ser>
          <c:idx val="0"/>
          <c:order val="0"/>
          <c:tx>
            <c:strRef>
              <c:f>'PIVOT TABLE'!$G$28</c:f>
              <c:strCache>
                <c:ptCount val="1"/>
                <c:pt idx="0">
                  <c:v>Sum of Budget Amount</c:v>
                </c:pt>
              </c:strCache>
            </c:strRef>
          </c:tx>
          <c:spPr>
            <a:solidFill>
              <a:schemeClr val="accent1"/>
            </a:solidFill>
            <a:ln>
              <a:noFill/>
            </a:ln>
            <a:effectLst/>
          </c:spPr>
          <c:invertIfNegative val="0"/>
          <c:dPt>
            <c:idx val="0"/>
            <c:invertIfNegative val="0"/>
            <c:bubble3D val="0"/>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3-8418-4603-89B8-7F4FBA50AD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TABLE'!$F$29:$F$30</c:f>
              <c:strCache>
                <c:ptCount val="1"/>
                <c:pt idx="0">
                  <c:v>Kerala</c:v>
                </c:pt>
              </c:strCache>
            </c:strRef>
          </c:cat>
          <c:val>
            <c:numRef>
              <c:f>'PIVOT TABLE'!$G$29:$G$30</c:f>
              <c:numCache>
                <c:formatCode>_ "₹"\ * #,##0_ ;_ "₹"\ * \-#,##0_ ;_ "₹"\ * "-"??_ ;_ @_ </c:formatCode>
                <c:ptCount val="1"/>
                <c:pt idx="0">
                  <c:v>252697615</c:v>
                </c:pt>
              </c:numCache>
            </c:numRef>
          </c:val>
          <c:extLst>
            <c:ext xmlns:c16="http://schemas.microsoft.com/office/drawing/2014/chart" uri="{C3380CC4-5D6E-409C-BE32-E72D297353CC}">
              <c16:uniqueId val="{00000000-8418-4603-89B8-7F4FBA50ADAE}"/>
            </c:ext>
          </c:extLst>
        </c:ser>
        <c:ser>
          <c:idx val="1"/>
          <c:order val="1"/>
          <c:tx>
            <c:strRef>
              <c:f>'PIVOT TABLE'!$H$28</c:f>
              <c:strCache>
                <c:ptCount val="1"/>
                <c:pt idx="0">
                  <c:v>Sum of Actual Amount</c:v>
                </c:pt>
              </c:strCache>
            </c:strRef>
          </c:tx>
          <c:spPr>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TABLE'!$F$29:$F$30</c:f>
              <c:strCache>
                <c:ptCount val="1"/>
                <c:pt idx="0">
                  <c:v>Kerala</c:v>
                </c:pt>
              </c:strCache>
            </c:strRef>
          </c:cat>
          <c:val>
            <c:numRef>
              <c:f>'PIVOT TABLE'!$H$29:$H$30</c:f>
              <c:numCache>
                <c:formatCode>_ "₹"\ * #,##0_ ;_ "₹"\ * \-#,##0_ ;_ "₹"\ * "-"??_ ;_ @_ </c:formatCode>
                <c:ptCount val="1"/>
                <c:pt idx="0">
                  <c:v>251907600</c:v>
                </c:pt>
              </c:numCache>
            </c:numRef>
          </c:val>
          <c:extLst>
            <c:ext xmlns:c16="http://schemas.microsoft.com/office/drawing/2014/chart" uri="{C3380CC4-5D6E-409C-BE32-E72D297353CC}">
              <c16:uniqueId val="{00000001-8418-4603-89B8-7F4FBA50ADAE}"/>
            </c:ext>
          </c:extLst>
        </c:ser>
        <c:dLbls>
          <c:showLegendKey val="0"/>
          <c:showVal val="1"/>
          <c:showCatName val="0"/>
          <c:showSerName val="0"/>
          <c:showPercent val="0"/>
          <c:showBubbleSize val="0"/>
        </c:dLbls>
        <c:gapWidth val="182"/>
        <c:axId val="960579311"/>
        <c:axId val="439247471"/>
      </c:barChart>
      <c:catAx>
        <c:axId val="96057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247471"/>
        <c:crosses val="autoZero"/>
        <c:auto val="1"/>
        <c:lblAlgn val="ctr"/>
        <c:lblOffset val="100"/>
        <c:noMultiLvlLbl val="0"/>
      </c:catAx>
      <c:valAx>
        <c:axId val="439247471"/>
        <c:scaling>
          <c:orientation val="minMax"/>
        </c:scaling>
        <c:delete val="1"/>
        <c:axPos val="b"/>
        <c:numFmt formatCode="_ &quot;₹&quot;\ * #,##0_ ;_ &quot;₹&quot;\ * \-#,##0_ ;_ &quot;₹&quot;\ * &quot;-&quot;??_ ;_ @_ " sourceLinked="1"/>
        <c:majorTickMark val="none"/>
        <c:minorTickMark val="none"/>
        <c:tickLblPos val="nextTo"/>
        <c:crossAx val="960579311"/>
        <c:crosses val="autoZero"/>
        <c:crossBetween val="between"/>
      </c:valAx>
      <c:spPr>
        <a:noFill/>
        <a:ln>
          <a:noFill/>
        </a:ln>
        <a:effectLst/>
      </c:spPr>
    </c:plotArea>
    <c:legend>
      <c:legendPos val="r"/>
      <c:layout>
        <c:manualLayout>
          <c:xMode val="edge"/>
          <c:yMode val="edge"/>
          <c:x val="0.81697607142172923"/>
          <c:y val="0.30351722089784644"/>
          <c:w val="0.17259639990256692"/>
          <c:h val="0.28175210896803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freepngimg.com/png/13300-finance-free-png-image" TargetMode="External"/><Relationship Id="rId13" Type="http://schemas.openxmlformats.org/officeDocument/2006/relationships/image" Target="../media/image11.png"/><Relationship Id="rId18" Type="http://schemas.openxmlformats.org/officeDocument/2006/relationships/chart" Target="../charts/chart4.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hyperlink" Target="https://svgsilh.com/009688/image/2189139.html" TargetMode="External"/><Relationship Id="rId17" Type="http://schemas.openxmlformats.org/officeDocument/2006/relationships/chart" Target="../charts/chart3.xml"/><Relationship Id="rId2" Type="http://schemas.openxmlformats.org/officeDocument/2006/relationships/image" Target="../media/image3.svg"/><Relationship Id="rId16" Type="http://schemas.openxmlformats.org/officeDocument/2006/relationships/chart" Target="../charts/chart2.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0.png"/><Relationship Id="rId5" Type="http://schemas.openxmlformats.org/officeDocument/2006/relationships/image" Target="../media/image6.png"/><Relationship Id="rId15" Type="http://schemas.openxmlformats.org/officeDocument/2006/relationships/chart" Target="../charts/chart1.xml"/><Relationship Id="rId10" Type="http://schemas.openxmlformats.org/officeDocument/2006/relationships/hyperlink" Target="https://freepngimg.com/png/13303-finance-png-file" TargetMode="External"/><Relationship Id="rId19" Type="http://schemas.openxmlformats.org/officeDocument/2006/relationships/chart" Target="../charts/chart5.xml"/><Relationship Id="rId4" Type="http://schemas.openxmlformats.org/officeDocument/2006/relationships/image" Target="../media/image5.svg"/><Relationship Id="rId9" Type="http://schemas.openxmlformats.org/officeDocument/2006/relationships/image" Target="../media/image9.png"/><Relationship Id="rId14" Type="http://schemas.openxmlformats.org/officeDocument/2006/relationships/hyperlink" Target="https://freepngimg.com/png/48645-debt-photos-download-free-image"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548640</xdr:colOff>
      <xdr:row>40</xdr:row>
      <xdr:rowOff>7620</xdr:rowOff>
    </xdr:to>
    <xdr:sp macro="" textlink="">
      <xdr:nvSpPr>
        <xdr:cNvPr id="2" name="Rectangle 1">
          <a:extLst>
            <a:ext uri="{FF2B5EF4-FFF2-40B4-BE49-F238E27FC236}">
              <a16:creationId xmlns:a16="http://schemas.microsoft.com/office/drawing/2014/main" id="{BF0BDD65-51CA-7D91-856C-CA101DE61720}"/>
            </a:ext>
          </a:extLst>
        </xdr:cNvPr>
        <xdr:cNvSpPr/>
      </xdr:nvSpPr>
      <xdr:spPr>
        <a:xfrm>
          <a:off x="0" y="0"/>
          <a:ext cx="15179040" cy="7322820"/>
        </a:xfrm>
        <a:prstGeom prst="rect">
          <a:avLst/>
        </a:prstGeom>
        <a:solidFill>
          <a:schemeClr val="accent1">
            <a:lumMod val="50000"/>
          </a:schemeClr>
        </a:solidFill>
        <a:ln>
          <a:noFill/>
        </a:ln>
        <a:effectLst>
          <a:glow rad="63500">
            <a:schemeClr val="accent1">
              <a:satMod val="175000"/>
              <a:alpha val="40000"/>
            </a:schemeClr>
          </a:glo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83820</xdr:colOff>
      <xdr:row>0</xdr:row>
      <xdr:rowOff>91440</xdr:rowOff>
    </xdr:from>
    <xdr:to>
      <xdr:col>2</xdr:col>
      <xdr:colOff>160620</xdr:colOff>
      <xdr:row>3</xdr:row>
      <xdr:rowOff>169200</xdr:rowOff>
    </xdr:to>
    <xdr:sp macro="" textlink="">
      <xdr:nvSpPr>
        <xdr:cNvPr id="3" name="Rectangle: Rounded Corners 2">
          <a:extLst>
            <a:ext uri="{FF2B5EF4-FFF2-40B4-BE49-F238E27FC236}">
              <a16:creationId xmlns:a16="http://schemas.microsoft.com/office/drawing/2014/main" id="{54073A9A-E427-4F6F-8637-B77A44B76914}"/>
            </a:ext>
          </a:extLst>
        </xdr:cNvPr>
        <xdr:cNvSpPr/>
      </xdr:nvSpPr>
      <xdr:spPr>
        <a:xfrm>
          <a:off x="83820" y="91440"/>
          <a:ext cx="1296000" cy="626400"/>
        </a:xfrm>
        <a:prstGeom prst="roundRect">
          <a:avLst/>
        </a:prstGeom>
        <a:solidFill>
          <a:schemeClr val="tx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HEALTH CARE</a:t>
          </a:r>
        </a:p>
      </xdr:txBody>
    </xdr:sp>
    <xdr:clientData/>
  </xdr:twoCellAnchor>
  <xdr:twoCellAnchor>
    <xdr:from>
      <xdr:col>2</xdr:col>
      <xdr:colOff>312420</xdr:colOff>
      <xdr:row>0</xdr:row>
      <xdr:rowOff>106680</xdr:rowOff>
    </xdr:from>
    <xdr:to>
      <xdr:col>23</xdr:col>
      <xdr:colOff>129540</xdr:colOff>
      <xdr:row>4</xdr:row>
      <xdr:rowOff>1560</xdr:rowOff>
    </xdr:to>
    <xdr:sp macro="" textlink="">
      <xdr:nvSpPr>
        <xdr:cNvPr id="6" name="Rectangle: Rounded Corners 5">
          <a:extLst>
            <a:ext uri="{FF2B5EF4-FFF2-40B4-BE49-F238E27FC236}">
              <a16:creationId xmlns:a16="http://schemas.microsoft.com/office/drawing/2014/main" id="{143B8E0F-59C5-4315-8BA7-1B32886A59E6}"/>
            </a:ext>
          </a:extLst>
        </xdr:cNvPr>
        <xdr:cNvSpPr/>
      </xdr:nvSpPr>
      <xdr:spPr>
        <a:xfrm>
          <a:off x="1531620" y="106680"/>
          <a:ext cx="12618720" cy="626400"/>
        </a:xfrm>
        <a:prstGeom prst="roundRect">
          <a:avLst/>
        </a:prstGeom>
        <a:solidFill>
          <a:schemeClr val="tx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510540</xdr:colOff>
      <xdr:row>1</xdr:row>
      <xdr:rowOff>91440</xdr:rowOff>
    </xdr:from>
    <xdr:to>
      <xdr:col>1</xdr:col>
      <xdr:colOff>350520</xdr:colOff>
      <xdr:row>3</xdr:row>
      <xdr:rowOff>175260</xdr:rowOff>
    </xdr:to>
    <xdr:pic>
      <xdr:nvPicPr>
        <xdr:cNvPr id="24" name="Graphic 23" descr="Heart organ with solid fill">
          <a:extLst>
            <a:ext uri="{FF2B5EF4-FFF2-40B4-BE49-F238E27FC236}">
              <a16:creationId xmlns:a16="http://schemas.microsoft.com/office/drawing/2014/main" id="{B85BC518-C048-60F2-C6B1-D045C83FC2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0540" y="274320"/>
          <a:ext cx="449580" cy="449580"/>
        </a:xfrm>
        <a:prstGeom prst="rect">
          <a:avLst/>
        </a:prstGeom>
      </xdr:spPr>
    </xdr:pic>
    <xdr:clientData/>
  </xdr:twoCellAnchor>
  <xdr:twoCellAnchor editAs="oneCell">
    <xdr:from>
      <xdr:col>22</xdr:col>
      <xdr:colOff>0</xdr:colOff>
      <xdr:row>0</xdr:row>
      <xdr:rowOff>99060</xdr:rowOff>
    </xdr:from>
    <xdr:to>
      <xdr:col>23</xdr:col>
      <xdr:colOff>106680</xdr:colOff>
      <xdr:row>4</xdr:row>
      <xdr:rowOff>22860</xdr:rowOff>
    </xdr:to>
    <xdr:pic>
      <xdr:nvPicPr>
        <xdr:cNvPr id="26" name="Graphic 25" descr="Laptop with solid fill">
          <a:extLst>
            <a:ext uri="{FF2B5EF4-FFF2-40B4-BE49-F238E27FC236}">
              <a16:creationId xmlns:a16="http://schemas.microsoft.com/office/drawing/2014/main" id="{A4C2C7ED-B4F9-58FB-96B3-6AB15BA5E9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11200" y="99060"/>
          <a:ext cx="716280" cy="655320"/>
        </a:xfrm>
        <a:prstGeom prst="rect">
          <a:avLst/>
        </a:prstGeom>
      </xdr:spPr>
    </xdr:pic>
    <xdr:clientData/>
  </xdr:twoCellAnchor>
  <xdr:twoCellAnchor editAs="oneCell">
    <xdr:from>
      <xdr:col>2</xdr:col>
      <xdr:colOff>287580</xdr:colOff>
      <xdr:row>0</xdr:row>
      <xdr:rowOff>74220</xdr:rowOff>
    </xdr:from>
    <xdr:to>
      <xdr:col>3</xdr:col>
      <xdr:colOff>335280</xdr:colOff>
      <xdr:row>4</xdr:row>
      <xdr:rowOff>0</xdr:rowOff>
    </xdr:to>
    <xdr:pic>
      <xdr:nvPicPr>
        <xdr:cNvPr id="32" name="Graphic 31" descr="Presentation with bar chart with solid fill">
          <a:extLst>
            <a:ext uri="{FF2B5EF4-FFF2-40B4-BE49-F238E27FC236}">
              <a16:creationId xmlns:a16="http://schemas.microsoft.com/office/drawing/2014/main" id="{A5CB97CC-844C-1614-1EB9-1FE122F379E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06780" y="74220"/>
          <a:ext cx="657300" cy="657300"/>
        </a:xfrm>
        <a:prstGeom prst="rect">
          <a:avLst/>
        </a:prstGeom>
      </xdr:spPr>
    </xdr:pic>
    <xdr:clientData/>
  </xdr:twoCellAnchor>
  <xdr:twoCellAnchor>
    <xdr:from>
      <xdr:col>5</xdr:col>
      <xdr:colOff>449580</xdr:colOff>
      <xdr:row>0</xdr:row>
      <xdr:rowOff>175260</xdr:rowOff>
    </xdr:from>
    <xdr:to>
      <xdr:col>16</xdr:col>
      <xdr:colOff>320040</xdr:colOff>
      <xdr:row>2</xdr:row>
      <xdr:rowOff>175260</xdr:rowOff>
    </xdr:to>
    <xdr:sp macro="" textlink="">
      <xdr:nvSpPr>
        <xdr:cNvPr id="33" name="TextBox 32">
          <a:extLst>
            <a:ext uri="{FF2B5EF4-FFF2-40B4-BE49-F238E27FC236}">
              <a16:creationId xmlns:a16="http://schemas.microsoft.com/office/drawing/2014/main" id="{4B377CA7-DA32-156F-081C-EF94E136F18A}"/>
            </a:ext>
          </a:extLst>
        </xdr:cNvPr>
        <xdr:cNvSpPr txBox="1"/>
      </xdr:nvSpPr>
      <xdr:spPr>
        <a:xfrm>
          <a:off x="3497580" y="175260"/>
          <a:ext cx="6576060" cy="365760"/>
        </a:xfrm>
        <a:prstGeom prst="rect">
          <a:avLst/>
        </a:prstGeom>
        <a:noFill/>
        <a:ln w="9525" cmpd="sng">
          <a:noFill/>
        </a:ln>
        <a:effectLst>
          <a:glow rad="63500">
            <a:schemeClr val="accent1">
              <a:satMod val="175000"/>
              <a:alpha val="40000"/>
            </a:schemeClr>
          </a:glow>
          <a:outerShdw blurRad="107950" dist="12700" dir="5400000" algn="ctr">
            <a:srgbClr val="000000"/>
          </a:outerShdw>
          <a:reflection blurRad="6350" stA="50000" endA="300" endPos="55000" dir="5400000" sy="-100000" algn="bl" rotWithShape="0"/>
        </a:effectLst>
        <a:scene3d>
          <a:camera prst="orthographicFront"/>
          <a:lightRig rig="sunset" dir="t"/>
        </a:scene3d>
        <a:sp3d extrusionH="76200">
          <a:extrusionClr>
            <a:schemeClr val="tx2">
              <a:lumMod val="10000"/>
              <a:lumOff val="90000"/>
            </a:schemeClr>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aseline="0"/>
            <a:t>    </a:t>
          </a:r>
          <a:r>
            <a:rPr lang="en-IN" sz="1700">
              <a:solidFill>
                <a:schemeClr val="bg1"/>
              </a:solidFill>
            </a:rPr>
            <a:t>HEALTHCARE</a:t>
          </a:r>
          <a:r>
            <a:rPr lang="en-IN" sz="1700" baseline="0">
              <a:solidFill>
                <a:schemeClr val="bg1"/>
              </a:solidFill>
            </a:rPr>
            <a:t> FINANCIAL VARIANCE DATA ANALYSIS DASHBOARD</a:t>
          </a:r>
          <a:endParaRPr lang="en-IN" sz="1700">
            <a:solidFill>
              <a:schemeClr val="bg1"/>
            </a:solidFill>
          </a:endParaRPr>
        </a:p>
      </xdr:txBody>
    </xdr:sp>
    <xdr:clientData/>
  </xdr:twoCellAnchor>
  <xdr:twoCellAnchor>
    <xdr:from>
      <xdr:col>2</xdr:col>
      <xdr:colOff>373380</xdr:colOff>
      <xdr:row>4</xdr:row>
      <xdr:rowOff>45720</xdr:rowOff>
    </xdr:from>
    <xdr:to>
      <xdr:col>6</xdr:col>
      <xdr:colOff>94980</xdr:colOff>
      <xdr:row>7</xdr:row>
      <xdr:rowOff>181080</xdr:rowOff>
    </xdr:to>
    <xdr:sp macro="" textlink="">
      <xdr:nvSpPr>
        <xdr:cNvPr id="35" name="Rectangle: Rounded Corners 34">
          <a:extLst>
            <a:ext uri="{FF2B5EF4-FFF2-40B4-BE49-F238E27FC236}">
              <a16:creationId xmlns:a16="http://schemas.microsoft.com/office/drawing/2014/main" id="{647FA10E-59AA-38F3-0C54-A3FDA9EE11B5}"/>
            </a:ext>
          </a:extLst>
        </xdr:cNvPr>
        <xdr:cNvSpPr/>
      </xdr:nvSpPr>
      <xdr:spPr>
        <a:xfrm>
          <a:off x="1592580" y="777240"/>
          <a:ext cx="2160000" cy="6840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571500</xdr:colOff>
      <xdr:row>4</xdr:row>
      <xdr:rowOff>83820</xdr:rowOff>
    </xdr:from>
    <xdr:to>
      <xdr:col>23</xdr:col>
      <xdr:colOff>83820</xdr:colOff>
      <xdr:row>24</xdr:row>
      <xdr:rowOff>7620</xdr:rowOff>
    </xdr:to>
    <xdr:sp macro="" textlink="">
      <xdr:nvSpPr>
        <xdr:cNvPr id="36" name="Rectangle: Rounded Corners 35">
          <a:extLst>
            <a:ext uri="{FF2B5EF4-FFF2-40B4-BE49-F238E27FC236}">
              <a16:creationId xmlns:a16="http://schemas.microsoft.com/office/drawing/2014/main" id="{3E819812-8939-44EF-80E5-DE652BEFB158}"/>
            </a:ext>
          </a:extLst>
        </xdr:cNvPr>
        <xdr:cNvSpPr/>
      </xdr:nvSpPr>
      <xdr:spPr>
        <a:xfrm>
          <a:off x="10934700" y="815340"/>
          <a:ext cx="3169920" cy="35814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495300</xdr:colOff>
      <xdr:row>4</xdr:row>
      <xdr:rowOff>45720</xdr:rowOff>
    </xdr:from>
    <xdr:to>
      <xdr:col>17</xdr:col>
      <xdr:colOff>216900</xdr:colOff>
      <xdr:row>7</xdr:row>
      <xdr:rowOff>181080</xdr:rowOff>
    </xdr:to>
    <xdr:sp macro="" textlink="">
      <xdr:nvSpPr>
        <xdr:cNvPr id="37" name="Rectangle: Rounded Corners 36">
          <a:extLst>
            <a:ext uri="{FF2B5EF4-FFF2-40B4-BE49-F238E27FC236}">
              <a16:creationId xmlns:a16="http://schemas.microsoft.com/office/drawing/2014/main" id="{AC64C012-130B-466E-8D77-B6BFC43BF020}"/>
            </a:ext>
          </a:extLst>
        </xdr:cNvPr>
        <xdr:cNvSpPr/>
      </xdr:nvSpPr>
      <xdr:spPr>
        <a:xfrm>
          <a:off x="8420100" y="777240"/>
          <a:ext cx="2160000" cy="6840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48260</xdr:colOff>
      <xdr:row>4</xdr:row>
      <xdr:rowOff>45720</xdr:rowOff>
    </xdr:from>
    <xdr:to>
      <xdr:col>13</xdr:col>
      <xdr:colOff>379460</xdr:colOff>
      <xdr:row>7</xdr:row>
      <xdr:rowOff>181080</xdr:rowOff>
    </xdr:to>
    <xdr:sp macro="" textlink="">
      <xdr:nvSpPr>
        <xdr:cNvPr id="38" name="Rectangle: Rounded Corners 37">
          <a:extLst>
            <a:ext uri="{FF2B5EF4-FFF2-40B4-BE49-F238E27FC236}">
              <a16:creationId xmlns:a16="http://schemas.microsoft.com/office/drawing/2014/main" id="{C6E4DE02-9DA7-433C-918A-F8BE704E5080}"/>
            </a:ext>
          </a:extLst>
        </xdr:cNvPr>
        <xdr:cNvSpPr/>
      </xdr:nvSpPr>
      <xdr:spPr>
        <a:xfrm>
          <a:off x="6144260" y="777240"/>
          <a:ext cx="2160000" cy="6840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210820</xdr:colOff>
      <xdr:row>4</xdr:row>
      <xdr:rowOff>45720</xdr:rowOff>
    </xdr:from>
    <xdr:to>
      <xdr:col>9</xdr:col>
      <xdr:colOff>542020</xdr:colOff>
      <xdr:row>7</xdr:row>
      <xdr:rowOff>181080</xdr:rowOff>
    </xdr:to>
    <xdr:sp macro="" textlink="">
      <xdr:nvSpPr>
        <xdr:cNvPr id="39" name="Rectangle: Rounded Corners 38">
          <a:extLst>
            <a:ext uri="{FF2B5EF4-FFF2-40B4-BE49-F238E27FC236}">
              <a16:creationId xmlns:a16="http://schemas.microsoft.com/office/drawing/2014/main" id="{B29C1A5F-379E-4D3E-B122-F8E7856AE947}"/>
            </a:ext>
          </a:extLst>
        </xdr:cNvPr>
        <xdr:cNvSpPr/>
      </xdr:nvSpPr>
      <xdr:spPr>
        <a:xfrm>
          <a:off x="3868420" y="777240"/>
          <a:ext cx="2160000" cy="6840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4</xdr:row>
      <xdr:rowOff>114300</xdr:rowOff>
    </xdr:from>
    <xdr:to>
      <xdr:col>2</xdr:col>
      <xdr:colOff>236220</xdr:colOff>
      <xdr:row>38</xdr:row>
      <xdr:rowOff>114300</xdr:rowOff>
    </xdr:to>
    <xdr:sp macro="" textlink="">
      <xdr:nvSpPr>
        <xdr:cNvPr id="43" name="Rectangle: Rounded Corners 42">
          <a:extLst>
            <a:ext uri="{FF2B5EF4-FFF2-40B4-BE49-F238E27FC236}">
              <a16:creationId xmlns:a16="http://schemas.microsoft.com/office/drawing/2014/main" id="{B560152E-B025-463A-AD61-219BE6818AA8}"/>
            </a:ext>
          </a:extLst>
        </xdr:cNvPr>
        <xdr:cNvSpPr/>
      </xdr:nvSpPr>
      <xdr:spPr>
        <a:xfrm>
          <a:off x="68580" y="845820"/>
          <a:ext cx="1386840" cy="621792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289561</xdr:colOff>
      <xdr:row>4</xdr:row>
      <xdr:rowOff>34016</xdr:rowOff>
    </xdr:from>
    <xdr:to>
      <xdr:col>6</xdr:col>
      <xdr:colOff>129540</xdr:colOff>
      <xdr:row>5</xdr:row>
      <xdr:rowOff>174433</xdr:rowOff>
    </xdr:to>
    <xdr:pic>
      <xdr:nvPicPr>
        <xdr:cNvPr id="46" name="Picture 45">
          <a:extLst>
            <a:ext uri="{FF2B5EF4-FFF2-40B4-BE49-F238E27FC236}">
              <a16:creationId xmlns:a16="http://schemas.microsoft.com/office/drawing/2014/main" id="{15AE3B99-5275-D4AD-8983-6A04ACE5932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rcRect/>
        <a:stretch/>
      </xdr:blipFill>
      <xdr:spPr>
        <a:xfrm flipV="1">
          <a:off x="3337561" y="765536"/>
          <a:ext cx="449579" cy="323297"/>
        </a:xfrm>
        <a:prstGeom prst="rect">
          <a:avLst/>
        </a:prstGeom>
      </xdr:spPr>
    </xdr:pic>
    <xdr:clientData/>
  </xdr:twoCellAnchor>
  <xdr:twoCellAnchor editAs="oneCell">
    <xdr:from>
      <xdr:col>12</xdr:col>
      <xdr:colOff>586742</xdr:colOff>
      <xdr:row>4</xdr:row>
      <xdr:rowOff>15241</xdr:rowOff>
    </xdr:from>
    <xdr:to>
      <xdr:col>13</xdr:col>
      <xdr:colOff>414580</xdr:colOff>
      <xdr:row>6</xdr:row>
      <xdr:rowOff>45720</xdr:rowOff>
    </xdr:to>
    <xdr:pic>
      <xdr:nvPicPr>
        <xdr:cNvPr id="49" name="Picture 48">
          <a:extLst>
            <a:ext uri="{FF2B5EF4-FFF2-40B4-BE49-F238E27FC236}">
              <a16:creationId xmlns:a16="http://schemas.microsoft.com/office/drawing/2014/main" id="{4E458CCC-974B-73B2-3DF9-D14E2948224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7901942" y="746761"/>
          <a:ext cx="437438" cy="396239"/>
        </a:xfrm>
        <a:prstGeom prst="rect">
          <a:avLst/>
        </a:prstGeom>
      </xdr:spPr>
    </xdr:pic>
    <xdr:clientData/>
  </xdr:twoCellAnchor>
  <xdr:twoCellAnchor editAs="oneCell">
    <xdr:from>
      <xdr:col>9</xdr:col>
      <xdr:colOff>106680</xdr:colOff>
      <xdr:row>4</xdr:row>
      <xdr:rowOff>60962</xdr:rowOff>
    </xdr:from>
    <xdr:to>
      <xdr:col>9</xdr:col>
      <xdr:colOff>556260</xdr:colOff>
      <xdr:row>6</xdr:row>
      <xdr:rowOff>1653</xdr:rowOff>
    </xdr:to>
    <xdr:pic>
      <xdr:nvPicPr>
        <xdr:cNvPr id="58" name="Picture 57">
          <a:extLst>
            <a:ext uri="{FF2B5EF4-FFF2-40B4-BE49-F238E27FC236}">
              <a16:creationId xmlns:a16="http://schemas.microsoft.com/office/drawing/2014/main" id="{B298EDDA-7EE3-8510-3D5C-85026DC336F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5593080" y="792482"/>
          <a:ext cx="449580" cy="306451"/>
        </a:xfrm>
        <a:prstGeom prst="rect">
          <a:avLst/>
        </a:prstGeom>
      </xdr:spPr>
    </xdr:pic>
    <xdr:clientData/>
  </xdr:twoCellAnchor>
  <xdr:twoCellAnchor editAs="oneCell">
    <xdr:from>
      <xdr:col>16</xdr:col>
      <xdr:colOff>312421</xdr:colOff>
      <xdr:row>4</xdr:row>
      <xdr:rowOff>53342</xdr:rowOff>
    </xdr:from>
    <xdr:to>
      <xdr:col>17</xdr:col>
      <xdr:colOff>297180</xdr:colOff>
      <xdr:row>6</xdr:row>
      <xdr:rowOff>28176</xdr:rowOff>
    </xdr:to>
    <xdr:pic>
      <xdr:nvPicPr>
        <xdr:cNvPr id="63" name="Picture 62">
          <a:extLst>
            <a:ext uri="{FF2B5EF4-FFF2-40B4-BE49-F238E27FC236}">
              <a16:creationId xmlns:a16="http://schemas.microsoft.com/office/drawing/2014/main" id="{707D614D-E024-1BF0-7129-F143C9BF9A9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10066021" y="784862"/>
          <a:ext cx="594359" cy="340594"/>
        </a:xfrm>
        <a:prstGeom prst="rect">
          <a:avLst/>
        </a:prstGeom>
      </xdr:spPr>
    </xdr:pic>
    <xdr:clientData/>
  </xdr:twoCellAnchor>
  <xdr:twoCellAnchor>
    <xdr:from>
      <xdr:col>2</xdr:col>
      <xdr:colOff>419100</xdr:colOff>
      <xdr:row>4</xdr:row>
      <xdr:rowOff>45720</xdr:rowOff>
    </xdr:from>
    <xdr:to>
      <xdr:col>5</xdr:col>
      <xdr:colOff>144780</xdr:colOff>
      <xdr:row>6</xdr:row>
      <xdr:rowOff>83820</xdr:rowOff>
    </xdr:to>
    <xdr:sp macro="" textlink="">
      <xdr:nvSpPr>
        <xdr:cNvPr id="65" name="TextBox 64">
          <a:extLst>
            <a:ext uri="{FF2B5EF4-FFF2-40B4-BE49-F238E27FC236}">
              <a16:creationId xmlns:a16="http://schemas.microsoft.com/office/drawing/2014/main" id="{ABE83AB9-1327-A499-5B85-9D776FFFCA83}"/>
            </a:ext>
          </a:extLst>
        </xdr:cNvPr>
        <xdr:cNvSpPr txBox="1"/>
      </xdr:nvSpPr>
      <xdr:spPr>
        <a:xfrm>
          <a:off x="1638300" y="777240"/>
          <a:ext cx="15544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0">
              <a:solidFill>
                <a:schemeClr val="dk1"/>
              </a:solidFill>
              <a:effectLst/>
              <a:latin typeface="+mn-lt"/>
              <a:ea typeface="+mn-ea"/>
              <a:cs typeface="+mn-cs"/>
            </a:rPr>
            <a:t> </a:t>
          </a:r>
          <a:endParaRPr lang="en-IN" sz="1000">
            <a:effectLst/>
          </a:endParaRPr>
        </a:p>
        <a:p>
          <a:endParaRPr lang="en-IN" sz="100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483870</xdr:colOff>
      <xdr:row>4</xdr:row>
      <xdr:rowOff>144780</xdr:rowOff>
    </xdr:from>
    <xdr:to>
      <xdr:col>9</xdr:col>
      <xdr:colOff>247650</xdr:colOff>
      <xdr:row>6</xdr:row>
      <xdr:rowOff>15240</xdr:rowOff>
    </xdr:to>
    <xdr:sp macro="" textlink="">
      <xdr:nvSpPr>
        <xdr:cNvPr id="74" name="TextBox 73">
          <a:extLst>
            <a:ext uri="{FF2B5EF4-FFF2-40B4-BE49-F238E27FC236}">
              <a16:creationId xmlns:a16="http://schemas.microsoft.com/office/drawing/2014/main" id="{096F902D-696B-C11C-A4B4-C0B797927E43}"/>
            </a:ext>
          </a:extLst>
        </xdr:cNvPr>
        <xdr:cNvSpPr txBox="1"/>
      </xdr:nvSpPr>
      <xdr:spPr>
        <a:xfrm>
          <a:off x="4141470" y="876300"/>
          <a:ext cx="15925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 ACUTAL REVENUE</a:t>
          </a:r>
        </a:p>
      </xdr:txBody>
    </xdr:sp>
    <xdr:clientData/>
  </xdr:twoCellAnchor>
  <xdr:twoCellAnchor>
    <xdr:from>
      <xdr:col>10</xdr:col>
      <xdr:colOff>129540</xdr:colOff>
      <xdr:row>4</xdr:row>
      <xdr:rowOff>167640</xdr:rowOff>
    </xdr:from>
    <xdr:to>
      <xdr:col>14</xdr:col>
      <xdr:colOff>7620</xdr:colOff>
      <xdr:row>6</xdr:row>
      <xdr:rowOff>83820</xdr:rowOff>
    </xdr:to>
    <xdr:sp macro="" textlink="">
      <xdr:nvSpPr>
        <xdr:cNvPr id="76" name="TextBox 75">
          <a:extLst>
            <a:ext uri="{FF2B5EF4-FFF2-40B4-BE49-F238E27FC236}">
              <a16:creationId xmlns:a16="http://schemas.microsoft.com/office/drawing/2014/main" id="{037799E8-C7C5-D6FA-9F19-AC3773D28318}"/>
            </a:ext>
          </a:extLst>
        </xdr:cNvPr>
        <xdr:cNvSpPr txBox="1"/>
      </xdr:nvSpPr>
      <xdr:spPr>
        <a:xfrm>
          <a:off x="6225540" y="899160"/>
          <a:ext cx="2316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TOTAL</a:t>
          </a:r>
          <a:r>
            <a:rPr lang="en-IN" sz="1050" baseline="0">
              <a:solidFill>
                <a:schemeClr val="bg1"/>
              </a:solidFill>
            </a:rPr>
            <a:t> BUDGTED EXPENSE</a:t>
          </a:r>
        </a:p>
        <a:p>
          <a:endParaRPr lang="en-IN" sz="900">
            <a:solidFill>
              <a:schemeClr val="bg1"/>
            </a:solidFill>
          </a:endParaRPr>
        </a:p>
      </xdr:txBody>
    </xdr:sp>
    <xdr:clientData/>
  </xdr:twoCellAnchor>
  <xdr:twoCellAnchor>
    <xdr:from>
      <xdr:col>2</xdr:col>
      <xdr:colOff>533400</xdr:colOff>
      <xdr:row>4</xdr:row>
      <xdr:rowOff>152400</xdr:rowOff>
    </xdr:from>
    <xdr:to>
      <xdr:col>5</xdr:col>
      <xdr:colOff>525780</xdr:colOff>
      <xdr:row>6</xdr:row>
      <xdr:rowOff>53340</xdr:rowOff>
    </xdr:to>
    <xdr:sp macro="" textlink="">
      <xdr:nvSpPr>
        <xdr:cNvPr id="77" name="TextBox 76">
          <a:extLst>
            <a:ext uri="{FF2B5EF4-FFF2-40B4-BE49-F238E27FC236}">
              <a16:creationId xmlns:a16="http://schemas.microsoft.com/office/drawing/2014/main" id="{1C906F61-C81A-F9C3-A13D-C48CCB4BF379}"/>
            </a:ext>
          </a:extLst>
        </xdr:cNvPr>
        <xdr:cNvSpPr txBox="1"/>
      </xdr:nvSpPr>
      <xdr:spPr>
        <a:xfrm>
          <a:off x="1752600" y="883920"/>
          <a:ext cx="18211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a:t>
          </a:r>
          <a:r>
            <a:rPr lang="en-IN" sz="1100" baseline="0">
              <a:solidFill>
                <a:schemeClr val="bg1"/>
              </a:solidFill>
            </a:rPr>
            <a:t> BUDGTED REVENUE</a:t>
          </a:r>
          <a:endParaRPr lang="en-IN" sz="1100">
            <a:solidFill>
              <a:schemeClr val="bg1"/>
            </a:solidFill>
          </a:endParaRPr>
        </a:p>
      </xdr:txBody>
    </xdr:sp>
    <xdr:clientData/>
  </xdr:twoCellAnchor>
  <xdr:twoCellAnchor>
    <xdr:from>
      <xdr:col>14</xdr:col>
      <xdr:colOff>22860</xdr:colOff>
      <xdr:row>4</xdr:row>
      <xdr:rowOff>152400</xdr:rowOff>
    </xdr:from>
    <xdr:to>
      <xdr:col>17</xdr:col>
      <xdr:colOff>182880</xdr:colOff>
      <xdr:row>6</xdr:row>
      <xdr:rowOff>53340</xdr:rowOff>
    </xdr:to>
    <xdr:sp macro="" textlink="">
      <xdr:nvSpPr>
        <xdr:cNvPr id="78" name="TextBox 77">
          <a:extLst>
            <a:ext uri="{FF2B5EF4-FFF2-40B4-BE49-F238E27FC236}">
              <a16:creationId xmlns:a16="http://schemas.microsoft.com/office/drawing/2014/main" id="{BDC50AA8-D8F8-B352-E779-1B4C4DE30648}"/>
            </a:ext>
          </a:extLst>
        </xdr:cNvPr>
        <xdr:cNvSpPr txBox="1"/>
      </xdr:nvSpPr>
      <xdr:spPr>
        <a:xfrm>
          <a:off x="8557260" y="883920"/>
          <a:ext cx="19888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 ACTUAL EXPENSE</a:t>
          </a:r>
        </a:p>
      </xdr:txBody>
    </xdr:sp>
    <xdr:clientData/>
  </xdr:twoCellAnchor>
  <xdr:twoCellAnchor>
    <xdr:from>
      <xdr:col>3</xdr:col>
      <xdr:colOff>106680</xdr:colOff>
      <xdr:row>6</xdr:row>
      <xdr:rowOff>15240</xdr:rowOff>
    </xdr:from>
    <xdr:to>
      <xdr:col>5</xdr:col>
      <xdr:colOff>502920</xdr:colOff>
      <xdr:row>7</xdr:row>
      <xdr:rowOff>114300</xdr:rowOff>
    </xdr:to>
    <xdr:sp macro="" textlink="KPI!O16">
      <xdr:nvSpPr>
        <xdr:cNvPr id="80" name="TextBox 79">
          <a:extLst>
            <a:ext uri="{FF2B5EF4-FFF2-40B4-BE49-F238E27FC236}">
              <a16:creationId xmlns:a16="http://schemas.microsoft.com/office/drawing/2014/main" id="{7A5A69CD-FEAE-E95C-F03E-7C026DA7EF9A}"/>
            </a:ext>
          </a:extLst>
        </xdr:cNvPr>
        <xdr:cNvSpPr txBox="1"/>
      </xdr:nvSpPr>
      <xdr:spPr>
        <a:xfrm>
          <a:off x="1935480" y="1112520"/>
          <a:ext cx="16154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6CFEF1-5B7A-4AD6-966A-F7848D98AC5F}" type="TxLink">
            <a:rPr lang="en-US" sz="1400" b="0" i="0" u="none" strike="noStrike">
              <a:solidFill>
                <a:schemeClr val="bg1"/>
              </a:solidFill>
              <a:latin typeface="Aptos Narrow"/>
            </a:rPr>
            <a:pPr/>
            <a:t> ₹ 16,74,18,963 </a:t>
          </a:fld>
          <a:endParaRPr lang="en-IN" sz="1400">
            <a:solidFill>
              <a:schemeClr val="bg1"/>
            </a:solidFill>
          </a:endParaRPr>
        </a:p>
      </xdr:txBody>
    </xdr:sp>
    <xdr:clientData/>
  </xdr:twoCellAnchor>
  <xdr:twoCellAnchor>
    <xdr:from>
      <xdr:col>6</xdr:col>
      <xdr:colOff>510540</xdr:colOff>
      <xdr:row>6</xdr:row>
      <xdr:rowOff>22860</xdr:rowOff>
    </xdr:from>
    <xdr:to>
      <xdr:col>9</xdr:col>
      <xdr:colOff>495300</xdr:colOff>
      <xdr:row>7</xdr:row>
      <xdr:rowOff>137160</xdr:rowOff>
    </xdr:to>
    <xdr:sp macro="" textlink="KPI!O14">
      <xdr:nvSpPr>
        <xdr:cNvPr id="81" name="TextBox 80">
          <a:extLst>
            <a:ext uri="{FF2B5EF4-FFF2-40B4-BE49-F238E27FC236}">
              <a16:creationId xmlns:a16="http://schemas.microsoft.com/office/drawing/2014/main" id="{2EFFE4F9-194D-448E-763B-7BAE125C13A0}"/>
            </a:ext>
          </a:extLst>
        </xdr:cNvPr>
        <xdr:cNvSpPr txBox="1"/>
      </xdr:nvSpPr>
      <xdr:spPr>
        <a:xfrm>
          <a:off x="4168140" y="1120140"/>
          <a:ext cx="18135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5C4146-8961-4B1D-9A3B-127E897DC65B}" type="TxLink">
            <a:rPr lang="en-US" sz="1400" b="0" i="0" u="none" strike="noStrike">
              <a:solidFill>
                <a:schemeClr val="bg1"/>
              </a:solidFill>
              <a:latin typeface="Aptos Narrow"/>
            </a:rPr>
            <a:pPr/>
            <a:t> ₹ 16,67,35,100 </a:t>
          </a:fld>
          <a:endParaRPr lang="en-IN" sz="1400">
            <a:solidFill>
              <a:schemeClr val="bg1"/>
            </a:solidFill>
          </a:endParaRPr>
        </a:p>
      </xdr:txBody>
    </xdr:sp>
    <xdr:clientData/>
  </xdr:twoCellAnchor>
  <xdr:twoCellAnchor>
    <xdr:from>
      <xdr:col>10</xdr:col>
      <xdr:colOff>449580</xdr:colOff>
      <xdr:row>6</xdr:row>
      <xdr:rowOff>38100</xdr:rowOff>
    </xdr:from>
    <xdr:to>
      <xdr:col>13</xdr:col>
      <xdr:colOff>327660</xdr:colOff>
      <xdr:row>7</xdr:row>
      <xdr:rowOff>129540</xdr:rowOff>
    </xdr:to>
    <xdr:sp macro="" textlink="KPI!O13">
      <xdr:nvSpPr>
        <xdr:cNvPr id="82" name="TextBox 81">
          <a:extLst>
            <a:ext uri="{FF2B5EF4-FFF2-40B4-BE49-F238E27FC236}">
              <a16:creationId xmlns:a16="http://schemas.microsoft.com/office/drawing/2014/main" id="{D4960E6B-2208-82B1-D609-80C04FBD1AF4}"/>
            </a:ext>
          </a:extLst>
        </xdr:cNvPr>
        <xdr:cNvSpPr txBox="1"/>
      </xdr:nvSpPr>
      <xdr:spPr>
        <a:xfrm>
          <a:off x="6545580" y="1135380"/>
          <a:ext cx="17068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F3D972-4BF0-4D50-8526-A0FE76A1D19E}" type="TxLink">
            <a:rPr lang="en-US" sz="1400" b="0" i="0" u="none" strike="noStrike">
              <a:solidFill>
                <a:schemeClr val="bg1"/>
              </a:solidFill>
              <a:latin typeface="Aptos Narrow"/>
            </a:rPr>
            <a:pPr/>
            <a:t> ₹ 8,51,72,500 </a:t>
          </a:fld>
          <a:endParaRPr lang="en-IN" sz="1400">
            <a:solidFill>
              <a:schemeClr val="bg1"/>
            </a:solidFill>
          </a:endParaRPr>
        </a:p>
      </xdr:txBody>
    </xdr:sp>
    <xdr:clientData/>
  </xdr:twoCellAnchor>
  <xdr:twoCellAnchor>
    <xdr:from>
      <xdr:col>14</xdr:col>
      <xdr:colOff>205740</xdr:colOff>
      <xdr:row>6</xdr:row>
      <xdr:rowOff>53340</xdr:rowOff>
    </xdr:from>
    <xdr:to>
      <xdr:col>16</xdr:col>
      <xdr:colOff>487680</xdr:colOff>
      <xdr:row>7</xdr:row>
      <xdr:rowOff>144780</xdr:rowOff>
    </xdr:to>
    <xdr:sp macro="" textlink="KPI!O15">
      <xdr:nvSpPr>
        <xdr:cNvPr id="83" name="TextBox 82">
          <a:extLst>
            <a:ext uri="{FF2B5EF4-FFF2-40B4-BE49-F238E27FC236}">
              <a16:creationId xmlns:a16="http://schemas.microsoft.com/office/drawing/2014/main" id="{8E7E371B-9AAA-67D6-4083-888874C46CF6}"/>
            </a:ext>
          </a:extLst>
        </xdr:cNvPr>
        <xdr:cNvSpPr txBox="1"/>
      </xdr:nvSpPr>
      <xdr:spPr>
        <a:xfrm>
          <a:off x="8740140" y="1150620"/>
          <a:ext cx="15011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766C46-3765-4802-936E-D08425C990C6}" type="TxLink">
            <a:rPr lang="en-US" sz="1400" b="0" i="0" u="none" strike="noStrike">
              <a:solidFill>
                <a:schemeClr val="bg1"/>
              </a:solidFill>
              <a:latin typeface="Aptos Narrow"/>
            </a:rPr>
            <a:pPr/>
            <a:t> ₹ 8,52,78,652 </a:t>
          </a:fld>
          <a:endParaRPr lang="en-IN" sz="1400">
            <a:solidFill>
              <a:schemeClr val="bg1"/>
            </a:solidFill>
          </a:endParaRPr>
        </a:p>
      </xdr:txBody>
    </xdr:sp>
    <xdr:clientData/>
  </xdr:twoCellAnchor>
  <xdr:twoCellAnchor>
    <xdr:from>
      <xdr:col>2</xdr:col>
      <xdr:colOff>411480</xdr:colOff>
      <xdr:row>9</xdr:row>
      <xdr:rowOff>152400</xdr:rowOff>
    </xdr:from>
    <xdr:to>
      <xdr:col>8</xdr:col>
      <xdr:colOff>579120</xdr:colOff>
      <xdr:row>22</xdr:row>
      <xdr:rowOff>114300</xdr:rowOff>
    </xdr:to>
    <xdr:graphicFrame macro="">
      <xdr:nvGraphicFramePr>
        <xdr:cNvPr id="88" name="Chart 87">
          <a:extLst>
            <a:ext uri="{FF2B5EF4-FFF2-40B4-BE49-F238E27FC236}">
              <a16:creationId xmlns:a16="http://schemas.microsoft.com/office/drawing/2014/main" id="{298D6A52-7A07-412E-8944-2F4BE1962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335280</xdr:colOff>
      <xdr:row>8</xdr:row>
      <xdr:rowOff>76200</xdr:rowOff>
    </xdr:from>
    <xdr:to>
      <xdr:col>7</xdr:col>
      <xdr:colOff>434340</xdr:colOff>
      <xdr:row>23</xdr:row>
      <xdr:rowOff>15240</xdr:rowOff>
    </xdr:to>
    <xdr:sp macro="" textlink="">
      <xdr:nvSpPr>
        <xdr:cNvPr id="89" name="Rectangle: Rounded Corners 88">
          <a:extLst>
            <a:ext uri="{FF2B5EF4-FFF2-40B4-BE49-F238E27FC236}">
              <a16:creationId xmlns:a16="http://schemas.microsoft.com/office/drawing/2014/main" id="{8C7BEA25-0321-A3D5-9905-52B2CE1CD282}"/>
            </a:ext>
          </a:extLst>
        </xdr:cNvPr>
        <xdr:cNvSpPr/>
      </xdr:nvSpPr>
      <xdr:spPr>
        <a:xfrm>
          <a:off x="1554480" y="1539240"/>
          <a:ext cx="3147060" cy="268224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548640</xdr:colOff>
      <xdr:row>8</xdr:row>
      <xdr:rowOff>99060</xdr:rowOff>
    </xdr:from>
    <xdr:to>
      <xdr:col>17</xdr:col>
      <xdr:colOff>441960</xdr:colOff>
      <xdr:row>23</xdr:row>
      <xdr:rowOff>60960</xdr:rowOff>
    </xdr:to>
    <xdr:sp macro="" textlink="">
      <xdr:nvSpPr>
        <xdr:cNvPr id="90" name="Rectangle: Rounded Corners 89">
          <a:extLst>
            <a:ext uri="{FF2B5EF4-FFF2-40B4-BE49-F238E27FC236}">
              <a16:creationId xmlns:a16="http://schemas.microsoft.com/office/drawing/2014/main" id="{A1F83652-4314-4677-8186-46014AA6B178}"/>
            </a:ext>
          </a:extLst>
        </xdr:cNvPr>
        <xdr:cNvSpPr/>
      </xdr:nvSpPr>
      <xdr:spPr>
        <a:xfrm>
          <a:off x="4815840" y="1562100"/>
          <a:ext cx="5989320" cy="27051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388620</xdr:colOff>
      <xdr:row>8</xdr:row>
      <xdr:rowOff>114300</xdr:rowOff>
    </xdr:from>
    <xdr:to>
      <xdr:col>17</xdr:col>
      <xdr:colOff>228600</xdr:colOff>
      <xdr:row>23</xdr:row>
      <xdr:rowOff>15240</xdr:rowOff>
    </xdr:to>
    <xdr:graphicFrame macro="">
      <xdr:nvGraphicFramePr>
        <xdr:cNvPr id="91" name="Chart 90">
          <a:extLst>
            <a:ext uri="{FF2B5EF4-FFF2-40B4-BE49-F238E27FC236}">
              <a16:creationId xmlns:a16="http://schemas.microsoft.com/office/drawing/2014/main" id="{E9278916-B15A-4D90-935A-92C941457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441960</xdr:colOff>
      <xdr:row>6</xdr:row>
      <xdr:rowOff>0</xdr:rowOff>
    </xdr:from>
    <xdr:to>
      <xdr:col>25</xdr:col>
      <xdr:colOff>91440</xdr:colOff>
      <xdr:row>22</xdr:row>
      <xdr:rowOff>137160</xdr:rowOff>
    </xdr:to>
    <xdr:graphicFrame macro="">
      <xdr:nvGraphicFramePr>
        <xdr:cNvPr id="92" name="Chart 91">
          <a:extLst>
            <a:ext uri="{FF2B5EF4-FFF2-40B4-BE49-F238E27FC236}">
              <a16:creationId xmlns:a16="http://schemas.microsoft.com/office/drawing/2014/main" id="{7297BEFB-DC50-417F-A24C-E8FEDCA38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426720</xdr:colOff>
      <xdr:row>24</xdr:row>
      <xdr:rowOff>15240</xdr:rowOff>
    </xdr:from>
    <xdr:to>
      <xdr:col>10</xdr:col>
      <xdr:colOff>381000</xdr:colOff>
      <xdr:row>38</xdr:row>
      <xdr:rowOff>106680</xdr:rowOff>
    </xdr:to>
    <xdr:sp macro="" textlink="">
      <xdr:nvSpPr>
        <xdr:cNvPr id="94" name="Rectangle: Rounded Corners 93">
          <a:extLst>
            <a:ext uri="{FF2B5EF4-FFF2-40B4-BE49-F238E27FC236}">
              <a16:creationId xmlns:a16="http://schemas.microsoft.com/office/drawing/2014/main" id="{EF2D57A6-FCA8-169F-2F3F-2440CAA53988}"/>
            </a:ext>
          </a:extLst>
        </xdr:cNvPr>
        <xdr:cNvSpPr/>
      </xdr:nvSpPr>
      <xdr:spPr>
        <a:xfrm>
          <a:off x="1645920" y="4404360"/>
          <a:ext cx="4831080" cy="265176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clientData/>
  </xdr:twoCellAnchor>
  <xdr:twoCellAnchor>
    <xdr:from>
      <xdr:col>3</xdr:col>
      <xdr:colOff>152400</xdr:colOff>
      <xdr:row>24</xdr:row>
      <xdr:rowOff>167640</xdr:rowOff>
    </xdr:from>
    <xdr:to>
      <xdr:col>9</xdr:col>
      <xdr:colOff>457200</xdr:colOff>
      <xdr:row>37</xdr:row>
      <xdr:rowOff>167640</xdr:rowOff>
    </xdr:to>
    <xdr:graphicFrame macro="">
      <xdr:nvGraphicFramePr>
        <xdr:cNvPr id="95" name="Chart 94">
          <a:extLst>
            <a:ext uri="{FF2B5EF4-FFF2-40B4-BE49-F238E27FC236}">
              <a16:creationId xmlns:a16="http://schemas.microsoft.com/office/drawing/2014/main" id="{A71739A2-B717-4A8B-8FA4-3ACF463C6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541020</xdr:colOff>
      <xdr:row>24</xdr:row>
      <xdr:rowOff>22860</xdr:rowOff>
    </xdr:from>
    <xdr:to>
      <xdr:col>22</xdr:col>
      <xdr:colOff>533400</xdr:colOff>
      <xdr:row>37</xdr:row>
      <xdr:rowOff>121920</xdr:rowOff>
    </xdr:to>
    <xdr:graphicFrame macro="">
      <xdr:nvGraphicFramePr>
        <xdr:cNvPr id="97" name="Chart 96">
          <a:extLst>
            <a:ext uri="{FF2B5EF4-FFF2-40B4-BE49-F238E27FC236}">
              <a16:creationId xmlns:a16="http://schemas.microsoft.com/office/drawing/2014/main" id="{42AB4C70-384C-45D8-9B37-46270C7DB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495300</xdr:colOff>
      <xdr:row>24</xdr:row>
      <xdr:rowOff>53340</xdr:rowOff>
    </xdr:from>
    <xdr:to>
      <xdr:col>22</xdr:col>
      <xdr:colOff>579120</xdr:colOff>
      <xdr:row>38</xdr:row>
      <xdr:rowOff>45720</xdr:rowOff>
    </xdr:to>
    <xdr:sp macro="" textlink="">
      <xdr:nvSpPr>
        <xdr:cNvPr id="98" name="Rectangle: Rounded Corners 97">
          <a:extLst>
            <a:ext uri="{FF2B5EF4-FFF2-40B4-BE49-F238E27FC236}">
              <a16:creationId xmlns:a16="http://schemas.microsoft.com/office/drawing/2014/main" id="{0BCE44E2-61A4-4F4D-A8D7-DB5F446AE509}"/>
            </a:ext>
          </a:extLst>
        </xdr:cNvPr>
        <xdr:cNvSpPr/>
      </xdr:nvSpPr>
      <xdr:spPr>
        <a:xfrm>
          <a:off x="6591300" y="4442460"/>
          <a:ext cx="7399020" cy="25527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clientData/>
  </xdr:twoCellAnchor>
  <xdr:twoCellAnchor editAs="oneCell">
    <xdr:from>
      <xdr:col>0</xdr:col>
      <xdr:colOff>106680</xdr:colOff>
      <xdr:row>13</xdr:row>
      <xdr:rowOff>144781</xdr:rowOff>
    </xdr:from>
    <xdr:to>
      <xdr:col>2</xdr:col>
      <xdr:colOff>220980</xdr:colOff>
      <xdr:row>20</xdr:row>
      <xdr:rowOff>45721</xdr:rowOff>
    </xdr:to>
    <mc:AlternateContent xmlns:mc="http://schemas.openxmlformats.org/markup-compatibility/2006" xmlns:a14="http://schemas.microsoft.com/office/drawing/2010/main">
      <mc:Choice Requires="a14">
        <xdr:graphicFrame macro="">
          <xdr:nvGraphicFramePr>
            <xdr:cNvPr id="104" name="Department">
              <a:extLst>
                <a:ext uri="{FF2B5EF4-FFF2-40B4-BE49-F238E27FC236}">
                  <a16:creationId xmlns:a16="http://schemas.microsoft.com/office/drawing/2014/main" id="{95F12530-3D68-466A-8CDC-28988BFBEF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6680" y="2522221"/>
              <a:ext cx="13335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22</xdr:row>
      <xdr:rowOff>175261</xdr:rowOff>
    </xdr:from>
    <xdr:to>
      <xdr:col>2</xdr:col>
      <xdr:colOff>190500</xdr:colOff>
      <xdr:row>29</xdr:row>
      <xdr:rowOff>7621</xdr:rowOff>
    </xdr:to>
    <mc:AlternateContent xmlns:mc="http://schemas.openxmlformats.org/markup-compatibility/2006" xmlns:a14="http://schemas.microsoft.com/office/drawing/2010/main">
      <mc:Choice Requires="a14">
        <xdr:graphicFrame macro="">
          <xdr:nvGraphicFramePr>
            <xdr:cNvPr id="105" name="Business Unit">
              <a:extLst>
                <a:ext uri="{FF2B5EF4-FFF2-40B4-BE49-F238E27FC236}">
                  <a16:creationId xmlns:a16="http://schemas.microsoft.com/office/drawing/2014/main" id="{D884C7F7-B5B5-4EFC-BFB7-EA299CCFE054}"/>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91440" y="4198621"/>
              <a:ext cx="131826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31</xdr:row>
      <xdr:rowOff>7621</xdr:rowOff>
    </xdr:from>
    <xdr:to>
      <xdr:col>2</xdr:col>
      <xdr:colOff>167640</xdr:colOff>
      <xdr:row>37</xdr:row>
      <xdr:rowOff>99061</xdr:rowOff>
    </xdr:to>
    <mc:AlternateContent xmlns:mc="http://schemas.openxmlformats.org/markup-compatibility/2006" xmlns:a14="http://schemas.microsoft.com/office/drawing/2010/main">
      <mc:Choice Requires="a14">
        <xdr:graphicFrame macro="">
          <xdr:nvGraphicFramePr>
            <xdr:cNvPr id="106" name="Category">
              <a:extLst>
                <a:ext uri="{FF2B5EF4-FFF2-40B4-BE49-F238E27FC236}">
                  <a16:creationId xmlns:a16="http://schemas.microsoft.com/office/drawing/2014/main" id="{FF9487E2-5551-4C08-9982-612FF0789E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300" y="5676901"/>
              <a:ext cx="127254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5</xdr:row>
      <xdr:rowOff>38101</xdr:rowOff>
    </xdr:from>
    <xdr:to>
      <xdr:col>2</xdr:col>
      <xdr:colOff>160020</xdr:colOff>
      <xdr:row>11</xdr:row>
      <xdr:rowOff>129541</xdr:rowOff>
    </xdr:to>
    <mc:AlternateContent xmlns:mc="http://schemas.openxmlformats.org/markup-compatibility/2006" xmlns:a14="http://schemas.microsoft.com/office/drawing/2010/main">
      <mc:Choice Requires="a14">
        <xdr:graphicFrame macro="">
          <xdr:nvGraphicFramePr>
            <xdr:cNvPr id="107" name="Months (Date)">
              <a:extLst>
                <a:ext uri="{FF2B5EF4-FFF2-40B4-BE49-F238E27FC236}">
                  <a16:creationId xmlns:a16="http://schemas.microsoft.com/office/drawing/2014/main" id="{B7E862AE-F608-4B2B-A796-1AD92DEED34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14300" y="952501"/>
              <a:ext cx="126492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isha" refreshedDate="46290.441590972223" createdVersion="8" refreshedVersion="8" minRefreshableVersion="3" recordCount="2500" xr:uid="{9F83F69B-367D-4FB2-853E-A0F38766BDAF}">
  <cacheSource type="worksheet">
    <worksheetSource ref="A1:I2501" sheet="CLEANED DATA"/>
  </cacheSource>
  <cacheFields count="11">
    <cacheField name="Transaction ID" numFmtId="0">
      <sharedItems count="2500">
        <s v="HTH00001"/>
        <s v="HTH00002"/>
        <s v="HTH00003"/>
        <s v="HTH00004"/>
        <s v="HTH00005"/>
        <s v="HTH00006"/>
        <s v="HTH00007"/>
        <s v="HTH00008"/>
        <s v="HTH00009"/>
        <s v="HTH00010"/>
        <s v="HTH00011"/>
        <s v="HTH00012"/>
        <s v="HTH00013"/>
        <s v="HTH00014"/>
        <s v="HTH00015"/>
        <s v="HTH00016"/>
        <s v="HTH00017"/>
        <s v="HTH00018"/>
        <s v="HTH00019"/>
        <s v="HTH00020"/>
        <s v="HTH00021"/>
        <s v="HTH00022"/>
        <s v="HTH00023"/>
        <s v="HTH00024"/>
        <s v="HTH00025"/>
        <s v="HTH00026"/>
        <s v="HTH00027"/>
        <s v="HTH00028"/>
        <s v="HTH00029"/>
        <s v="HTH00030"/>
        <s v="HTH00031"/>
        <s v="HTH00032"/>
        <s v="HTH00033"/>
        <s v="HTH00034"/>
        <s v="HTH00035"/>
        <s v="HTH00036"/>
        <s v="HTH00037"/>
        <s v="HTH00038"/>
        <s v="HTH00039"/>
        <s v="HTH00040"/>
        <s v="HTH00041"/>
        <s v="HTH00042"/>
        <s v="HTH00043"/>
        <s v="HTH00044"/>
        <s v="HTH00045"/>
        <s v="HTH00046"/>
        <s v="HTH00047"/>
        <s v="HTH00048"/>
        <s v="HTH00049"/>
        <s v="HTH00050"/>
        <s v="HTH00051"/>
        <s v="HTH00052"/>
        <s v="HTH00053"/>
        <s v="HTH00054"/>
        <s v="HTH00055"/>
        <s v="HTH00056"/>
        <s v="HTH00057"/>
        <s v="HTH00058"/>
        <s v="HTH00059"/>
        <s v="HTH00060"/>
        <s v="HTH00061"/>
        <s v="HTH00062"/>
        <s v="HTH00063"/>
        <s v="HTH00064"/>
        <s v="HTH00065"/>
        <s v="HTH00066"/>
        <s v="HTH00067"/>
        <s v="HTH00068"/>
        <s v="HTH00069"/>
        <s v="HTH00070"/>
        <s v="HTH00071"/>
        <s v="HTH00072"/>
        <s v="HTH00073"/>
        <s v="HTH00074"/>
        <s v="HTH00075"/>
        <s v="HTH00076"/>
        <s v="HTH00077"/>
        <s v="HTH00078"/>
        <s v="HTH00079"/>
        <s v="HTH00080"/>
        <s v="HTH00081"/>
        <s v="HTH00082"/>
        <s v="HTH00083"/>
        <s v="HTH00084"/>
        <s v="HTH00085"/>
        <s v="HTH00086"/>
        <s v="HTH00087"/>
        <s v="HTH00088"/>
        <s v="HTH00089"/>
        <s v="HTH00090"/>
        <s v="HTH00091"/>
        <s v="HTH00092"/>
        <s v="HTH00093"/>
        <s v="HTH00094"/>
        <s v="HTH00095"/>
        <s v="HTH00096"/>
        <s v="HTH00097"/>
        <s v="HTH00098"/>
        <s v="HTH00099"/>
        <s v="HTH00100"/>
        <s v="HTH00101"/>
        <s v="HTH00102"/>
        <s v="HTH00103"/>
        <s v="HTH00104"/>
        <s v="HTH00105"/>
        <s v="HTH00106"/>
        <s v="HTH00107"/>
        <s v="HTH00108"/>
        <s v="HTH00109"/>
        <s v="HTH00110"/>
        <s v="HTH00111"/>
        <s v="HTH00112"/>
        <s v="HTH00113"/>
        <s v="HTH00114"/>
        <s v="HTH00115"/>
        <s v="HTH00116"/>
        <s v="HTH00117"/>
        <s v="HTH00118"/>
        <s v="HTH00119"/>
        <s v="HTH00120"/>
        <s v="HTH00121"/>
        <s v="HTH00122"/>
        <s v="HTH00123"/>
        <s v="HTH00124"/>
        <s v="HTH00125"/>
        <s v="HTH00126"/>
        <s v="HTH00127"/>
        <s v="HTH00128"/>
        <s v="HTH00129"/>
        <s v="HTH00130"/>
        <s v="HTH00131"/>
        <s v="HTH00132"/>
        <s v="HTH00133"/>
        <s v="HTH00134"/>
        <s v="HTH00135"/>
        <s v="HTH00136"/>
        <s v="HTH00137"/>
        <s v="HTH00138"/>
        <s v="HTH00139"/>
        <s v="HTH00140"/>
        <s v="HTH00141"/>
        <s v="HTH00142"/>
        <s v="HTH00143"/>
        <s v="HTH00144"/>
        <s v="HTH00145"/>
        <s v="HTH00146"/>
        <s v="HTH00147"/>
        <s v="HTH00148"/>
        <s v="HTH00149"/>
        <s v="HTH00150"/>
        <s v="HTH00151"/>
        <s v="HTH00152"/>
        <s v="HTH00153"/>
        <s v="HTH00154"/>
        <s v="HTH00155"/>
        <s v="HTH00156"/>
        <s v="HTH00157"/>
        <s v="HTH00158"/>
        <s v="HTH00159"/>
        <s v="HTH00160"/>
        <s v="HTH00161"/>
        <s v="HTH00162"/>
        <s v="HTH00163"/>
        <s v="HTH00164"/>
        <s v="HTH00165"/>
        <s v="HTH00166"/>
        <s v="HTH00167"/>
        <s v="HTH00168"/>
        <s v="HTH00169"/>
        <s v="HTH00170"/>
        <s v="HTH00171"/>
        <s v="HTH00172"/>
        <s v="HTH00173"/>
        <s v="HTH00174"/>
        <s v="HTH00175"/>
        <s v="HTH00176"/>
        <s v="HTH00177"/>
        <s v="HTH00178"/>
        <s v="HTH00179"/>
        <s v="HTH00180"/>
        <s v="HTH00181"/>
        <s v="HTH00182"/>
        <s v="HTH00183"/>
        <s v="HTH00184"/>
        <s v="HTH00185"/>
        <s v="HTH00186"/>
        <s v="HTH00187"/>
        <s v="HTH00188"/>
        <s v="HTH00189"/>
        <s v="HTH00190"/>
        <s v="HTH00191"/>
        <s v="HTH00192"/>
        <s v="HTH00193"/>
        <s v="HTH00194"/>
        <s v="HTH00195"/>
        <s v="HTH00196"/>
        <s v="HTH00197"/>
        <s v="HTH00198"/>
        <s v="HTH00199"/>
        <s v="HTH00200"/>
        <s v="HTH00201"/>
        <s v="HTH00202"/>
        <s v="HTH00203"/>
        <s v="HTH00204"/>
        <s v="HTH00205"/>
        <s v="HTH00206"/>
        <s v="HTH00207"/>
        <s v="HTH00208"/>
        <s v="HTH00209"/>
        <s v="HTH00210"/>
        <s v="HTH00211"/>
        <s v="HTH00212"/>
        <s v="HTH00213"/>
        <s v="HTH00214"/>
        <s v="HTH00215"/>
        <s v="HTH00216"/>
        <s v="HTH00217"/>
        <s v="HTH00218"/>
        <s v="HTH00219"/>
        <s v="HTH00220"/>
        <s v="HTH00221"/>
        <s v="HTH00222"/>
        <s v="HTH00223"/>
        <s v="HTH00224"/>
        <s v="HTH00225"/>
        <s v="HTH00226"/>
        <s v="HTH00227"/>
        <s v="HTH00228"/>
        <s v="HTH00229"/>
        <s v="HTH00230"/>
        <s v="HTH00231"/>
        <s v="HTH00232"/>
        <s v="HTH00233"/>
        <s v="HTH00234"/>
        <s v="HTH00235"/>
        <s v="HTH00236"/>
        <s v="HTH00237"/>
        <s v="HTH00238"/>
        <s v="HTH00239"/>
        <s v="HTH00240"/>
        <s v="HTH00241"/>
        <s v="HTH00242"/>
        <s v="HTH00243"/>
        <s v="HTH00244"/>
        <s v="HTH00245"/>
        <s v="HTH00246"/>
        <s v="HTH00247"/>
        <s v="HTH00248"/>
        <s v="HTH00249"/>
        <s v="HTH00250"/>
        <s v="HTH00251"/>
        <s v="HTH00252"/>
        <s v="HTH00253"/>
        <s v="HTH00254"/>
        <s v="HTH00255"/>
        <s v="HTH00256"/>
        <s v="HTH00257"/>
        <s v="HTH00258"/>
        <s v="HTH00259"/>
        <s v="HTH00260"/>
        <s v="HTH00261"/>
        <s v="HTH00262"/>
        <s v="HTH00263"/>
        <s v="HTH00264"/>
        <s v="HTH00265"/>
        <s v="HTH00266"/>
        <s v="HTH00267"/>
        <s v="HTH00268"/>
        <s v="HTH00269"/>
        <s v="HTH00270"/>
        <s v="HTH00271"/>
        <s v="HTH00272"/>
        <s v="HTH00273"/>
        <s v="HTH00274"/>
        <s v="HTH00275"/>
        <s v="HTH00276"/>
        <s v="HTH00277"/>
        <s v="HTH00278"/>
        <s v="HTH00279"/>
        <s v="HTH00280"/>
        <s v="HTH00281"/>
        <s v="HTH00282"/>
        <s v="HTH00283"/>
        <s v="HTH00284"/>
        <s v="HTH00285"/>
        <s v="HTH00286"/>
        <s v="HTH00287"/>
        <s v="HTH00288"/>
        <s v="HTH00289"/>
        <s v="HTH00290"/>
        <s v="HTH00291"/>
        <s v="HTH00292"/>
        <s v="HTH00293"/>
        <s v="HTH00294"/>
        <s v="HTH00295"/>
        <s v="HTH00296"/>
        <s v="HTH00297"/>
        <s v="HTH00298"/>
        <s v="HTH00299"/>
        <s v="HTH00300"/>
        <s v="HTH00301"/>
        <s v="HTH00302"/>
        <s v="HTH00303"/>
        <s v="HTH00304"/>
        <s v="HTH00305"/>
        <s v="HTH00306"/>
        <s v="HTH00307"/>
        <s v="HTH00308"/>
        <s v="HTH00309"/>
        <s v="HTH00310"/>
        <s v="HTH00311"/>
        <s v="HTH00312"/>
        <s v="HTH00313"/>
        <s v="HTH00314"/>
        <s v="HTH00315"/>
        <s v="HTH00316"/>
        <s v="HTH00317"/>
        <s v="HTH00318"/>
        <s v="HTH00319"/>
        <s v="HTH00320"/>
        <s v="HTH00321"/>
        <s v="HTH00322"/>
        <s v="HTH00323"/>
        <s v="HTH00324"/>
        <s v="HTH00325"/>
        <s v="HTH00326"/>
        <s v="HTH00327"/>
        <s v="HTH00328"/>
        <s v="HTH00329"/>
        <s v="HTH00330"/>
        <s v="HTH00331"/>
        <s v="HTH00332"/>
        <s v="HTH00333"/>
        <s v="HTH00334"/>
        <s v="HTH00335"/>
        <s v="HTH00336"/>
        <s v="HTH00337"/>
        <s v="HTH00338"/>
        <s v="HTH00339"/>
        <s v="HTH00340"/>
        <s v="HTH00341"/>
        <s v="HTH00342"/>
        <s v="HTH00343"/>
        <s v="HTH00344"/>
        <s v="HTH00345"/>
        <s v="HTH00346"/>
        <s v="HTH00347"/>
        <s v="HTH00348"/>
        <s v="HTH00349"/>
        <s v="HTH00350"/>
        <s v="HTH00351"/>
        <s v="HTH00352"/>
        <s v="HTH00353"/>
        <s v="HTH00354"/>
        <s v="HTH00355"/>
        <s v="HTH00356"/>
        <s v="HTH00357"/>
        <s v="HTH00358"/>
        <s v="HTH00359"/>
        <s v="HTH00360"/>
        <s v="HTH00361"/>
        <s v="HTH00362"/>
        <s v="HTH00363"/>
        <s v="HTH00364"/>
        <s v="HTH00365"/>
        <s v="HTH00366"/>
        <s v="HTH00367"/>
        <s v="HTH00368"/>
        <s v="HTH00369"/>
        <s v="HTH00370"/>
        <s v="HTH00371"/>
        <s v="HTH00372"/>
        <s v="HTH00373"/>
        <s v="HTH00374"/>
        <s v="HTH00375"/>
        <s v="HTH00376"/>
        <s v="HTH00377"/>
        <s v="HTH00378"/>
        <s v="HTH00379"/>
        <s v="HTH00380"/>
        <s v="HTH00381"/>
        <s v="HTH00382"/>
        <s v="HTH00383"/>
        <s v="HTH00384"/>
        <s v="HTH00385"/>
        <s v="HTH00386"/>
        <s v="HTH00387"/>
        <s v="HTH00388"/>
        <s v="HTH00389"/>
        <s v="HTH00390"/>
        <s v="HTH00391"/>
        <s v="HTH00392"/>
        <s v="HTH00393"/>
        <s v="HTH00394"/>
        <s v="HTH00395"/>
        <s v="HTH00396"/>
        <s v="HTH00397"/>
        <s v="HTH00398"/>
        <s v="HTH00399"/>
        <s v="HTH00400"/>
        <s v="HTH00401"/>
        <s v="HTH00402"/>
        <s v="HTH00403"/>
        <s v="HTH00404"/>
        <s v="HTH00405"/>
        <s v="HTH00406"/>
        <s v="HTH00407"/>
        <s v="HTH00408"/>
        <s v="HTH00409"/>
        <s v="HTH00410"/>
        <s v="HTH00411"/>
        <s v="HTH00412"/>
        <s v="HTH00413"/>
        <s v="HTH00414"/>
        <s v="HTH00415"/>
        <s v="HTH00416"/>
        <s v="HTH00417"/>
        <s v="HTH00418"/>
        <s v="HTH00419"/>
        <s v="HTH00420"/>
        <s v="HTH00421"/>
        <s v="HTH00422"/>
        <s v="HTH00423"/>
        <s v="HTH00424"/>
        <s v="HTH00425"/>
        <s v="HTH00426"/>
        <s v="HTH00427"/>
        <s v="HTH00428"/>
        <s v="HTH00429"/>
        <s v="HTH00430"/>
        <s v="HTH00431"/>
        <s v="HTH00432"/>
        <s v="HTH00433"/>
        <s v="HTH00434"/>
        <s v="HTH00435"/>
        <s v="HTH00436"/>
        <s v="HTH00437"/>
        <s v="HTH00438"/>
        <s v="HTH00439"/>
        <s v="HTH00440"/>
        <s v="HTH00441"/>
        <s v="HTH00442"/>
        <s v="HTH00443"/>
        <s v="HTH00444"/>
        <s v="HTH00445"/>
        <s v="HTH00446"/>
        <s v="HTH00447"/>
        <s v="HTH00448"/>
        <s v="HTH00449"/>
        <s v="HTH00450"/>
        <s v="HTH00451"/>
        <s v="HTH00452"/>
        <s v="HTH00453"/>
        <s v="HTH00454"/>
        <s v="HTH00455"/>
        <s v="HTH00456"/>
        <s v="HTH00457"/>
        <s v="HTH00458"/>
        <s v="HTH00459"/>
        <s v="HTH00460"/>
        <s v="HTH00461"/>
        <s v="HTH00462"/>
        <s v="HTH00463"/>
        <s v="HTH00464"/>
        <s v="HTH00465"/>
        <s v="HTH00466"/>
        <s v="HTH00467"/>
        <s v="HTH00468"/>
        <s v="HTH00469"/>
        <s v="HTH00470"/>
        <s v="HTH00471"/>
        <s v="HTH00472"/>
        <s v="HTH00473"/>
        <s v="HTH00474"/>
        <s v="HTH00475"/>
        <s v="HTH00476"/>
        <s v="HTH00477"/>
        <s v="HTH00478"/>
        <s v="HTH00479"/>
        <s v="HTH00480"/>
        <s v="HTH00481"/>
        <s v="HTH00482"/>
        <s v="HTH00483"/>
        <s v="HTH00484"/>
        <s v="HTH00485"/>
        <s v="HTH00486"/>
        <s v="HTH00487"/>
        <s v="HTH00488"/>
        <s v="HTH00489"/>
        <s v="HTH00490"/>
        <s v="HTH00491"/>
        <s v="HTH00492"/>
        <s v="HTH00493"/>
        <s v="HTH00494"/>
        <s v="HTH00495"/>
        <s v="HTH00496"/>
        <s v="HTH00497"/>
        <s v="HTH00498"/>
        <s v="HTH00499"/>
        <s v="HTH00500"/>
        <s v="HTH00501"/>
        <s v="HTH00502"/>
        <s v="HTH00503"/>
        <s v="HTH00504"/>
        <s v="HTH00505"/>
        <s v="HTH00506"/>
        <s v="HTH00507"/>
        <s v="HTH00508"/>
        <s v="HTH00509"/>
        <s v="HTH00510"/>
        <s v="HTH00511"/>
        <s v="HTH00512"/>
        <s v="HTH00513"/>
        <s v="HTH00514"/>
        <s v="HTH00515"/>
        <s v="HTH00516"/>
        <s v="HTH00517"/>
        <s v="HTH00518"/>
        <s v="HTH00519"/>
        <s v="HTH00520"/>
        <s v="HTH00521"/>
        <s v="HTH00522"/>
        <s v="HTH00523"/>
        <s v="HTH00524"/>
        <s v="HTH00525"/>
        <s v="HTH00526"/>
        <s v="HTH00527"/>
        <s v="HTH00528"/>
        <s v="HTH00529"/>
        <s v="HTH00530"/>
        <s v="HTH00531"/>
        <s v="HTH00532"/>
        <s v="HTH00533"/>
        <s v="HTH00534"/>
        <s v="HTH00535"/>
        <s v="HTH00536"/>
        <s v="HTH00537"/>
        <s v="HTH00538"/>
        <s v="HTH00539"/>
        <s v="HTH00540"/>
        <s v="HTH00541"/>
        <s v="HTH00542"/>
        <s v="HTH00543"/>
        <s v="HTH00544"/>
        <s v="HTH00545"/>
        <s v="HTH00546"/>
        <s v="HTH00547"/>
        <s v="HTH00548"/>
        <s v="HTH00549"/>
        <s v="HTH00550"/>
        <s v="HTH00551"/>
        <s v="HTH00552"/>
        <s v="HTH00553"/>
        <s v="HTH00554"/>
        <s v="HTH00555"/>
        <s v="HTH00556"/>
        <s v="HTH00557"/>
        <s v="HTH00558"/>
        <s v="HTH00559"/>
        <s v="HTH00560"/>
        <s v="HTH00561"/>
        <s v="HTH00562"/>
        <s v="HTH00563"/>
        <s v="HTH00564"/>
        <s v="HTH00565"/>
        <s v="HTH00566"/>
        <s v="HTH00567"/>
        <s v="HTH00568"/>
        <s v="HTH00569"/>
        <s v="HTH00570"/>
        <s v="HTH00571"/>
        <s v="HTH00572"/>
        <s v="HTH00573"/>
        <s v="HTH00574"/>
        <s v="HTH00575"/>
        <s v="HTH00576"/>
        <s v="HTH00577"/>
        <s v="HTH00578"/>
        <s v="HTH00579"/>
        <s v="HTH00580"/>
        <s v="HTH00581"/>
        <s v="HTH00582"/>
        <s v="HTH00583"/>
        <s v="HTH00584"/>
        <s v="HTH00585"/>
        <s v="HTH00586"/>
        <s v="HTH00587"/>
        <s v="HTH00588"/>
        <s v="HTH00589"/>
        <s v="HTH00590"/>
        <s v="HTH00591"/>
        <s v="HTH00592"/>
        <s v="HTH00593"/>
        <s v="HTH00594"/>
        <s v="HTH00595"/>
        <s v="HTH00596"/>
        <s v="HTH00597"/>
        <s v="HTH00598"/>
        <s v="HTH00599"/>
        <s v="HTH00600"/>
        <s v="HTH00601"/>
        <s v="HTH00602"/>
        <s v="HTH00603"/>
        <s v="HTH00604"/>
        <s v="HTH00605"/>
        <s v="HTH00606"/>
        <s v="HTH00607"/>
        <s v="HTH00608"/>
        <s v="HTH00609"/>
        <s v="HTH00610"/>
        <s v="HTH00611"/>
        <s v="HTH00612"/>
        <s v="HTH00613"/>
        <s v="HTH00614"/>
        <s v="HTH00615"/>
        <s v="HTH00616"/>
        <s v="HTH00617"/>
        <s v="HTH00618"/>
        <s v="HTH00619"/>
        <s v="HTH00620"/>
        <s v="HTH00621"/>
        <s v="HTH00622"/>
        <s v="HTH00623"/>
        <s v="HTH00624"/>
        <s v="HTH00625"/>
        <s v="HTH00626"/>
        <s v="HTH00627"/>
        <s v="HTH00628"/>
        <s v="HTH00629"/>
        <s v="HTH00630"/>
        <s v="HTH00631"/>
        <s v="HTH00632"/>
        <s v="HTH00633"/>
        <s v="HTH00634"/>
        <s v="HTH00635"/>
        <s v="HTH00636"/>
        <s v="HTH00637"/>
        <s v="HTH00638"/>
        <s v="HTH00639"/>
        <s v="HTH00640"/>
        <s v="HTH00641"/>
        <s v="HTH00642"/>
        <s v="HTH00643"/>
        <s v="HTH00644"/>
        <s v="HTH00645"/>
        <s v="HTH00646"/>
        <s v="HTH00647"/>
        <s v="HTH00648"/>
        <s v="HTH00649"/>
        <s v="HTH00650"/>
        <s v="HTH00651"/>
        <s v="HTH00652"/>
        <s v="HTH00653"/>
        <s v="HTH00654"/>
        <s v="HTH00655"/>
        <s v="HTH00656"/>
        <s v="HTH00657"/>
        <s v="HTH00658"/>
        <s v="HTH00659"/>
        <s v="HTH00660"/>
        <s v="HTH00661"/>
        <s v="HTH00662"/>
        <s v="HTH00663"/>
        <s v="HTH00664"/>
        <s v="HTH00665"/>
        <s v="HTH00666"/>
        <s v="HTH00667"/>
        <s v="HTH00668"/>
        <s v="HTH00669"/>
        <s v="HTH00670"/>
        <s v="HTH00671"/>
        <s v="HTH00672"/>
        <s v="HTH00673"/>
        <s v="HTH00674"/>
        <s v="HTH00675"/>
        <s v="HTH00676"/>
        <s v="HTH00677"/>
        <s v="HTH00678"/>
        <s v="HTH00679"/>
        <s v="HTH00680"/>
        <s v="HTH00681"/>
        <s v="HTH00682"/>
        <s v="HTH00683"/>
        <s v="HTH00684"/>
        <s v="HTH00685"/>
        <s v="HTH00686"/>
        <s v="HTH00687"/>
        <s v="HTH00688"/>
        <s v="HTH00689"/>
        <s v="HTH00690"/>
        <s v="HTH00691"/>
        <s v="HTH00692"/>
        <s v="HTH00693"/>
        <s v="HTH00694"/>
        <s v="HTH00695"/>
        <s v="HTH00696"/>
        <s v="HTH00697"/>
        <s v="HTH00698"/>
        <s v="HTH00699"/>
        <s v="HTH00700"/>
        <s v="HTH00701"/>
        <s v="HTH00702"/>
        <s v="HTH00703"/>
        <s v="HTH00704"/>
        <s v="HTH00705"/>
        <s v="HTH00706"/>
        <s v="HTH00707"/>
        <s v="HTH00708"/>
        <s v="HTH00709"/>
        <s v="HTH00710"/>
        <s v="HTH00711"/>
        <s v="HTH00712"/>
        <s v="HTH00713"/>
        <s v="HTH00714"/>
        <s v="HTH00715"/>
        <s v="HTH00716"/>
        <s v="HTH00717"/>
        <s v="HTH00718"/>
        <s v="HTH00719"/>
        <s v="HTH00720"/>
        <s v="HTH00721"/>
        <s v="HTH00722"/>
        <s v="HTH00723"/>
        <s v="HTH00724"/>
        <s v="HTH00725"/>
        <s v="HTH00726"/>
        <s v="HTH00727"/>
        <s v="HTH00728"/>
        <s v="HTH00729"/>
        <s v="HTH00730"/>
        <s v="HTH00731"/>
        <s v="HTH00732"/>
        <s v="HTH00733"/>
        <s v="HTH00734"/>
        <s v="HTH00735"/>
        <s v="HTH00736"/>
        <s v="HTH00737"/>
        <s v="HTH00738"/>
        <s v="HTH00739"/>
        <s v="HTH00740"/>
        <s v="HTH00741"/>
        <s v="HTH00742"/>
        <s v="HTH00743"/>
        <s v="HTH00744"/>
        <s v="HTH00745"/>
        <s v="HTH00746"/>
        <s v="HTH00747"/>
        <s v="HTH00748"/>
        <s v="HTH00749"/>
        <s v="HTH00750"/>
        <s v="HTH00751"/>
        <s v="HTH00752"/>
        <s v="HTH00753"/>
        <s v="HTH00754"/>
        <s v="HTH00755"/>
        <s v="HTH00756"/>
        <s v="HTH00757"/>
        <s v="HTH00758"/>
        <s v="HTH00759"/>
        <s v="HTH00760"/>
        <s v="HTH00761"/>
        <s v="HTH00762"/>
        <s v="HTH00763"/>
        <s v="HTH00764"/>
        <s v="HTH00765"/>
        <s v="HTH00766"/>
        <s v="HTH00767"/>
        <s v="HTH00768"/>
        <s v="HTH00769"/>
        <s v="HTH00770"/>
        <s v="HTH00771"/>
        <s v="HTH00772"/>
        <s v="HTH00773"/>
        <s v="HTH00774"/>
        <s v="HTH00775"/>
        <s v="HTH00776"/>
        <s v="HTH00777"/>
        <s v="HTH00778"/>
        <s v="HTH00779"/>
        <s v="HTH00780"/>
        <s v="HTH00781"/>
        <s v="HTH00782"/>
        <s v="HTH00783"/>
        <s v="HTH00784"/>
        <s v="HTH00785"/>
        <s v="HTH00786"/>
        <s v="HTH00787"/>
        <s v="HTH00788"/>
        <s v="HTH00789"/>
        <s v="HTH00790"/>
        <s v="HTH00791"/>
        <s v="HTH00792"/>
        <s v="HTH00793"/>
        <s v="HTH00794"/>
        <s v="HTH00795"/>
        <s v="HTH00796"/>
        <s v="HTH00797"/>
        <s v="HTH00798"/>
        <s v="HTH00799"/>
        <s v="HTH00800"/>
        <s v="HTH00801"/>
        <s v="HTH00802"/>
        <s v="HTH00803"/>
        <s v="HTH00804"/>
        <s v="HTH00805"/>
        <s v="HTH00806"/>
        <s v="HTH00807"/>
        <s v="HTH00808"/>
        <s v="HTH00809"/>
        <s v="HTH00810"/>
        <s v="HTH00811"/>
        <s v="HTH00812"/>
        <s v="HTH00813"/>
        <s v="HTH00814"/>
        <s v="HTH00815"/>
        <s v="HTH00816"/>
        <s v="HTH00817"/>
        <s v="HTH00818"/>
        <s v="HTH00819"/>
        <s v="HTH00820"/>
        <s v="HTH00821"/>
        <s v="HTH00822"/>
        <s v="HTH00823"/>
        <s v="HTH00824"/>
        <s v="HTH00825"/>
        <s v="HTH00826"/>
        <s v="HTH00827"/>
        <s v="HTH00828"/>
        <s v="HTH00829"/>
        <s v="HTH00830"/>
        <s v="HTH00831"/>
        <s v="HTH00832"/>
        <s v="HTH00833"/>
        <s v="HTH00834"/>
        <s v="HTH00835"/>
        <s v="HTH00836"/>
        <s v="HTH00837"/>
        <s v="HTH00838"/>
        <s v="HTH00839"/>
        <s v="HTH00840"/>
        <s v="HTH00841"/>
        <s v="HTH00842"/>
        <s v="HTH00843"/>
        <s v="HTH00844"/>
        <s v="HTH00845"/>
        <s v="HTH00846"/>
        <s v="HTH00847"/>
        <s v="HTH00848"/>
        <s v="HTH00849"/>
        <s v="HTH00850"/>
        <s v="HTH00851"/>
        <s v="HTH00852"/>
        <s v="HTH00853"/>
        <s v="HTH00854"/>
        <s v="HTH00855"/>
        <s v="HTH00856"/>
        <s v="HTH00857"/>
        <s v="HTH00858"/>
        <s v="HTH00859"/>
        <s v="HTH00860"/>
        <s v="HTH00861"/>
        <s v="HTH00862"/>
        <s v="HTH00863"/>
        <s v="HTH00864"/>
        <s v="HTH00865"/>
        <s v="HTH00866"/>
        <s v="HTH00867"/>
        <s v="HTH00868"/>
        <s v="HTH00869"/>
        <s v="HTH00870"/>
        <s v="HTH00871"/>
        <s v="HTH00872"/>
        <s v="HTH00873"/>
        <s v="HTH00874"/>
        <s v="HTH00875"/>
        <s v="HTH00876"/>
        <s v="HTH00877"/>
        <s v="HTH00878"/>
        <s v="HTH00879"/>
        <s v="HTH00880"/>
        <s v="HTH00881"/>
        <s v="HTH00882"/>
        <s v="HTH00883"/>
        <s v="HTH00884"/>
        <s v="HTH00885"/>
        <s v="HTH00886"/>
        <s v="HTH00887"/>
        <s v="HTH00888"/>
        <s v="HTH00889"/>
        <s v="HTH00890"/>
        <s v="HTH00891"/>
        <s v="HTH00892"/>
        <s v="HTH00893"/>
        <s v="HTH00894"/>
        <s v="HTH00895"/>
        <s v="HTH00896"/>
        <s v="HTH00897"/>
        <s v="HTH00898"/>
        <s v="HTH00899"/>
        <s v="HTH00900"/>
        <s v="HTH00901"/>
        <s v="HTH00902"/>
        <s v="HTH00903"/>
        <s v="HTH00904"/>
        <s v="HTH00905"/>
        <s v="HTH00906"/>
        <s v="HTH00907"/>
        <s v="HTH00908"/>
        <s v="HTH00909"/>
        <s v="HTH00910"/>
        <s v="HTH00911"/>
        <s v="HTH00912"/>
        <s v="HTH00913"/>
        <s v="HTH00914"/>
        <s v="HTH00915"/>
        <s v="HTH00916"/>
        <s v="HTH00917"/>
        <s v="HTH00918"/>
        <s v="HTH00919"/>
        <s v="HTH00920"/>
        <s v="HTH00921"/>
        <s v="HTH00922"/>
        <s v="HTH00923"/>
        <s v="HTH00924"/>
        <s v="HTH00925"/>
        <s v="HTH00926"/>
        <s v="HTH00927"/>
        <s v="HTH00928"/>
        <s v="HTH00929"/>
        <s v="HTH00930"/>
        <s v="HTH00931"/>
        <s v="HTH00932"/>
        <s v="HTH00933"/>
        <s v="HTH00934"/>
        <s v="HTH00935"/>
        <s v="HTH00936"/>
        <s v="HTH00937"/>
        <s v="HTH00938"/>
        <s v="HTH00939"/>
        <s v="HTH00940"/>
        <s v="HTH00941"/>
        <s v="HTH00942"/>
        <s v="HTH00943"/>
        <s v="HTH00944"/>
        <s v="HTH00945"/>
        <s v="HTH00946"/>
        <s v="HTH00947"/>
        <s v="HTH00948"/>
        <s v="HTH00949"/>
        <s v="HTH00950"/>
        <s v="HTH00951"/>
        <s v="HTH00952"/>
        <s v="HTH00953"/>
        <s v="HTH00954"/>
        <s v="HTH00955"/>
        <s v="HTH00956"/>
        <s v="HTH00957"/>
        <s v="HTH00958"/>
        <s v="HTH00959"/>
        <s v="HTH00960"/>
        <s v="HTH00961"/>
        <s v="HTH00962"/>
        <s v="HTH00963"/>
        <s v="HTH00964"/>
        <s v="HTH00965"/>
        <s v="HTH00966"/>
        <s v="HTH00967"/>
        <s v="HTH00968"/>
        <s v="HTH00969"/>
        <s v="HTH00970"/>
        <s v="HTH00971"/>
        <s v="HTH00972"/>
        <s v="HTH00973"/>
        <s v="HTH00974"/>
        <s v="HTH00975"/>
        <s v="HTH00976"/>
        <s v="HTH00977"/>
        <s v="HTH00978"/>
        <s v="HTH00979"/>
        <s v="HTH00980"/>
        <s v="HTH00981"/>
        <s v="HTH00982"/>
        <s v="HTH00983"/>
        <s v="HTH00984"/>
        <s v="HTH00985"/>
        <s v="HTH00986"/>
        <s v="HTH00987"/>
        <s v="HTH00988"/>
        <s v="HTH00989"/>
        <s v="HTH00990"/>
        <s v="HTH00991"/>
        <s v="HTH00992"/>
        <s v="HTH00993"/>
        <s v="HTH00994"/>
        <s v="HTH00995"/>
        <s v="HTH00996"/>
        <s v="HTH00997"/>
        <s v="HTH00998"/>
        <s v="HTH00999"/>
        <s v="HTH01000"/>
        <s v="HTH01001"/>
        <s v="HTH01002"/>
        <s v="HTH01003"/>
        <s v="HTH01004"/>
        <s v="HTH01005"/>
        <s v="HTH01006"/>
        <s v="HTH01007"/>
        <s v="HTH01008"/>
        <s v="HTH01009"/>
        <s v="HTH01010"/>
        <s v="HTH01011"/>
        <s v="HTH01012"/>
        <s v="HTH01013"/>
        <s v="HTH01014"/>
        <s v="HTH01015"/>
        <s v="HTH01016"/>
        <s v="HTH01017"/>
        <s v="HTH01018"/>
        <s v="HTH01019"/>
        <s v="HTH01020"/>
        <s v="HTH01021"/>
        <s v="HTH01022"/>
        <s v="HTH01023"/>
        <s v="HTH01024"/>
        <s v="HTH01025"/>
        <s v="HTH01026"/>
        <s v="HTH01027"/>
        <s v="HTH01028"/>
        <s v="HTH01029"/>
        <s v="HTH01030"/>
        <s v="HTH01031"/>
        <s v="HTH01032"/>
        <s v="HTH01033"/>
        <s v="HTH01034"/>
        <s v="HTH01035"/>
        <s v="HTH01036"/>
        <s v="HTH01037"/>
        <s v="HTH01038"/>
        <s v="HTH01039"/>
        <s v="HTH01040"/>
        <s v="HTH01041"/>
        <s v="HTH01042"/>
        <s v="HTH01043"/>
        <s v="HTH01044"/>
        <s v="HTH01045"/>
        <s v="HTH01046"/>
        <s v="HTH01047"/>
        <s v="HTH01048"/>
        <s v="HTH01049"/>
        <s v="HTH01050"/>
        <s v="HTH01051"/>
        <s v="HTH01052"/>
        <s v="HTH01053"/>
        <s v="HTH01054"/>
        <s v="HTH01055"/>
        <s v="HTH01056"/>
        <s v="HTH01057"/>
        <s v="HTH01058"/>
        <s v="HTH01059"/>
        <s v="HTH01060"/>
        <s v="HTH01061"/>
        <s v="HTH01062"/>
        <s v="HTH01063"/>
        <s v="HTH01064"/>
        <s v="HTH01065"/>
        <s v="HTH01066"/>
        <s v="HTH01067"/>
        <s v="HTH01068"/>
        <s v="HTH01069"/>
        <s v="HTH01070"/>
        <s v="HTH01071"/>
        <s v="HTH01072"/>
        <s v="HTH01073"/>
        <s v="HTH01074"/>
        <s v="HTH01075"/>
        <s v="HTH01076"/>
        <s v="HTH01077"/>
        <s v="HTH01078"/>
        <s v="HTH01079"/>
        <s v="HTH01080"/>
        <s v="HTH01081"/>
        <s v="HTH01082"/>
        <s v="HTH01083"/>
        <s v="HTH01084"/>
        <s v="HTH01085"/>
        <s v="HTH01086"/>
        <s v="HTH01087"/>
        <s v="HTH01088"/>
        <s v="HTH01089"/>
        <s v="HTH01090"/>
        <s v="HTH01091"/>
        <s v="HTH01092"/>
        <s v="HTH01093"/>
        <s v="HTH01094"/>
        <s v="HTH01095"/>
        <s v="HTH01096"/>
        <s v="HTH01097"/>
        <s v="HTH01098"/>
        <s v="HTH01099"/>
        <s v="HTH01100"/>
        <s v="HTH01101"/>
        <s v="HTH01102"/>
        <s v="HTH01103"/>
        <s v="HTH01104"/>
        <s v="HTH01105"/>
        <s v="HTH01106"/>
        <s v="HTH01107"/>
        <s v="HTH01108"/>
        <s v="HTH01109"/>
        <s v="HTH01110"/>
        <s v="HTH01111"/>
        <s v="HTH01112"/>
        <s v="HTH01113"/>
        <s v="HTH01114"/>
        <s v="HTH01115"/>
        <s v="HTH01116"/>
        <s v="HTH01117"/>
        <s v="HTH01118"/>
        <s v="HTH01119"/>
        <s v="HTH01120"/>
        <s v="HTH01121"/>
        <s v="HTH01122"/>
        <s v="HTH01123"/>
        <s v="HTH01124"/>
        <s v="HTH01125"/>
        <s v="HTH01126"/>
        <s v="HTH01127"/>
        <s v="HTH01128"/>
        <s v="HTH01129"/>
        <s v="HTH01130"/>
        <s v="HTH01131"/>
        <s v="HTH01132"/>
        <s v="HTH01133"/>
        <s v="HTH01134"/>
        <s v="HTH01135"/>
        <s v="HTH01136"/>
        <s v="HTH01137"/>
        <s v="HTH01138"/>
        <s v="HTH01139"/>
        <s v="HTH01140"/>
        <s v="HTH01141"/>
        <s v="HTH01142"/>
        <s v="HTH01143"/>
        <s v="HTH01144"/>
        <s v="HTH01145"/>
        <s v="HTH01146"/>
        <s v="HTH01147"/>
        <s v="HTH01148"/>
        <s v="HTH01149"/>
        <s v="HTH01150"/>
        <s v="HTH01151"/>
        <s v="HTH01152"/>
        <s v="HTH01153"/>
        <s v="HTH01154"/>
        <s v="HTH01155"/>
        <s v="HTH01156"/>
        <s v="HTH01157"/>
        <s v="HTH01158"/>
        <s v="HTH01159"/>
        <s v="HTH01160"/>
        <s v="HTH01161"/>
        <s v="HTH01162"/>
        <s v="HTH01163"/>
        <s v="HTH01164"/>
        <s v="HTH01165"/>
        <s v="HTH01166"/>
        <s v="HTH01167"/>
        <s v="HTH01168"/>
        <s v="HTH01169"/>
        <s v="HTH01170"/>
        <s v="HTH01171"/>
        <s v="HTH01172"/>
        <s v="HTH01173"/>
        <s v="HTH01174"/>
        <s v="HTH01175"/>
        <s v="HTH01176"/>
        <s v="HTH01177"/>
        <s v="HTH01178"/>
        <s v="HTH01179"/>
        <s v="HTH01180"/>
        <s v="HTH01181"/>
        <s v="HTH01182"/>
        <s v="HTH01183"/>
        <s v="HTH01184"/>
        <s v="HTH01185"/>
        <s v="HTH01186"/>
        <s v="HTH01187"/>
        <s v="HTH01188"/>
        <s v="HTH01189"/>
        <s v="HTH01190"/>
        <s v="HTH01191"/>
        <s v="HTH01192"/>
        <s v="HTH01193"/>
        <s v="HTH01194"/>
        <s v="HTH01195"/>
        <s v="HTH01196"/>
        <s v="HTH01197"/>
        <s v="HTH01198"/>
        <s v="HTH01199"/>
        <s v="HTH01200"/>
        <s v="HTH01201"/>
        <s v="HTH01202"/>
        <s v="HTH01203"/>
        <s v="HTH01204"/>
        <s v="HTH01205"/>
        <s v="HTH01206"/>
        <s v="HTH01207"/>
        <s v="HTH01208"/>
        <s v="HTH01209"/>
        <s v="HTH01210"/>
        <s v="HTH01211"/>
        <s v="HTH01212"/>
        <s v="HTH01213"/>
        <s v="HTH01214"/>
        <s v="HTH01215"/>
        <s v="HTH01216"/>
        <s v="HTH01217"/>
        <s v="HTH01218"/>
        <s v="HTH01219"/>
        <s v="HTH01220"/>
        <s v="HTH01221"/>
        <s v="HTH01222"/>
        <s v="HTH01223"/>
        <s v="HTH01224"/>
        <s v="HTH01225"/>
        <s v="HTH01226"/>
        <s v="HTH01227"/>
        <s v="HTH01228"/>
        <s v="HTH01229"/>
        <s v="HTH01230"/>
        <s v="HTH01231"/>
        <s v="HTH01232"/>
        <s v="HTH01233"/>
        <s v="HTH01234"/>
        <s v="HTH01235"/>
        <s v="HTH01236"/>
        <s v="HTH01237"/>
        <s v="HTH01238"/>
        <s v="HTH01239"/>
        <s v="HTH01240"/>
        <s v="HTH01241"/>
        <s v="HTH01242"/>
        <s v="HTH01243"/>
        <s v="HTH01244"/>
        <s v="HTH01245"/>
        <s v="HTH01246"/>
        <s v="HTH01247"/>
        <s v="HTH01248"/>
        <s v="HTH01249"/>
        <s v="HTH01250"/>
        <s v="HTH01251"/>
        <s v="HTH01252"/>
        <s v="HTH01253"/>
        <s v="HTH01254"/>
        <s v="HTH01255"/>
        <s v="HTH01256"/>
        <s v="HTH01257"/>
        <s v="HTH01258"/>
        <s v="HTH01259"/>
        <s v="HTH01260"/>
        <s v="HTH01261"/>
        <s v="HTH01262"/>
        <s v="HTH01263"/>
        <s v="HTH01264"/>
        <s v="HTH01265"/>
        <s v="HTH01266"/>
        <s v="HTH01267"/>
        <s v="HTH01268"/>
        <s v="HTH01269"/>
        <s v="HTH01270"/>
        <s v="HTH01271"/>
        <s v="HTH01272"/>
        <s v="HTH01273"/>
        <s v="HTH01274"/>
        <s v="HTH01275"/>
        <s v="HTH01276"/>
        <s v="HTH01277"/>
        <s v="HTH01278"/>
        <s v="HTH01279"/>
        <s v="HTH01280"/>
        <s v="HTH01281"/>
        <s v="HTH01282"/>
        <s v="HTH01283"/>
        <s v="HTH01284"/>
        <s v="HTH01285"/>
        <s v="HTH01286"/>
        <s v="HTH01287"/>
        <s v="HTH01288"/>
        <s v="HTH01289"/>
        <s v="HTH01290"/>
        <s v="HTH01291"/>
        <s v="HTH01292"/>
        <s v="HTH01293"/>
        <s v="HTH01294"/>
        <s v="HTH01295"/>
        <s v="HTH01296"/>
        <s v="HTH01297"/>
        <s v="HTH01298"/>
        <s v="HTH01299"/>
        <s v="HTH01300"/>
        <s v="HTH01301"/>
        <s v="HTH01302"/>
        <s v="HTH01303"/>
        <s v="HTH01304"/>
        <s v="HTH01305"/>
        <s v="HTH01306"/>
        <s v="HTH01307"/>
        <s v="HTH01308"/>
        <s v="HTH01309"/>
        <s v="HTH01310"/>
        <s v="HTH01311"/>
        <s v="HTH01312"/>
        <s v="HTH01313"/>
        <s v="HTH01314"/>
        <s v="HTH01315"/>
        <s v="HTH01316"/>
        <s v="HTH01317"/>
        <s v="HTH01318"/>
        <s v="HTH01319"/>
        <s v="HTH01320"/>
        <s v="HTH01321"/>
        <s v="HTH01322"/>
        <s v="HTH01323"/>
        <s v="HTH01324"/>
        <s v="HTH01325"/>
        <s v="HTH01326"/>
        <s v="HTH01327"/>
        <s v="HTH01328"/>
        <s v="HTH01329"/>
        <s v="HTH01330"/>
        <s v="HTH01331"/>
        <s v="HTH01332"/>
        <s v="HTH01333"/>
        <s v="HTH01334"/>
        <s v="HTH01335"/>
        <s v="HTH01336"/>
        <s v="HTH01337"/>
        <s v="HTH01338"/>
        <s v="HTH01339"/>
        <s v="HTH01340"/>
        <s v="HTH01341"/>
        <s v="HTH01342"/>
        <s v="HTH01343"/>
        <s v="HTH01344"/>
        <s v="HTH01345"/>
        <s v="HTH01346"/>
        <s v="HTH01347"/>
        <s v="HTH01348"/>
        <s v="HTH01349"/>
        <s v="HTH01350"/>
        <s v="HTH01351"/>
        <s v="HTH01352"/>
        <s v="HTH01353"/>
        <s v="HTH01354"/>
        <s v="HTH01355"/>
        <s v="HTH01356"/>
        <s v="HTH01357"/>
        <s v="HTH01358"/>
        <s v="HTH01359"/>
        <s v="HTH01360"/>
        <s v="HTH01361"/>
        <s v="HTH01362"/>
        <s v="HTH01363"/>
        <s v="HTH01364"/>
        <s v="HTH01365"/>
        <s v="HTH01366"/>
        <s v="HTH01367"/>
        <s v="HTH01368"/>
        <s v="HTH01369"/>
        <s v="HTH01370"/>
        <s v="HTH01371"/>
        <s v="HTH01372"/>
        <s v="HTH01373"/>
        <s v="HTH01374"/>
        <s v="HTH01375"/>
        <s v="HTH01376"/>
        <s v="HTH01377"/>
        <s v="HTH01378"/>
        <s v="HTH01379"/>
        <s v="HTH01380"/>
        <s v="HTH01381"/>
        <s v="HTH01382"/>
        <s v="HTH01383"/>
        <s v="HTH01384"/>
        <s v="HTH01385"/>
        <s v="HTH01386"/>
        <s v="HTH01387"/>
        <s v="HTH01388"/>
        <s v="HTH01389"/>
        <s v="HTH01390"/>
        <s v="HTH01391"/>
        <s v="HTH01392"/>
        <s v="HTH01393"/>
        <s v="HTH01394"/>
        <s v="HTH01395"/>
        <s v="HTH01396"/>
        <s v="HTH01397"/>
        <s v="HTH01398"/>
        <s v="HTH01399"/>
        <s v="HTH01400"/>
        <s v="HTH01401"/>
        <s v="HTH01402"/>
        <s v="HTH01403"/>
        <s v="HTH01404"/>
        <s v="HTH01405"/>
        <s v="HTH01406"/>
        <s v="HTH01407"/>
        <s v="HTH01408"/>
        <s v="HTH01409"/>
        <s v="HTH01410"/>
        <s v="HTH01411"/>
        <s v="HTH01412"/>
        <s v="HTH01413"/>
        <s v="HTH01414"/>
        <s v="HTH01415"/>
        <s v="HTH01416"/>
        <s v="HTH01417"/>
        <s v="HTH01418"/>
        <s v="HTH01419"/>
        <s v="HTH01420"/>
        <s v="HTH01421"/>
        <s v="HTH01422"/>
        <s v="HTH01423"/>
        <s v="HTH01424"/>
        <s v="HTH01425"/>
        <s v="HTH01426"/>
        <s v="HTH01427"/>
        <s v="HTH01428"/>
        <s v="HTH01429"/>
        <s v="HTH01430"/>
        <s v="HTH01431"/>
        <s v="HTH01432"/>
        <s v="HTH01433"/>
        <s v="HTH01434"/>
        <s v="HTH01435"/>
        <s v="HTH01436"/>
        <s v="HTH01437"/>
        <s v="HTH01438"/>
        <s v="HTH01439"/>
        <s v="HTH01440"/>
        <s v="HTH01441"/>
        <s v="HTH01442"/>
        <s v="HTH01443"/>
        <s v="HTH01444"/>
        <s v="HTH01445"/>
        <s v="HTH01446"/>
        <s v="HTH01447"/>
        <s v="HTH01448"/>
        <s v="HTH01449"/>
        <s v="HTH01450"/>
        <s v="HTH01451"/>
        <s v="HTH01452"/>
        <s v="HTH01453"/>
        <s v="HTH01454"/>
        <s v="HTH01455"/>
        <s v="HTH01456"/>
        <s v="HTH01457"/>
        <s v="HTH01458"/>
        <s v="HTH01459"/>
        <s v="HTH01460"/>
        <s v="HTH01461"/>
        <s v="HTH01462"/>
        <s v="HTH01463"/>
        <s v="HTH01464"/>
        <s v="HTH01465"/>
        <s v="HTH01466"/>
        <s v="HTH01467"/>
        <s v="HTH01468"/>
        <s v="HTH01469"/>
        <s v="HTH01470"/>
        <s v="HTH01471"/>
        <s v="HTH01472"/>
        <s v="HTH01473"/>
        <s v="HTH01474"/>
        <s v="HTH01475"/>
        <s v="HTH01476"/>
        <s v="HTH01477"/>
        <s v="HTH01478"/>
        <s v="HTH01479"/>
        <s v="HTH01480"/>
        <s v="HTH01481"/>
        <s v="HTH01482"/>
        <s v="HTH01483"/>
        <s v="HTH01484"/>
        <s v="HTH01485"/>
        <s v="HTH01486"/>
        <s v="HTH01487"/>
        <s v="HTH01488"/>
        <s v="HTH01489"/>
        <s v="HTH01490"/>
        <s v="HTH01491"/>
        <s v="HTH01492"/>
        <s v="HTH01493"/>
        <s v="HTH01494"/>
        <s v="HTH01495"/>
        <s v="HTH01496"/>
        <s v="HTH01497"/>
        <s v="HTH01498"/>
        <s v="HTH01499"/>
        <s v="HTH01500"/>
        <s v="HTH01501"/>
        <s v="HTH01502"/>
        <s v="HTH01503"/>
        <s v="HTH01504"/>
        <s v="HTH01505"/>
        <s v="HTH01506"/>
        <s v="HTH01507"/>
        <s v="HTH01508"/>
        <s v="HTH01509"/>
        <s v="HTH01510"/>
        <s v="HTH01511"/>
        <s v="HTH01512"/>
        <s v="HTH01513"/>
        <s v="HTH01514"/>
        <s v="HTH01515"/>
        <s v="HTH01516"/>
        <s v="HTH01517"/>
        <s v="HTH01518"/>
        <s v="HTH01519"/>
        <s v="HTH01520"/>
        <s v="HTH01521"/>
        <s v="HTH01522"/>
        <s v="HTH01523"/>
        <s v="HTH01524"/>
        <s v="HTH01525"/>
        <s v="HTH01526"/>
        <s v="HTH01527"/>
        <s v="HTH01528"/>
        <s v="HTH01529"/>
        <s v="HTH01530"/>
        <s v="HTH01531"/>
        <s v="HTH01532"/>
        <s v="HTH01533"/>
        <s v="HTH01534"/>
        <s v="HTH01535"/>
        <s v="HTH01536"/>
        <s v="HTH01537"/>
        <s v="HTH01538"/>
        <s v="HTH01539"/>
        <s v="HTH01540"/>
        <s v="HTH01541"/>
        <s v="HTH01542"/>
        <s v="HTH01543"/>
        <s v="HTH01544"/>
        <s v="HTH01545"/>
        <s v="HTH01546"/>
        <s v="HTH01547"/>
        <s v="HTH01548"/>
        <s v="HTH01549"/>
        <s v="HTH01550"/>
        <s v="HTH01551"/>
        <s v="HTH01552"/>
        <s v="HTH01553"/>
        <s v="HTH01554"/>
        <s v="HTH01555"/>
        <s v="HTH01556"/>
        <s v="HTH01557"/>
        <s v="HTH01558"/>
        <s v="HTH01559"/>
        <s v="HTH01560"/>
        <s v="HTH01561"/>
        <s v="HTH01562"/>
        <s v="HTH01563"/>
        <s v="HTH01564"/>
        <s v="HTH01565"/>
        <s v="HTH01566"/>
        <s v="HTH01567"/>
        <s v="HTH01568"/>
        <s v="HTH01569"/>
        <s v="HTH01570"/>
        <s v="HTH01571"/>
        <s v="HTH01572"/>
        <s v="HTH01573"/>
        <s v="HTH01574"/>
        <s v="HTH01575"/>
        <s v="HTH01576"/>
        <s v="HTH01577"/>
        <s v="HTH01578"/>
        <s v="HTH01579"/>
        <s v="HTH01580"/>
        <s v="HTH01581"/>
        <s v="HTH01582"/>
        <s v="HTH01583"/>
        <s v="HTH01584"/>
        <s v="HTH01585"/>
        <s v="HTH01586"/>
        <s v="HTH01587"/>
        <s v="HTH01588"/>
        <s v="HTH01589"/>
        <s v="HTH01590"/>
        <s v="HTH01591"/>
        <s v="HTH01592"/>
        <s v="HTH01593"/>
        <s v="HTH01594"/>
        <s v="HTH01595"/>
        <s v="HTH01596"/>
        <s v="HTH01597"/>
        <s v="HTH01598"/>
        <s v="HTH01599"/>
        <s v="HTH01600"/>
        <s v="HTH01601"/>
        <s v="HTH01602"/>
        <s v="HTH01603"/>
        <s v="HTH01604"/>
        <s v="HTH01605"/>
        <s v="HTH01606"/>
        <s v="HTH01607"/>
        <s v="HTH01608"/>
        <s v="HTH01609"/>
        <s v="HTH01610"/>
        <s v="HTH01611"/>
        <s v="HTH01612"/>
        <s v="HTH01613"/>
        <s v="HTH01614"/>
        <s v="HTH01615"/>
        <s v="HTH01616"/>
        <s v="HTH01617"/>
        <s v="HTH01618"/>
        <s v="HTH01619"/>
        <s v="HTH01620"/>
        <s v="HTH01621"/>
        <s v="HTH01622"/>
        <s v="HTH01623"/>
        <s v="HTH01624"/>
        <s v="HTH01625"/>
        <s v="HTH01626"/>
        <s v="HTH01627"/>
        <s v="HTH01628"/>
        <s v="HTH01629"/>
        <s v="HTH01630"/>
        <s v="HTH01631"/>
        <s v="HTH01632"/>
        <s v="HTH01633"/>
        <s v="HTH01634"/>
        <s v="HTH01635"/>
        <s v="HTH01636"/>
        <s v="HTH01637"/>
        <s v="HTH01638"/>
        <s v="HTH01639"/>
        <s v="HTH01640"/>
        <s v="HTH01641"/>
        <s v="HTH01642"/>
        <s v="HTH01643"/>
        <s v="HTH01644"/>
        <s v="HTH01645"/>
        <s v="HTH01646"/>
        <s v="HTH01647"/>
        <s v="HTH01648"/>
        <s v="HTH01649"/>
        <s v="HTH01650"/>
        <s v="HTH01651"/>
        <s v="HTH01652"/>
        <s v="HTH01653"/>
        <s v="HTH01654"/>
        <s v="HTH01655"/>
        <s v="HTH01656"/>
        <s v="HTH01657"/>
        <s v="HTH01658"/>
        <s v="HTH01659"/>
        <s v="HTH01660"/>
        <s v="HTH01661"/>
        <s v="HTH01662"/>
        <s v="HTH01663"/>
        <s v="HTH01664"/>
        <s v="HTH01665"/>
        <s v="HTH01666"/>
        <s v="HTH01667"/>
        <s v="HTH01668"/>
        <s v="HTH01669"/>
        <s v="HTH01670"/>
        <s v="HTH01671"/>
        <s v="HTH01672"/>
        <s v="HTH01673"/>
        <s v="HTH01674"/>
        <s v="HTH01675"/>
        <s v="HTH01676"/>
        <s v="HTH01677"/>
        <s v="HTH01678"/>
        <s v="HTH01679"/>
        <s v="HTH01680"/>
        <s v="HTH01681"/>
        <s v="HTH01682"/>
        <s v="HTH01683"/>
        <s v="HTH01684"/>
        <s v="HTH01685"/>
        <s v="HTH01686"/>
        <s v="HTH01687"/>
        <s v="HTH01688"/>
        <s v="HTH01689"/>
        <s v="HTH01690"/>
        <s v="HTH01691"/>
        <s v="HTH01692"/>
        <s v="HTH01693"/>
        <s v="HTH01694"/>
        <s v="HTH01695"/>
        <s v="HTH01696"/>
        <s v="HTH01697"/>
        <s v="HTH01698"/>
        <s v="HTH01699"/>
        <s v="HTH01700"/>
        <s v="HTH01701"/>
        <s v="HTH01702"/>
        <s v="HTH01703"/>
        <s v="HTH01704"/>
        <s v="HTH01705"/>
        <s v="HTH01706"/>
        <s v="HTH01707"/>
        <s v="HTH01708"/>
        <s v="HTH01709"/>
        <s v="HTH01710"/>
        <s v="HTH01711"/>
        <s v="HTH01712"/>
        <s v="HTH01713"/>
        <s v="HTH01714"/>
        <s v="HTH01715"/>
        <s v="HTH01716"/>
        <s v="HTH01717"/>
        <s v="HTH01718"/>
        <s v="HTH01719"/>
        <s v="HTH01720"/>
        <s v="HTH01721"/>
        <s v="HTH01722"/>
        <s v="HTH01723"/>
        <s v="HTH01724"/>
        <s v="HTH01725"/>
        <s v="HTH01726"/>
        <s v="HTH01727"/>
        <s v="HTH01728"/>
        <s v="HTH01729"/>
        <s v="HTH01730"/>
        <s v="HTH01731"/>
        <s v="HTH01732"/>
        <s v="HTH01733"/>
        <s v="HTH01734"/>
        <s v="HTH01735"/>
        <s v="HTH01736"/>
        <s v="HTH01737"/>
        <s v="HTH01738"/>
        <s v="HTH01739"/>
        <s v="HTH01740"/>
        <s v="HTH01741"/>
        <s v="HTH01742"/>
        <s v="HTH01743"/>
        <s v="HTH01744"/>
        <s v="HTH01745"/>
        <s v="HTH01746"/>
        <s v="HTH01747"/>
        <s v="HTH01748"/>
        <s v="HTH01749"/>
        <s v="HTH01750"/>
        <s v="HTH01751"/>
        <s v="HTH01752"/>
        <s v="HTH01753"/>
        <s v="HTH01754"/>
        <s v="HTH01755"/>
        <s v="HTH01756"/>
        <s v="HTH01757"/>
        <s v="HTH01758"/>
        <s v="HTH01759"/>
        <s v="HTH01760"/>
        <s v="HTH01761"/>
        <s v="HTH01762"/>
        <s v="HTH01763"/>
        <s v="HTH01764"/>
        <s v="HTH01765"/>
        <s v="HTH01766"/>
        <s v="HTH01767"/>
        <s v="HTH01768"/>
        <s v="HTH01769"/>
        <s v="HTH01770"/>
        <s v="HTH01771"/>
        <s v="HTH01772"/>
        <s v="HTH01773"/>
        <s v="HTH01774"/>
        <s v="HTH01775"/>
        <s v="HTH01776"/>
        <s v="HTH01777"/>
        <s v="HTH01778"/>
        <s v="HTH01779"/>
        <s v="HTH01780"/>
        <s v="HTH01781"/>
        <s v="HTH01782"/>
        <s v="HTH01783"/>
        <s v="HTH01784"/>
        <s v="HTH01785"/>
        <s v="HTH01786"/>
        <s v="HTH01787"/>
        <s v="HTH01788"/>
        <s v="HTH01789"/>
        <s v="HTH01790"/>
        <s v="HTH01791"/>
        <s v="HTH01792"/>
        <s v="HTH01793"/>
        <s v="HTH01794"/>
        <s v="HTH01795"/>
        <s v="HTH01796"/>
        <s v="HTH01797"/>
        <s v="HTH01798"/>
        <s v="HTH01799"/>
        <s v="HTH01800"/>
        <s v="HTH01801"/>
        <s v="HTH01802"/>
        <s v="HTH01803"/>
        <s v="HTH01804"/>
        <s v="HTH01805"/>
        <s v="HTH01806"/>
        <s v="HTH01807"/>
        <s v="HTH01808"/>
        <s v="HTH01809"/>
        <s v="HTH01810"/>
        <s v="HTH01811"/>
        <s v="HTH01812"/>
        <s v="HTH01813"/>
        <s v="HTH01814"/>
        <s v="HTH01815"/>
        <s v="HTH01816"/>
        <s v="HTH01817"/>
        <s v="HTH01818"/>
        <s v="HTH01819"/>
        <s v="HTH01820"/>
        <s v="HTH01821"/>
        <s v="HTH01822"/>
        <s v="HTH01823"/>
        <s v="HTH01824"/>
        <s v="HTH01825"/>
        <s v="HTH01826"/>
        <s v="HTH01827"/>
        <s v="HTH01828"/>
        <s v="HTH01829"/>
        <s v="HTH01830"/>
        <s v="HTH01831"/>
        <s v="HTH01832"/>
        <s v="HTH01833"/>
        <s v="HTH01834"/>
        <s v="HTH01835"/>
        <s v="HTH01836"/>
        <s v="HTH01837"/>
        <s v="HTH01838"/>
        <s v="HTH01839"/>
        <s v="HTH01840"/>
        <s v="HTH01841"/>
        <s v="HTH01842"/>
        <s v="HTH01843"/>
        <s v="HTH01844"/>
        <s v="HTH01845"/>
        <s v="HTH01846"/>
        <s v="HTH01847"/>
        <s v="HTH01848"/>
        <s v="HTH01849"/>
        <s v="HTH01850"/>
        <s v="HTH01851"/>
        <s v="HTH01852"/>
        <s v="HTH01853"/>
        <s v="HTH01854"/>
        <s v="HTH01855"/>
        <s v="HTH01856"/>
        <s v="HTH01857"/>
        <s v="HTH01858"/>
        <s v="HTH01859"/>
        <s v="HTH01860"/>
        <s v="HTH01861"/>
        <s v="HTH01862"/>
        <s v="HTH01863"/>
        <s v="HTH01864"/>
        <s v="HTH01865"/>
        <s v="HTH01866"/>
        <s v="HTH01867"/>
        <s v="HTH01868"/>
        <s v="HTH01869"/>
        <s v="HTH01870"/>
        <s v="HTH01871"/>
        <s v="HTH01872"/>
        <s v="HTH01873"/>
        <s v="HTH01874"/>
        <s v="HTH01875"/>
        <s v="HTH01876"/>
        <s v="HTH01877"/>
        <s v="HTH01878"/>
        <s v="HTH01879"/>
        <s v="HTH01880"/>
        <s v="HTH01881"/>
        <s v="HTH01882"/>
        <s v="HTH01883"/>
        <s v="HTH01884"/>
        <s v="HTH01885"/>
        <s v="HTH01886"/>
        <s v="HTH01887"/>
        <s v="HTH01888"/>
        <s v="HTH01889"/>
        <s v="HTH01890"/>
        <s v="HTH01891"/>
        <s v="HTH01892"/>
        <s v="HTH01893"/>
        <s v="HTH01894"/>
        <s v="HTH01895"/>
        <s v="HTH01896"/>
        <s v="HTH01897"/>
        <s v="HTH01898"/>
        <s v="HTH01899"/>
        <s v="HTH01900"/>
        <s v="HTH01901"/>
        <s v="HTH01902"/>
        <s v="HTH01903"/>
        <s v="HTH01904"/>
        <s v="HTH01905"/>
        <s v="HTH01906"/>
        <s v="HTH01907"/>
        <s v="HTH01908"/>
        <s v="HTH01909"/>
        <s v="HTH01910"/>
        <s v="HTH01911"/>
        <s v="HTH01912"/>
        <s v="HTH01913"/>
        <s v="HTH01914"/>
        <s v="HTH01915"/>
        <s v="HTH01916"/>
        <s v="HTH01917"/>
        <s v="HTH01918"/>
        <s v="HTH01919"/>
        <s v="HTH01920"/>
        <s v="HTH01921"/>
        <s v="HTH01922"/>
        <s v="HTH01923"/>
        <s v="HTH01924"/>
        <s v="HTH01925"/>
        <s v="HTH01926"/>
        <s v="HTH01927"/>
        <s v="HTH01928"/>
        <s v="HTH01929"/>
        <s v="HTH01930"/>
        <s v="HTH01931"/>
        <s v="HTH01932"/>
        <s v="HTH01933"/>
        <s v="HTH01934"/>
        <s v="HTH01935"/>
        <s v="HTH01936"/>
        <s v="HTH01937"/>
        <s v="HTH01938"/>
        <s v="HTH01939"/>
        <s v="HTH01940"/>
        <s v="HTH01941"/>
        <s v="HTH01942"/>
        <s v="HTH01943"/>
        <s v="HTH01944"/>
        <s v="HTH01945"/>
        <s v="HTH01946"/>
        <s v="HTH01947"/>
        <s v="HTH01948"/>
        <s v="HTH01949"/>
        <s v="HTH01950"/>
        <s v="HTH01951"/>
        <s v="HTH01952"/>
        <s v="HTH01953"/>
        <s v="HTH01954"/>
        <s v="HTH01955"/>
        <s v="HTH01956"/>
        <s v="HTH01957"/>
        <s v="HTH01958"/>
        <s v="HTH01959"/>
        <s v="HTH01960"/>
        <s v="HTH01961"/>
        <s v="HTH01962"/>
        <s v="HTH01963"/>
        <s v="HTH01964"/>
        <s v="HTH01965"/>
        <s v="HTH01966"/>
        <s v="HTH01967"/>
        <s v="HTH01968"/>
        <s v="HTH01969"/>
        <s v="HTH01970"/>
        <s v="HTH01971"/>
        <s v="HTH01972"/>
        <s v="HTH01973"/>
        <s v="HTH01974"/>
        <s v="HTH01975"/>
        <s v="HTH01976"/>
        <s v="HTH01977"/>
        <s v="HTH01978"/>
        <s v="HTH01979"/>
        <s v="HTH01980"/>
        <s v="HTH01981"/>
        <s v="HTH01982"/>
        <s v="HTH01983"/>
        <s v="HTH01984"/>
        <s v="HTH01985"/>
        <s v="HTH01986"/>
        <s v="HTH01987"/>
        <s v="HTH01988"/>
        <s v="HTH01989"/>
        <s v="HTH01990"/>
        <s v="HTH01991"/>
        <s v="HTH01992"/>
        <s v="HTH01993"/>
        <s v="HTH01994"/>
        <s v="HTH01995"/>
        <s v="HTH01996"/>
        <s v="HTH01997"/>
        <s v="HTH01998"/>
        <s v="HTH01999"/>
        <s v="HTH02000"/>
        <s v="HTH02001"/>
        <s v="HTH02002"/>
        <s v="HTH02003"/>
        <s v="HTH02004"/>
        <s v="HTH02005"/>
        <s v="HTH02006"/>
        <s v="HTH02007"/>
        <s v="HTH02008"/>
        <s v="HTH02009"/>
        <s v="HTH02010"/>
        <s v="HTH02011"/>
        <s v="HTH02012"/>
        <s v="HTH02013"/>
        <s v="HTH02014"/>
        <s v="HTH02015"/>
        <s v="HTH02016"/>
        <s v="HTH02017"/>
        <s v="HTH02018"/>
        <s v="HTH02019"/>
        <s v="HTH02020"/>
        <s v="HTH02021"/>
        <s v="HTH02022"/>
        <s v="HTH02023"/>
        <s v="HTH02024"/>
        <s v="HTH02025"/>
        <s v="HTH02026"/>
        <s v="HTH02027"/>
        <s v="HTH02028"/>
        <s v="HTH02029"/>
        <s v="HTH02030"/>
        <s v="HTH02031"/>
        <s v="HTH02032"/>
        <s v="HTH02033"/>
        <s v="HTH02034"/>
        <s v="HTH02035"/>
        <s v="HTH02036"/>
        <s v="HTH02037"/>
        <s v="HTH02038"/>
        <s v="HTH02039"/>
        <s v="HTH02040"/>
        <s v="HTH02041"/>
        <s v="HTH02042"/>
        <s v="HTH02043"/>
        <s v="HTH02044"/>
        <s v="HTH02045"/>
        <s v="HTH02046"/>
        <s v="HTH02047"/>
        <s v="HTH02048"/>
        <s v="HTH02049"/>
        <s v="HTH02050"/>
        <s v="HTH02051"/>
        <s v="HTH02052"/>
        <s v="HTH02053"/>
        <s v="HTH02054"/>
        <s v="HTH02055"/>
        <s v="HTH02056"/>
        <s v="HTH02057"/>
        <s v="HTH02058"/>
        <s v="HTH02059"/>
        <s v="HTH02060"/>
        <s v="HTH02061"/>
        <s v="HTH02062"/>
        <s v="HTH02063"/>
        <s v="HTH02064"/>
        <s v="HTH02065"/>
        <s v="HTH02066"/>
        <s v="HTH02067"/>
        <s v="HTH02068"/>
        <s v="HTH02069"/>
        <s v="HTH02070"/>
        <s v="HTH02071"/>
        <s v="HTH02072"/>
        <s v="HTH02073"/>
        <s v="HTH02074"/>
        <s v="HTH02075"/>
        <s v="HTH02076"/>
        <s v="HTH02077"/>
        <s v="HTH02078"/>
        <s v="HTH02079"/>
        <s v="HTH02080"/>
        <s v="HTH02081"/>
        <s v="HTH02082"/>
        <s v="HTH02083"/>
        <s v="HTH02084"/>
        <s v="HTH02085"/>
        <s v="HTH02086"/>
        <s v="HTH02087"/>
        <s v="HTH02088"/>
        <s v="HTH02089"/>
        <s v="HTH02090"/>
        <s v="HTH02091"/>
        <s v="HTH02092"/>
        <s v="HTH02093"/>
        <s v="HTH02094"/>
        <s v="HTH02095"/>
        <s v="HTH02096"/>
        <s v="HTH02097"/>
        <s v="HTH02098"/>
        <s v="HTH02099"/>
        <s v="HTH02100"/>
        <s v="HTH02101"/>
        <s v="HTH02102"/>
        <s v="HTH02103"/>
        <s v="HTH02104"/>
        <s v="HTH02105"/>
        <s v="HTH02106"/>
        <s v="HTH02107"/>
        <s v="HTH02108"/>
        <s v="HTH02109"/>
        <s v="HTH02110"/>
        <s v="HTH02111"/>
        <s v="HTH02112"/>
        <s v="HTH02113"/>
        <s v="HTH02114"/>
        <s v="HTH02115"/>
        <s v="HTH02116"/>
        <s v="HTH02117"/>
        <s v="HTH02118"/>
        <s v="HTH02119"/>
        <s v="HTH02120"/>
        <s v="HTH02121"/>
        <s v="HTH02122"/>
        <s v="HTH02123"/>
        <s v="HTH02124"/>
        <s v="HTH02125"/>
        <s v="HTH02126"/>
        <s v="HTH02127"/>
        <s v="HTH02128"/>
        <s v="HTH02129"/>
        <s v="HTH02130"/>
        <s v="HTH02131"/>
        <s v="HTH02132"/>
        <s v="HTH02133"/>
        <s v="HTH02134"/>
        <s v="HTH02135"/>
        <s v="HTH02136"/>
        <s v="HTH02137"/>
        <s v="HTH02138"/>
        <s v="HTH02139"/>
        <s v="HTH02140"/>
        <s v="HTH02141"/>
        <s v="HTH02142"/>
        <s v="HTH02143"/>
        <s v="HTH02144"/>
        <s v="HTH02145"/>
        <s v="HTH02146"/>
        <s v="HTH02147"/>
        <s v="HTH02148"/>
        <s v="HTH02149"/>
        <s v="HTH02150"/>
        <s v="HTH02151"/>
        <s v="HTH02152"/>
        <s v="HTH02153"/>
        <s v="HTH02154"/>
        <s v="HTH02155"/>
        <s v="HTH02156"/>
        <s v="HTH02157"/>
        <s v="HTH02158"/>
        <s v="HTH02159"/>
        <s v="HTH02160"/>
        <s v="HTH02161"/>
        <s v="HTH02162"/>
        <s v="HTH02163"/>
        <s v="HTH02164"/>
        <s v="HTH02165"/>
        <s v="HTH02166"/>
        <s v="HTH02167"/>
        <s v="HTH02168"/>
        <s v="HTH02169"/>
        <s v="HTH02170"/>
        <s v="HTH02171"/>
        <s v="HTH02172"/>
        <s v="HTH02173"/>
        <s v="HTH02174"/>
        <s v="HTH02175"/>
        <s v="HTH02176"/>
        <s v="HTH02177"/>
        <s v="HTH02178"/>
        <s v="HTH02179"/>
        <s v="HTH02180"/>
        <s v="HTH02181"/>
        <s v="HTH02182"/>
        <s v="HTH02183"/>
        <s v="HTH02184"/>
        <s v="HTH02185"/>
        <s v="HTH02186"/>
        <s v="HTH02187"/>
        <s v="HTH02188"/>
        <s v="HTH02189"/>
        <s v="HTH02190"/>
        <s v="HTH02191"/>
        <s v="HTH02192"/>
        <s v="HTH02193"/>
        <s v="HTH02194"/>
        <s v="HTH02195"/>
        <s v="HTH02196"/>
        <s v="HTH02197"/>
        <s v="HTH02198"/>
        <s v="HTH02199"/>
        <s v="HTH02200"/>
        <s v="HTH02201"/>
        <s v="HTH02202"/>
        <s v="HTH02203"/>
        <s v="HTH02204"/>
        <s v="HTH02205"/>
        <s v="HTH02206"/>
        <s v="HTH02207"/>
        <s v="HTH02208"/>
        <s v="HTH02209"/>
        <s v="HTH02210"/>
        <s v="HTH02211"/>
        <s v="HTH02212"/>
        <s v="HTH02213"/>
        <s v="HTH02214"/>
        <s v="HTH02215"/>
        <s v="HTH02216"/>
        <s v="HTH02217"/>
        <s v="HTH02218"/>
        <s v="HTH02219"/>
        <s v="HTH02220"/>
        <s v="HTH02221"/>
        <s v="HTH02222"/>
        <s v="HTH02223"/>
        <s v="HTH02224"/>
        <s v="HTH02225"/>
        <s v="HTH02226"/>
        <s v="HTH02227"/>
        <s v="HTH02228"/>
        <s v="HTH02229"/>
        <s v="HTH02230"/>
        <s v="HTH02231"/>
        <s v="HTH02232"/>
        <s v="HTH02233"/>
        <s v="HTH02234"/>
        <s v="HTH02235"/>
        <s v="HTH02236"/>
        <s v="HTH02237"/>
        <s v="HTH02238"/>
        <s v="HTH02239"/>
        <s v="HTH02240"/>
        <s v="HTH02241"/>
        <s v="HTH02242"/>
        <s v="HTH02243"/>
        <s v="HTH02244"/>
        <s v="HTH02245"/>
        <s v="HTH02246"/>
        <s v="HTH02247"/>
        <s v="HTH02248"/>
        <s v="HTH02249"/>
        <s v="HTH02250"/>
        <s v="HTH02251"/>
        <s v="HTH02252"/>
        <s v="HTH02253"/>
        <s v="HTH02254"/>
        <s v="HTH02255"/>
        <s v="HTH02256"/>
        <s v="HTH02257"/>
        <s v="HTH02258"/>
        <s v="HTH02259"/>
        <s v="HTH02260"/>
        <s v="HTH02261"/>
        <s v="HTH02262"/>
        <s v="HTH02263"/>
        <s v="HTH02264"/>
        <s v="HTH02265"/>
        <s v="HTH02266"/>
        <s v="HTH02267"/>
        <s v="HTH02268"/>
        <s v="HTH02269"/>
        <s v="HTH02270"/>
        <s v="HTH02271"/>
        <s v="HTH02272"/>
        <s v="HTH02273"/>
        <s v="HTH02274"/>
        <s v="HTH02275"/>
        <s v="HTH02276"/>
        <s v="HTH02277"/>
        <s v="HTH02278"/>
        <s v="HTH02279"/>
        <s v="HTH02280"/>
        <s v="HTH02281"/>
        <s v="HTH02282"/>
        <s v="HTH02283"/>
        <s v="HTH02284"/>
        <s v="HTH02285"/>
        <s v="HTH02286"/>
        <s v="HTH02287"/>
        <s v="HTH02288"/>
        <s v="HTH02289"/>
        <s v="HTH02290"/>
        <s v="HTH02291"/>
        <s v="HTH02292"/>
        <s v="HTH02293"/>
        <s v="HTH02294"/>
        <s v="HTH02295"/>
        <s v="HTH02296"/>
        <s v="HTH02297"/>
        <s v="HTH02298"/>
        <s v="HTH02299"/>
        <s v="HTH02300"/>
        <s v="HTH02301"/>
        <s v="HTH02302"/>
        <s v="HTH02303"/>
        <s v="HTH02304"/>
        <s v="HTH02305"/>
        <s v="HTH02306"/>
        <s v="HTH02307"/>
        <s v="HTH02308"/>
        <s v="HTH02309"/>
        <s v="HTH02310"/>
        <s v="HTH02311"/>
        <s v="HTH02312"/>
        <s v="HTH02313"/>
        <s v="HTH02314"/>
        <s v="HTH02315"/>
        <s v="HTH02316"/>
        <s v="HTH02317"/>
        <s v="HTH02318"/>
        <s v="HTH02319"/>
        <s v="HTH02320"/>
        <s v="HTH02321"/>
        <s v="HTH02322"/>
        <s v="HTH02323"/>
        <s v="HTH02324"/>
        <s v="HTH02325"/>
        <s v="HTH02326"/>
        <s v="HTH02327"/>
        <s v="HTH02328"/>
        <s v="HTH02329"/>
        <s v="HTH02330"/>
        <s v="HTH02331"/>
        <s v="HTH02332"/>
        <s v="HTH02333"/>
        <s v="HTH02334"/>
        <s v="HTH02335"/>
        <s v="HTH02336"/>
        <s v="HTH02337"/>
        <s v="HTH02338"/>
        <s v="HTH02339"/>
        <s v="HTH02340"/>
        <s v="HTH02341"/>
        <s v="HTH02342"/>
        <s v="HTH02343"/>
        <s v="HTH02344"/>
        <s v="HTH02345"/>
        <s v="HTH02346"/>
        <s v="HTH02347"/>
        <s v="HTH02348"/>
        <s v="HTH02349"/>
        <s v="HTH02350"/>
        <s v="HTH02351"/>
        <s v="HTH02352"/>
        <s v="HTH02353"/>
        <s v="HTH02354"/>
        <s v="HTH02355"/>
        <s v="HTH02356"/>
        <s v="HTH02357"/>
        <s v="HTH02358"/>
        <s v="HTH02359"/>
        <s v="HTH02360"/>
        <s v="HTH02361"/>
        <s v="HTH02362"/>
        <s v="HTH02363"/>
        <s v="HTH02364"/>
        <s v="HTH02365"/>
        <s v="HTH02366"/>
        <s v="HTH02367"/>
        <s v="HTH02368"/>
        <s v="HTH02369"/>
        <s v="HTH02370"/>
        <s v="HTH02371"/>
        <s v="HTH02372"/>
        <s v="HTH02373"/>
        <s v="HTH02374"/>
        <s v="HTH02375"/>
        <s v="HTH02376"/>
        <s v="HTH02377"/>
        <s v="HTH02378"/>
        <s v="HTH02379"/>
        <s v="HTH02380"/>
        <s v="HTH02381"/>
        <s v="HTH02382"/>
        <s v="HTH02383"/>
        <s v="HTH02384"/>
        <s v="HTH02385"/>
        <s v="HTH02386"/>
        <s v="HTH02387"/>
        <s v="HTH02388"/>
        <s v="HTH02389"/>
        <s v="HTH02390"/>
        <s v="HTH02391"/>
        <s v="HTH02392"/>
        <s v="HTH02393"/>
        <s v="HTH02394"/>
        <s v="HTH02395"/>
        <s v="HTH02396"/>
        <s v="HTH02397"/>
        <s v="HTH02398"/>
        <s v="HTH02399"/>
        <s v="HTH02400"/>
        <s v="HTH02401"/>
        <s v="HTH02402"/>
        <s v="HTH02403"/>
        <s v="HTH02404"/>
        <s v="HTH02405"/>
        <s v="HTH02406"/>
        <s v="HTH02407"/>
        <s v="HTH02408"/>
        <s v="HTH02409"/>
        <s v="HTH02410"/>
        <s v="HTH02411"/>
        <s v="HTH02412"/>
        <s v="HTH02413"/>
        <s v="HTH02414"/>
        <s v="HTH02415"/>
        <s v="HTH02416"/>
        <s v="HTH02417"/>
        <s v="HTH02418"/>
        <s v="HTH02419"/>
        <s v="HTH02420"/>
        <s v="HTH02421"/>
        <s v="HTH02422"/>
        <s v="HTH02423"/>
        <s v="HTH02424"/>
        <s v="HTH02425"/>
        <s v="HTH02426"/>
        <s v="HTH02427"/>
        <s v="HTH02428"/>
        <s v="HTH02429"/>
        <s v="HTH02430"/>
        <s v="HTH02431"/>
        <s v="HTH02432"/>
        <s v="HTH02433"/>
        <s v="HTH02434"/>
        <s v="HTH02435"/>
        <s v="HTH02436"/>
        <s v="HTH02437"/>
        <s v="HTH02438"/>
        <s v="HTH02439"/>
        <s v="HTH02440"/>
        <s v="HTH02441"/>
        <s v="HTH02442"/>
        <s v="HTH02443"/>
        <s v="HTH02444"/>
        <s v="HTH02445"/>
        <s v="HTH02446"/>
        <s v="HTH02447"/>
        <s v="HTH02448"/>
        <s v="HTH02449"/>
        <s v="HTH02450"/>
        <s v="HTH02451"/>
        <s v="HTH02452"/>
        <s v="HTH02453"/>
        <s v="HTH02454"/>
        <s v="HTH02455"/>
        <s v="HTH02456"/>
        <s v="HTH02457"/>
        <s v="HTH02458"/>
        <s v="HTH02459"/>
        <s v="HTH02460"/>
        <s v="HTH02461"/>
        <s v="HTH02462"/>
        <s v="HTH02463"/>
        <s v="HTH02464"/>
        <s v="HTH02465"/>
        <s v="HTH02466"/>
        <s v="HTH02467"/>
        <s v="HTH02468"/>
        <s v="HTH02469"/>
        <s v="HTH02470"/>
        <s v="HTH02471"/>
        <s v="HTH02472"/>
        <s v="HTH02473"/>
        <s v="HTH02474"/>
        <s v="HTH02475"/>
        <s v="HTH02476"/>
        <s v="HTH02477"/>
        <s v="HTH02478"/>
        <s v="HTH02479"/>
        <s v="HTH02480"/>
        <s v="HTH02481"/>
        <s v="HTH02482"/>
        <s v="HTH02483"/>
        <s v="HTH02484"/>
        <s v="HTH02485"/>
        <s v="HTH02486"/>
        <s v="HTH02487"/>
        <s v="HTH02488"/>
        <s v="HTH02489"/>
        <s v="HTH02490"/>
        <s v="HTH02491"/>
        <s v="HTH02492"/>
        <s v="HTH02493"/>
        <s v="HTH02494"/>
        <s v="HTH02495"/>
        <s v="HTH02496"/>
        <s v="HTH02497"/>
        <s v="HTH02498"/>
        <s v="HTH02499"/>
        <s v="HTH02500"/>
      </sharedItems>
    </cacheField>
    <cacheField name="Date" numFmtId="165">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0"/>
    </cacheField>
    <cacheField name="Department" numFmtId="0">
      <sharedItems count="8">
        <s v="Emergency"/>
        <s v="General Medicine"/>
        <s v="Neurology"/>
        <s v="Orthopedics"/>
        <s v="Pediatrics"/>
        <s v="Laboratory"/>
        <s v="Radiology"/>
        <s v="Cardiology"/>
      </sharedItems>
    </cacheField>
    <cacheField name="Region" numFmtId="0">
      <sharedItems count="1">
        <s v="Kerala"/>
      </sharedItems>
    </cacheField>
    <cacheField name="Business Unit" numFmtId="0">
      <sharedItems count="4">
        <s v="Emergency Services"/>
        <s v="Outpatient Services"/>
        <s v="Inpatient Services"/>
        <s v="Diagnostic Services"/>
      </sharedItems>
    </cacheField>
    <cacheField name="Category" numFmtId="0">
      <sharedItems count="12">
        <s v="Consultation Services"/>
        <s v="Administrative Costs"/>
        <s v="Treatment Services"/>
        <s v="Pharmacy Services"/>
        <s v="Emergency Services"/>
        <s v="Medicines &amp; Supplies"/>
        <s v="Medical Supplies"/>
        <s v="Diagnostic Services"/>
        <s v="Utilities"/>
        <s v="Staff Costs"/>
        <s v="Equipment &amp; Maintenance"/>
        <s v="Surgical Services"/>
      </sharedItems>
    </cacheField>
    <cacheField name="Type" numFmtId="0">
      <sharedItems/>
    </cacheField>
    <cacheField name="Budget Amount" numFmtId="164">
      <sharedItems containsSemiMixedTypes="0" containsString="0" containsNumber="1" containsInteger="1" minValue="12344" maxValue="249481"/>
    </cacheField>
    <cacheField name="Actual Amount" numFmtId="164">
      <sharedItems containsSemiMixedTypes="0" containsString="0" containsNumber="1" containsInteger="1" minValue="10700" maxValue="282800"/>
    </cacheField>
    <cacheField name="Months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Quarters (Date)" numFmtId="0" databaseField="0">
      <fieldGroup base="1">
        <rangePr groupBy="quarters" startDate="2025-01-01T00:00:00" endDate="2026-01-01T00:00:00"/>
        <groupItems count="6">
          <s v="&lt;01-01-2025"/>
          <s v="Qtr1"/>
          <s v="Qtr2"/>
          <s v="Qtr3"/>
          <s v="Qtr4"/>
          <s v="&gt;01-01-2026"/>
        </groupItems>
      </fieldGroup>
    </cacheField>
  </cacheFields>
  <extLst>
    <ext xmlns:x14="http://schemas.microsoft.com/office/spreadsheetml/2009/9/main" uri="{725AE2AE-9491-48be-B2B4-4EB974FC3084}">
      <x14:pivotCacheDefinition pivotCacheId="10418924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isha" refreshedDate="46290.664323032404" createdVersion="8" refreshedVersion="8" minRefreshableVersion="3" recordCount="11" xr:uid="{EB130053-8D40-4E7A-8B95-C2B666376D94}">
  <cacheSource type="worksheet">
    <worksheetSource ref="J2:L13" sheet="KPI"/>
  </cacheSource>
  <cacheFields count="3">
    <cacheField name="KPI" numFmtId="0">
      <sharedItems containsBlank="1" count="7">
        <s v="TOTAL ACTUAL REVENUE"/>
        <m/>
        <s v="TOTAL BUDGTED REVENUE"/>
        <s v="REVENUE VARIANCE"/>
        <s v="TOTAL ACTUAL EXPENSE"/>
        <s v="TOTAL BUDGTED EXPENSE"/>
        <s v="EXPENSE VARIANCE"/>
      </sharedItems>
    </cacheField>
    <cacheField name="2025" numFmtId="0">
      <sharedItems containsString="0" containsBlank="1" containsNumber="1" minValue="-4.0847403886977848E-3" maxValue="167418963"/>
    </cacheField>
    <cacheField name="FAVORABLE/UNFAVORABL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x v="0"/>
    <x v="0"/>
    <x v="0"/>
    <x v="0"/>
    <s v="Revenue"/>
    <n v="234633"/>
    <n v="204200"/>
  </r>
  <r>
    <x v="1"/>
    <x v="0"/>
    <x v="1"/>
    <x v="0"/>
    <x v="1"/>
    <x v="1"/>
    <s v="Expense"/>
    <n v="29489"/>
    <n v="26100"/>
  </r>
  <r>
    <x v="2"/>
    <x v="0"/>
    <x v="2"/>
    <x v="0"/>
    <x v="2"/>
    <x v="2"/>
    <s v="Revenue"/>
    <n v="59413"/>
    <n v="64500"/>
  </r>
  <r>
    <x v="3"/>
    <x v="0"/>
    <x v="3"/>
    <x v="0"/>
    <x v="2"/>
    <x v="3"/>
    <s v="Revenue"/>
    <n v="172361"/>
    <n v="214700"/>
  </r>
  <r>
    <x v="4"/>
    <x v="0"/>
    <x v="3"/>
    <x v="0"/>
    <x v="2"/>
    <x v="3"/>
    <s v="Revenue"/>
    <n v="238392"/>
    <n v="237000"/>
  </r>
  <r>
    <x v="5"/>
    <x v="0"/>
    <x v="3"/>
    <x v="0"/>
    <x v="2"/>
    <x v="3"/>
    <s v="Revenue"/>
    <n v="99794"/>
    <n v="111400"/>
  </r>
  <r>
    <x v="6"/>
    <x v="0"/>
    <x v="3"/>
    <x v="0"/>
    <x v="2"/>
    <x v="4"/>
    <s v="Revenue"/>
    <n v="110782"/>
    <n v="121700"/>
  </r>
  <r>
    <x v="7"/>
    <x v="0"/>
    <x v="4"/>
    <x v="0"/>
    <x v="1"/>
    <x v="1"/>
    <s v="Expense"/>
    <n v="82243"/>
    <n v="78000"/>
  </r>
  <r>
    <x v="8"/>
    <x v="0"/>
    <x v="4"/>
    <x v="0"/>
    <x v="1"/>
    <x v="5"/>
    <s v="Expense"/>
    <n v="67385"/>
    <n v="71900"/>
  </r>
  <r>
    <x v="9"/>
    <x v="1"/>
    <x v="0"/>
    <x v="0"/>
    <x v="0"/>
    <x v="4"/>
    <s v="Revenue"/>
    <n v="138538"/>
    <n v="127300"/>
  </r>
  <r>
    <x v="10"/>
    <x v="1"/>
    <x v="5"/>
    <x v="0"/>
    <x v="3"/>
    <x v="5"/>
    <s v="Expense"/>
    <n v="112373"/>
    <n v="107600"/>
  </r>
  <r>
    <x v="11"/>
    <x v="1"/>
    <x v="2"/>
    <x v="0"/>
    <x v="2"/>
    <x v="6"/>
    <s v="Expense"/>
    <n v="117635"/>
    <n v="96600"/>
  </r>
  <r>
    <x v="12"/>
    <x v="1"/>
    <x v="2"/>
    <x v="0"/>
    <x v="2"/>
    <x v="7"/>
    <s v="Revenue"/>
    <n v="119260"/>
    <n v="113000"/>
  </r>
  <r>
    <x v="13"/>
    <x v="1"/>
    <x v="3"/>
    <x v="0"/>
    <x v="2"/>
    <x v="8"/>
    <s v="Expense"/>
    <n v="117134"/>
    <n v="114500"/>
  </r>
  <r>
    <x v="14"/>
    <x v="1"/>
    <x v="3"/>
    <x v="0"/>
    <x v="2"/>
    <x v="0"/>
    <s v="Revenue"/>
    <n v="146388"/>
    <n v="149700"/>
  </r>
  <r>
    <x v="15"/>
    <x v="1"/>
    <x v="4"/>
    <x v="0"/>
    <x v="1"/>
    <x v="8"/>
    <s v="Expense"/>
    <n v="71882"/>
    <n v="72500"/>
  </r>
  <r>
    <x v="16"/>
    <x v="1"/>
    <x v="4"/>
    <x v="0"/>
    <x v="1"/>
    <x v="9"/>
    <s v="Expense"/>
    <n v="47984"/>
    <n v="47800"/>
  </r>
  <r>
    <x v="17"/>
    <x v="1"/>
    <x v="4"/>
    <x v="0"/>
    <x v="1"/>
    <x v="9"/>
    <s v="Expense"/>
    <n v="54958"/>
    <n v="67100"/>
  </r>
  <r>
    <x v="18"/>
    <x v="1"/>
    <x v="4"/>
    <x v="0"/>
    <x v="1"/>
    <x v="3"/>
    <s v="Revenue"/>
    <n v="135720"/>
    <n v="139500"/>
  </r>
  <r>
    <x v="19"/>
    <x v="1"/>
    <x v="4"/>
    <x v="0"/>
    <x v="1"/>
    <x v="4"/>
    <s v="Revenue"/>
    <n v="70281"/>
    <n v="60800"/>
  </r>
  <r>
    <x v="20"/>
    <x v="2"/>
    <x v="0"/>
    <x v="0"/>
    <x v="0"/>
    <x v="9"/>
    <s v="Expense"/>
    <n v="17032"/>
    <n v="19200"/>
  </r>
  <r>
    <x v="21"/>
    <x v="2"/>
    <x v="0"/>
    <x v="0"/>
    <x v="0"/>
    <x v="4"/>
    <s v="Revenue"/>
    <n v="173139"/>
    <n v="169100"/>
  </r>
  <r>
    <x v="22"/>
    <x v="2"/>
    <x v="5"/>
    <x v="0"/>
    <x v="3"/>
    <x v="2"/>
    <s v="Revenue"/>
    <n v="235945"/>
    <n v="222400"/>
  </r>
  <r>
    <x v="23"/>
    <x v="2"/>
    <x v="2"/>
    <x v="0"/>
    <x v="2"/>
    <x v="0"/>
    <s v="Revenue"/>
    <n v="113712"/>
    <n v="106600"/>
  </r>
  <r>
    <x v="24"/>
    <x v="2"/>
    <x v="6"/>
    <x v="0"/>
    <x v="3"/>
    <x v="10"/>
    <s v="Expense"/>
    <n v="99060"/>
    <n v="98500"/>
  </r>
  <r>
    <x v="25"/>
    <x v="3"/>
    <x v="1"/>
    <x v="0"/>
    <x v="1"/>
    <x v="9"/>
    <s v="Expense"/>
    <n v="90102"/>
    <n v="80900"/>
  </r>
  <r>
    <x v="26"/>
    <x v="3"/>
    <x v="3"/>
    <x v="0"/>
    <x v="2"/>
    <x v="11"/>
    <s v="Revenue"/>
    <n v="203400"/>
    <n v="169600"/>
  </r>
  <r>
    <x v="27"/>
    <x v="3"/>
    <x v="6"/>
    <x v="0"/>
    <x v="3"/>
    <x v="5"/>
    <s v="Expense"/>
    <n v="81277"/>
    <n v="78200"/>
  </r>
  <r>
    <x v="28"/>
    <x v="4"/>
    <x v="7"/>
    <x v="0"/>
    <x v="2"/>
    <x v="1"/>
    <s v="Expense"/>
    <n v="95064"/>
    <n v="96700"/>
  </r>
  <r>
    <x v="29"/>
    <x v="4"/>
    <x v="0"/>
    <x v="0"/>
    <x v="0"/>
    <x v="10"/>
    <s v="Expense"/>
    <n v="107852"/>
    <n v="113300"/>
  </r>
  <r>
    <x v="30"/>
    <x v="4"/>
    <x v="5"/>
    <x v="0"/>
    <x v="3"/>
    <x v="9"/>
    <s v="Expense"/>
    <n v="73990"/>
    <n v="67100"/>
  </r>
  <r>
    <x v="31"/>
    <x v="4"/>
    <x v="3"/>
    <x v="0"/>
    <x v="2"/>
    <x v="5"/>
    <s v="Expense"/>
    <n v="25960"/>
    <n v="29000"/>
  </r>
  <r>
    <x v="32"/>
    <x v="4"/>
    <x v="3"/>
    <x v="0"/>
    <x v="2"/>
    <x v="5"/>
    <s v="Expense"/>
    <n v="79268"/>
    <n v="84600"/>
  </r>
  <r>
    <x v="33"/>
    <x v="4"/>
    <x v="4"/>
    <x v="0"/>
    <x v="1"/>
    <x v="10"/>
    <s v="Expense"/>
    <n v="39686"/>
    <n v="45500"/>
  </r>
  <r>
    <x v="34"/>
    <x v="4"/>
    <x v="4"/>
    <x v="0"/>
    <x v="1"/>
    <x v="7"/>
    <s v="Revenue"/>
    <n v="46720"/>
    <n v="44200"/>
  </r>
  <r>
    <x v="35"/>
    <x v="4"/>
    <x v="4"/>
    <x v="0"/>
    <x v="1"/>
    <x v="4"/>
    <s v="Revenue"/>
    <n v="33222"/>
    <n v="31800"/>
  </r>
  <r>
    <x v="36"/>
    <x v="5"/>
    <x v="7"/>
    <x v="0"/>
    <x v="2"/>
    <x v="1"/>
    <s v="Expense"/>
    <n v="12833"/>
    <n v="11900"/>
  </r>
  <r>
    <x v="37"/>
    <x v="5"/>
    <x v="7"/>
    <x v="0"/>
    <x v="2"/>
    <x v="0"/>
    <s v="Revenue"/>
    <n v="61904"/>
    <n v="61200"/>
  </r>
  <r>
    <x v="38"/>
    <x v="5"/>
    <x v="1"/>
    <x v="0"/>
    <x v="1"/>
    <x v="7"/>
    <s v="Revenue"/>
    <n v="119333"/>
    <n v="127400"/>
  </r>
  <r>
    <x v="39"/>
    <x v="5"/>
    <x v="5"/>
    <x v="0"/>
    <x v="3"/>
    <x v="2"/>
    <s v="Revenue"/>
    <n v="217934"/>
    <n v="233300"/>
  </r>
  <r>
    <x v="40"/>
    <x v="5"/>
    <x v="3"/>
    <x v="0"/>
    <x v="2"/>
    <x v="10"/>
    <s v="Expense"/>
    <n v="57825"/>
    <n v="48900"/>
  </r>
  <r>
    <x v="41"/>
    <x v="5"/>
    <x v="4"/>
    <x v="0"/>
    <x v="1"/>
    <x v="6"/>
    <s v="Expense"/>
    <n v="111060"/>
    <n v="120700"/>
  </r>
  <r>
    <x v="42"/>
    <x v="5"/>
    <x v="6"/>
    <x v="0"/>
    <x v="3"/>
    <x v="9"/>
    <s v="Expense"/>
    <n v="82214"/>
    <n v="83900"/>
  </r>
  <r>
    <x v="43"/>
    <x v="5"/>
    <x v="6"/>
    <x v="0"/>
    <x v="3"/>
    <x v="5"/>
    <s v="Expense"/>
    <n v="104963"/>
    <n v="111000"/>
  </r>
  <r>
    <x v="44"/>
    <x v="6"/>
    <x v="3"/>
    <x v="0"/>
    <x v="2"/>
    <x v="9"/>
    <s v="Expense"/>
    <n v="119899"/>
    <n v="128100"/>
  </r>
  <r>
    <x v="45"/>
    <x v="6"/>
    <x v="3"/>
    <x v="0"/>
    <x v="2"/>
    <x v="2"/>
    <s v="Revenue"/>
    <n v="35247"/>
    <n v="33700"/>
  </r>
  <r>
    <x v="46"/>
    <x v="6"/>
    <x v="6"/>
    <x v="0"/>
    <x v="3"/>
    <x v="2"/>
    <s v="Revenue"/>
    <n v="33554"/>
    <n v="37800"/>
  </r>
  <r>
    <x v="47"/>
    <x v="7"/>
    <x v="0"/>
    <x v="0"/>
    <x v="0"/>
    <x v="9"/>
    <s v="Expense"/>
    <n v="82819"/>
    <n v="79000"/>
  </r>
  <r>
    <x v="48"/>
    <x v="7"/>
    <x v="0"/>
    <x v="0"/>
    <x v="0"/>
    <x v="7"/>
    <s v="Revenue"/>
    <n v="223314"/>
    <n v="221300"/>
  </r>
  <r>
    <x v="49"/>
    <x v="7"/>
    <x v="1"/>
    <x v="0"/>
    <x v="1"/>
    <x v="1"/>
    <s v="Expense"/>
    <n v="95165"/>
    <n v="99500"/>
  </r>
  <r>
    <x v="50"/>
    <x v="7"/>
    <x v="1"/>
    <x v="0"/>
    <x v="1"/>
    <x v="2"/>
    <s v="Revenue"/>
    <n v="130016"/>
    <n v="149200"/>
  </r>
  <r>
    <x v="51"/>
    <x v="7"/>
    <x v="5"/>
    <x v="0"/>
    <x v="3"/>
    <x v="10"/>
    <s v="Expense"/>
    <n v="25761"/>
    <n v="23900"/>
  </r>
  <r>
    <x v="52"/>
    <x v="7"/>
    <x v="3"/>
    <x v="0"/>
    <x v="2"/>
    <x v="6"/>
    <s v="Expense"/>
    <n v="97402"/>
    <n v="112000"/>
  </r>
  <r>
    <x v="53"/>
    <x v="7"/>
    <x v="3"/>
    <x v="0"/>
    <x v="2"/>
    <x v="6"/>
    <s v="Expense"/>
    <n v="40221"/>
    <n v="40200"/>
  </r>
  <r>
    <x v="54"/>
    <x v="8"/>
    <x v="7"/>
    <x v="0"/>
    <x v="2"/>
    <x v="9"/>
    <s v="Expense"/>
    <n v="51099"/>
    <n v="50200"/>
  </r>
  <r>
    <x v="55"/>
    <x v="8"/>
    <x v="5"/>
    <x v="0"/>
    <x v="3"/>
    <x v="6"/>
    <s v="Expense"/>
    <n v="44188"/>
    <n v="41900"/>
  </r>
  <r>
    <x v="56"/>
    <x v="8"/>
    <x v="2"/>
    <x v="0"/>
    <x v="2"/>
    <x v="11"/>
    <s v="Revenue"/>
    <n v="191477"/>
    <n v="179000"/>
  </r>
  <r>
    <x v="57"/>
    <x v="9"/>
    <x v="7"/>
    <x v="0"/>
    <x v="2"/>
    <x v="3"/>
    <s v="Revenue"/>
    <n v="145357"/>
    <n v="148600"/>
  </r>
  <r>
    <x v="58"/>
    <x v="9"/>
    <x v="0"/>
    <x v="0"/>
    <x v="0"/>
    <x v="2"/>
    <s v="Revenue"/>
    <n v="175153"/>
    <n v="189300"/>
  </r>
  <r>
    <x v="59"/>
    <x v="9"/>
    <x v="1"/>
    <x v="0"/>
    <x v="1"/>
    <x v="1"/>
    <s v="Expense"/>
    <n v="119021"/>
    <n v="114600"/>
  </r>
  <r>
    <x v="60"/>
    <x v="9"/>
    <x v="1"/>
    <x v="0"/>
    <x v="1"/>
    <x v="3"/>
    <s v="Revenue"/>
    <n v="230298"/>
    <n v="239100"/>
  </r>
  <r>
    <x v="61"/>
    <x v="9"/>
    <x v="2"/>
    <x v="0"/>
    <x v="2"/>
    <x v="0"/>
    <s v="Revenue"/>
    <n v="102511"/>
    <n v="98400"/>
  </r>
  <r>
    <x v="62"/>
    <x v="9"/>
    <x v="3"/>
    <x v="0"/>
    <x v="2"/>
    <x v="8"/>
    <s v="Expense"/>
    <n v="44307"/>
    <n v="38100"/>
  </r>
  <r>
    <x v="63"/>
    <x v="9"/>
    <x v="3"/>
    <x v="0"/>
    <x v="2"/>
    <x v="9"/>
    <s v="Expense"/>
    <n v="63614"/>
    <n v="66400"/>
  </r>
  <r>
    <x v="64"/>
    <x v="9"/>
    <x v="3"/>
    <x v="0"/>
    <x v="2"/>
    <x v="9"/>
    <s v="Expense"/>
    <n v="84107"/>
    <n v="94800"/>
  </r>
  <r>
    <x v="65"/>
    <x v="9"/>
    <x v="3"/>
    <x v="0"/>
    <x v="2"/>
    <x v="7"/>
    <s v="Revenue"/>
    <n v="62193"/>
    <n v="74900"/>
  </r>
  <r>
    <x v="66"/>
    <x v="9"/>
    <x v="4"/>
    <x v="0"/>
    <x v="1"/>
    <x v="5"/>
    <s v="Expense"/>
    <n v="39922"/>
    <n v="38200"/>
  </r>
  <r>
    <x v="67"/>
    <x v="9"/>
    <x v="4"/>
    <x v="0"/>
    <x v="1"/>
    <x v="5"/>
    <s v="Expense"/>
    <n v="103806"/>
    <n v="115800"/>
  </r>
  <r>
    <x v="68"/>
    <x v="9"/>
    <x v="4"/>
    <x v="0"/>
    <x v="1"/>
    <x v="8"/>
    <s v="Expense"/>
    <n v="20670"/>
    <n v="20400"/>
  </r>
  <r>
    <x v="69"/>
    <x v="9"/>
    <x v="4"/>
    <x v="0"/>
    <x v="1"/>
    <x v="11"/>
    <s v="Revenue"/>
    <n v="194371"/>
    <n v="222700"/>
  </r>
  <r>
    <x v="70"/>
    <x v="10"/>
    <x v="7"/>
    <x v="0"/>
    <x v="2"/>
    <x v="5"/>
    <s v="Expense"/>
    <n v="71840"/>
    <n v="68600"/>
  </r>
  <r>
    <x v="71"/>
    <x v="10"/>
    <x v="7"/>
    <x v="0"/>
    <x v="2"/>
    <x v="4"/>
    <s v="Revenue"/>
    <n v="101824"/>
    <n v="98800"/>
  </r>
  <r>
    <x v="72"/>
    <x v="10"/>
    <x v="0"/>
    <x v="0"/>
    <x v="0"/>
    <x v="4"/>
    <s v="Revenue"/>
    <n v="85367"/>
    <n v="85200"/>
  </r>
  <r>
    <x v="73"/>
    <x v="10"/>
    <x v="1"/>
    <x v="0"/>
    <x v="1"/>
    <x v="6"/>
    <s v="Expense"/>
    <n v="87752"/>
    <n v="92000"/>
  </r>
  <r>
    <x v="74"/>
    <x v="10"/>
    <x v="6"/>
    <x v="0"/>
    <x v="3"/>
    <x v="2"/>
    <s v="Revenue"/>
    <n v="72532"/>
    <n v="72100"/>
  </r>
  <r>
    <x v="75"/>
    <x v="11"/>
    <x v="7"/>
    <x v="0"/>
    <x v="2"/>
    <x v="6"/>
    <s v="Expense"/>
    <n v="118879"/>
    <n v="109800"/>
  </r>
  <r>
    <x v="76"/>
    <x v="11"/>
    <x v="1"/>
    <x v="0"/>
    <x v="1"/>
    <x v="5"/>
    <s v="Expense"/>
    <n v="109624"/>
    <n v="86500"/>
  </r>
  <r>
    <x v="77"/>
    <x v="11"/>
    <x v="5"/>
    <x v="0"/>
    <x v="3"/>
    <x v="9"/>
    <s v="Expense"/>
    <n v="27660"/>
    <n v="29700"/>
  </r>
  <r>
    <x v="78"/>
    <x v="11"/>
    <x v="3"/>
    <x v="0"/>
    <x v="2"/>
    <x v="1"/>
    <s v="Expense"/>
    <n v="70637"/>
    <n v="73600"/>
  </r>
  <r>
    <x v="79"/>
    <x v="11"/>
    <x v="3"/>
    <x v="0"/>
    <x v="2"/>
    <x v="7"/>
    <s v="Revenue"/>
    <n v="211807"/>
    <n v="189400"/>
  </r>
  <r>
    <x v="80"/>
    <x v="11"/>
    <x v="4"/>
    <x v="0"/>
    <x v="1"/>
    <x v="8"/>
    <s v="Expense"/>
    <n v="108485"/>
    <n v="114400"/>
  </r>
  <r>
    <x v="81"/>
    <x v="11"/>
    <x v="4"/>
    <x v="0"/>
    <x v="1"/>
    <x v="9"/>
    <s v="Expense"/>
    <n v="108911"/>
    <n v="102100"/>
  </r>
  <r>
    <x v="82"/>
    <x v="12"/>
    <x v="7"/>
    <x v="0"/>
    <x v="2"/>
    <x v="11"/>
    <s v="Revenue"/>
    <n v="174697"/>
    <n v="169100"/>
  </r>
  <r>
    <x v="83"/>
    <x v="12"/>
    <x v="0"/>
    <x v="0"/>
    <x v="0"/>
    <x v="9"/>
    <s v="Expense"/>
    <n v="112415"/>
    <n v="117900"/>
  </r>
  <r>
    <x v="84"/>
    <x v="12"/>
    <x v="0"/>
    <x v="0"/>
    <x v="0"/>
    <x v="3"/>
    <s v="Revenue"/>
    <n v="101191"/>
    <n v="107800"/>
  </r>
  <r>
    <x v="85"/>
    <x v="12"/>
    <x v="1"/>
    <x v="0"/>
    <x v="1"/>
    <x v="9"/>
    <s v="Expense"/>
    <n v="76067"/>
    <n v="66800"/>
  </r>
  <r>
    <x v="86"/>
    <x v="12"/>
    <x v="1"/>
    <x v="0"/>
    <x v="1"/>
    <x v="3"/>
    <s v="Revenue"/>
    <n v="137847"/>
    <n v="128300"/>
  </r>
  <r>
    <x v="87"/>
    <x v="12"/>
    <x v="5"/>
    <x v="0"/>
    <x v="3"/>
    <x v="10"/>
    <s v="Expense"/>
    <n v="99680"/>
    <n v="95100"/>
  </r>
  <r>
    <x v="88"/>
    <x v="12"/>
    <x v="5"/>
    <x v="0"/>
    <x v="3"/>
    <x v="11"/>
    <s v="Revenue"/>
    <n v="244172"/>
    <n v="226200"/>
  </r>
  <r>
    <x v="89"/>
    <x v="12"/>
    <x v="2"/>
    <x v="0"/>
    <x v="2"/>
    <x v="6"/>
    <s v="Expense"/>
    <n v="97953"/>
    <n v="105500"/>
  </r>
  <r>
    <x v="90"/>
    <x v="12"/>
    <x v="3"/>
    <x v="0"/>
    <x v="2"/>
    <x v="8"/>
    <s v="Expense"/>
    <n v="111670"/>
    <n v="105100"/>
  </r>
  <r>
    <x v="91"/>
    <x v="12"/>
    <x v="3"/>
    <x v="0"/>
    <x v="2"/>
    <x v="9"/>
    <s v="Expense"/>
    <n v="59242"/>
    <n v="57200"/>
  </r>
  <r>
    <x v="92"/>
    <x v="12"/>
    <x v="6"/>
    <x v="0"/>
    <x v="3"/>
    <x v="8"/>
    <s v="Expense"/>
    <n v="78968"/>
    <n v="90000"/>
  </r>
  <r>
    <x v="93"/>
    <x v="12"/>
    <x v="6"/>
    <x v="0"/>
    <x v="3"/>
    <x v="11"/>
    <s v="Revenue"/>
    <n v="82905"/>
    <n v="79200"/>
  </r>
  <r>
    <x v="94"/>
    <x v="13"/>
    <x v="7"/>
    <x v="0"/>
    <x v="2"/>
    <x v="8"/>
    <s v="Expense"/>
    <n v="61102"/>
    <n v="59000"/>
  </r>
  <r>
    <x v="95"/>
    <x v="13"/>
    <x v="0"/>
    <x v="0"/>
    <x v="0"/>
    <x v="6"/>
    <s v="Expense"/>
    <n v="118550"/>
    <n v="110100"/>
  </r>
  <r>
    <x v="96"/>
    <x v="13"/>
    <x v="1"/>
    <x v="0"/>
    <x v="1"/>
    <x v="6"/>
    <s v="Expense"/>
    <n v="42449"/>
    <n v="46600"/>
  </r>
  <r>
    <x v="97"/>
    <x v="13"/>
    <x v="1"/>
    <x v="0"/>
    <x v="1"/>
    <x v="9"/>
    <s v="Expense"/>
    <n v="19308"/>
    <n v="17600"/>
  </r>
  <r>
    <x v="98"/>
    <x v="13"/>
    <x v="1"/>
    <x v="0"/>
    <x v="1"/>
    <x v="0"/>
    <s v="Revenue"/>
    <n v="181199"/>
    <n v="152200"/>
  </r>
  <r>
    <x v="99"/>
    <x v="13"/>
    <x v="2"/>
    <x v="0"/>
    <x v="2"/>
    <x v="1"/>
    <s v="Expense"/>
    <n v="86284"/>
    <n v="86200"/>
  </r>
  <r>
    <x v="100"/>
    <x v="13"/>
    <x v="3"/>
    <x v="0"/>
    <x v="2"/>
    <x v="6"/>
    <s v="Expense"/>
    <n v="71265"/>
    <n v="74400"/>
  </r>
  <r>
    <x v="101"/>
    <x v="14"/>
    <x v="0"/>
    <x v="0"/>
    <x v="0"/>
    <x v="7"/>
    <s v="Revenue"/>
    <n v="77075"/>
    <n v="75500"/>
  </r>
  <r>
    <x v="102"/>
    <x v="14"/>
    <x v="1"/>
    <x v="0"/>
    <x v="1"/>
    <x v="5"/>
    <s v="Expense"/>
    <n v="46017"/>
    <n v="42500"/>
  </r>
  <r>
    <x v="103"/>
    <x v="14"/>
    <x v="1"/>
    <x v="0"/>
    <x v="1"/>
    <x v="10"/>
    <s v="Expense"/>
    <n v="99220"/>
    <n v="105200"/>
  </r>
  <r>
    <x v="104"/>
    <x v="14"/>
    <x v="1"/>
    <x v="0"/>
    <x v="1"/>
    <x v="8"/>
    <s v="Expense"/>
    <n v="98682"/>
    <n v="106100"/>
  </r>
  <r>
    <x v="105"/>
    <x v="14"/>
    <x v="1"/>
    <x v="0"/>
    <x v="1"/>
    <x v="11"/>
    <s v="Revenue"/>
    <n v="138848"/>
    <n v="146700"/>
  </r>
  <r>
    <x v="106"/>
    <x v="14"/>
    <x v="2"/>
    <x v="0"/>
    <x v="2"/>
    <x v="11"/>
    <s v="Revenue"/>
    <n v="81403"/>
    <n v="80400"/>
  </r>
  <r>
    <x v="107"/>
    <x v="14"/>
    <x v="3"/>
    <x v="0"/>
    <x v="2"/>
    <x v="9"/>
    <s v="Expense"/>
    <n v="108485"/>
    <n v="127600"/>
  </r>
  <r>
    <x v="108"/>
    <x v="14"/>
    <x v="6"/>
    <x v="0"/>
    <x v="3"/>
    <x v="4"/>
    <s v="Revenue"/>
    <n v="97336"/>
    <n v="107800"/>
  </r>
  <r>
    <x v="109"/>
    <x v="15"/>
    <x v="4"/>
    <x v="0"/>
    <x v="1"/>
    <x v="8"/>
    <s v="Expense"/>
    <n v="101020"/>
    <n v="87400"/>
  </r>
  <r>
    <x v="110"/>
    <x v="15"/>
    <x v="4"/>
    <x v="0"/>
    <x v="1"/>
    <x v="4"/>
    <s v="Revenue"/>
    <n v="33242"/>
    <n v="32300"/>
  </r>
  <r>
    <x v="111"/>
    <x v="15"/>
    <x v="4"/>
    <x v="0"/>
    <x v="1"/>
    <x v="4"/>
    <s v="Revenue"/>
    <n v="152665"/>
    <n v="158400"/>
  </r>
  <r>
    <x v="112"/>
    <x v="16"/>
    <x v="7"/>
    <x v="0"/>
    <x v="2"/>
    <x v="5"/>
    <s v="Expense"/>
    <n v="26357"/>
    <n v="27500"/>
  </r>
  <r>
    <x v="113"/>
    <x v="16"/>
    <x v="7"/>
    <x v="0"/>
    <x v="2"/>
    <x v="4"/>
    <s v="Revenue"/>
    <n v="98621"/>
    <n v="90500"/>
  </r>
  <r>
    <x v="114"/>
    <x v="16"/>
    <x v="0"/>
    <x v="0"/>
    <x v="0"/>
    <x v="4"/>
    <s v="Revenue"/>
    <n v="127368"/>
    <n v="140300"/>
  </r>
  <r>
    <x v="115"/>
    <x v="16"/>
    <x v="5"/>
    <x v="0"/>
    <x v="3"/>
    <x v="9"/>
    <s v="Expense"/>
    <n v="20314"/>
    <n v="24600"/>
  </r>
  <r>
    <x v="116"/>
    <x v="16"/>
    <x v="3"/>
    <x v="0"/>
    <x v="2"/>
    <x v="9"/>
    <s v="Expense"/>
    <n v="39167"/>
    <n v="33300"/>
  </r>
  <r>
    <x v="117"/>
    <x v="17"/>
    <x v="7"/>
    <x v="0"/>
    <x v="2"/>
    <x v="5"/>
    <s v="Expense"/>
    <n v="24898"/>
    <n v="27200"/>
  </r>
  <r>
    <x v="118"/>
    <x v="17"/>
    <x v="7"/>
    <x v="0"/>
    <x v="2"/>
    <x v="2"/>
    <s v="Revenue"/>
    <n v="218268"/>
    <n v="189000"/>
  </r>
  <r>
    <x v="119"/>
    <x v="17"/>
    <x v="7"/>
    <x v="0"/>
    <x v="2"/>
    <x v="3"/>
    <s v="Revenue"/>
    <n v="27054"/>
    <n v="28600"/>
  </r>
  <r>
    <x v="120"/>
    <x v="17"/>
    <x v="7"/>
    <x v="0"/>
    <x v="2"/>
    <x v="3"/>
    <s v="Revenue"/>
    <n v="169462"/>
    <n v="182600"/>
  </r>
  <r>
    <x v="121"/>
    <x v="17"/>
    <x v="1"/>
    <x v="0"/>
    <x v="1"/>
    <x v="0"/>
    <s v="Revenue"/>
    <n v="239340"/>
    <n v="243300"/>
  </r>
  <r>
    <x v="122"/>
    <x v="17"/>
    <x v="6"/>
    <x v="0"/>
    <x v="3"/>
    <x v="5"/>
    <s v="Expense"/>
    <n v="50718"/>
    <n v="59800"/>
  </r>
  <r>
    <x v="123"/>
    <x v="17"/>
    <x v="6"/>
    <x v="0"/>
    <x v="3"/>
    <x v="0"/>
    <s v="Revenue"/>
    <n v="131156"/>
    <n v="133700"/>
  </r>
  <r>
    <x v="124"/>
    <x v="18"/>
    <x v="7"/>
    <x v="0"/>
    <x v="2"/>
    <x v="10"/>
    <s v="Expense"/>
    <n v="86553"/>
    <n v="87700"/>
  </r>
  <r>
    <x v="125"/>
    <x v="18"/>
    <x v="2"/>
    <x v="0"/>
    <x v="2"/>
    <x v="5"/>
    <s v="Expense"/>
    <n v="24891"/>
    <n v="24500"/>
  </r>
  <r>
    <x v="126"/>
    <x v="18"/>
    <x v="4"/>
    <x v="0"/>
    <x v="1"/>
    <x v="1"/>
    <s v="Expense"/>
    <n v="96560"/>
    <n v="106000"/>
  </r>
  <r>
    <x v="127"/>
    <x v="18"/>
    <x v="4"/>
    <x v="0"/>
    <x v="1"/>
    <x v="11"/>
    <s v="Revenue"/>
    <n v="97320"/>
    <n v="93600"/>
  </r>
  <r>
    <x v="128"/>
    <x v="18"/>
    <x v="6"/>
    <x v="0"/>
    <x v="3"/>
    <x v="11"/>
    <s v="Revenue"/>
    <n v="179613"/>
    <n v="151800"/>
  </r>
  <r>
    <x v="129"/>
    <x v="19"/>
    <x v="1"/>
    <x v="0"/>
    <x v="1"/>
    <x v="11"/>
    <s v="Revenue"/>
    <n v="181088"/>
    <n v="181100"/>
  </r>
  <r>
    <x v="130"/>
    <x v="19"/>
    <x v="2"/>
    <x v="0"/>
    <x v="2"/>
    <x v="4"/>
    <s v="Revenue"/>
    <n v="126990"/>
    <n v="127000"/>
  </r>
  <r>
    <x v="131"/>
    <x v="19"/>
    <x v="3"/>
    <x v="0"/>
    <x v="2"/>
    <x v="1"/>
    <s v="Expense"/>
    <n v="91441"/>
    <n v="82900"/>
  </r>
  <r>
    <x v="132"/>
    <x v="19"/>
    <x v="4"/>
    <x v="0"/>
    <x v="1"/>
    <x v="10"/>
    <s v="Expense"/>
    <n v="46296"/>
    <n v="49900"/>
  </r>
  <r>
    <x v="133"/>
    <x v="19"/>
    <x v="4"/>
    <x v="0"/>
    <x v="1"/>
    <x v="7"/>
    <s v="Revenue"/>
    <n v="94034"/>
    <n v="87400"/>
  </r>
  <r>
    <x v="134"/>
    <x v="19"/>
    <x v="6"/>
    <x v="0"/>
    <x v="3"/>
    <x v="8"/>
    <s v="Expense"/>
    <n v="43793"/>
    <n v="40800"/>
  </r>
  <r>
    <x v="135"/>
    <x v="20"/>
    <x v="7"/>
    <x v="0"/>
    <x v="2"/>
    <x v="9"/>
    <s v="Expense"/>
    <n v="111524"/>
    <n v="97600"/>
  </r>
  <r>
    <x v="136"/>
    <x v="20"/>
    <x v="7"/>
    <x v="0"/>
    <x v="2"/>
    <x v="9"/>
    <s v="Expense"/>
    <n v="57970"/>
    <n v="64200"/>
  </r>
  <r>
    <x v="137"/>
    <x v="20"/>
    <x v="0"/>
    <x v="0"/>
    <x v="0"/>
    <x v="8"/>
    <s v="Expense"/>
    <n v="40263"/>
    <n v="37600"/>
  </r>
  <r>
    <x v="138"/>
    <x v="20"/>
    <x v="1"/>
    <x v="0"/>
    <x v="1"/>
    <x v="1"/>
    <s v="Expense"/>
    <n v="92916"/>
    <n v="101400"/>
  </r>
  <r>
    <x v="139"/>
    <x v="20"/>
    <x v="1"/>
    <x v="0"/>
    <x v="1"/>
    <x v="8"/>
    <s v="Expense"/>
    <n v="35192"/>
    <n v="35900"/>
  </r>
  <r>
    <x v="140"/>
    <x v="20"/>
    <x v="1"/>
    <x v="0"/>
    <x v="1"/>
    <x v="0"/>
    <s v="Revenue"/>
    <n v="34942"/>
    <n v="31600"/>
  </r>
  <r>
    <x v="141"/>
    <x v="20"/>
    <x v="2"/>
    <x v="0"/>
    <x v="2"/>
    <x v="2"/>
    <s v="Revenue"/>
    <n v="25302"/>
    <n v="23900"/>
  </r>
  <r>
    <x v="142"/>
    <x v="20"/>
    <x v="3"/>
    <x v="0"/>
    <x v="2"/>
    <x v="4"/>
    <s v="Revenue"/>
    <n v="100130"/>
    <n v="95100"/>
  </r>
  <r>
    <x v="143"/>
    <x v="21"/>
    <x v="1"/>
    <x v="0"/>
    <x v="1"/>
    <x v="4"/>
    <s v="Revenue"/>
    <n v="114796"/>
    <n v="119400"/>
  </r>
  <r>
    <x v="144"/>
    <x v="21"/>
    <x v="2"/>
    <x v="0"/>
    <x v="2"/>
    <x v="6"/>
    <s v="Expense"/>
    <n v="65910"/>
    <n v="58600"/>
  </r>
  <r>
    <x v="145"/>
    <x v="21"/>
    <x v="4"/>
    <x v="0"/>
    <x v="1"/>
    <x v="9"/>
    <s v="Expense"/>
    <n v="115240"/>
    <n v="123200"/>
  </r>
  <r>
    <x v="146"/>
    <x v="21"/>
    <x v="4"/>
    <x v="0"/>
    <x v="1"/>
    <x v="8"/>
    <s v="Expense"/>
    <n v="103319"/>
    <n v="112200"/>
  </r>
  <r>
    <x v="147"/>
    <x v="21"/>
    <x v="6"/>
    <x v="0"/>
    <x v="3"/>
    <x v="1"/>
    <s v="Expense"/>
    <n v="101519"/>
    <n v="96900"/>
  </r>
  <r>
    <x v="148"/>
    <x v="22"/>
    <x v="7"/>
    <x v="0"/>
    <x v="2"/>
    <x v="1"/>
    <s v="Expense"/>
    <n v="32263"/>
    <n v="34300"/>
  </r>
  <r>
    <x v="149"/>
    <x v="22"/>
    <x v="0"/>
    <x v="0"/>
    <x v="0"/>
    <x v="8"/>
    <s v="Expense"/>
    <n v="63705"/>
    <n v="57700"/>
  </r>
  <r>
    <x v="150"/>
    <x v="22"/>
    <x v="0"/>
    <x v="0"/>
    <x v="0"/>
    <x v="1"/>
    <s v="Expense"/>
    <n v="63617"/>
    <n v="70100"/>
  </r>
  <r>
    <x v="151"/>
    <x v="22"/>
    <x v="0"/>
    <x v="0"/>
    <x v="0"/>
    <x v="11"/>
    <s v="Revenue"/>
    <n v="180644"/>
    <n v="185200"/>
  </r>
  <r>
    <x v="152"/>
    <x v="22"/>
    <x v="1"/>
    <x v="0"/>
    <x v="1"/>
    <x v="6"/>
    <s v="Expense"/>
    <n v="114055"/>
    <n v="115100"/>
  </r>
  <r>
    <x v="153"/>
    <x v="22"/>
    <x v="1"/>
    <x v="0"/>
    <x v="1"/>
    <x v="4"/>
    <s v="Revenue"/>
    <n v="139844"/>
    <n v="136100"/>
  </r>
  <r>
    <x v="154"/>
    <x v="22"/>
    <x v="3"/>
    <x v="0"/>
    <x v="2"/>
    <x v="6"/>
    <s v="Expense"/>
    <n v="113324"/>
    <n v="94700"/>
  </r>
  <r>
    <x v="155"/>
    <x v="22"/>
    <x v="3"/>
    <x v="0"/>
    <x v="2"/>
    <x v="5"/>
    <s v="Expense"/>
    <n v="74943"/>
    <n v="76200"/>
  </r>
  <r>
    <x v="156"/>
    <x v="22"/>
    <x v="6"/>
    <x v="0"/>
    <x v="3"/>
    <x v="1"/>
    <s v="Expense"/>
    <n v="50250"/>
    <n v="51400"/>
  </r>
  <r>
    <x v="157"/>
    <x v="22"/>
    <x v="6"/>
    <x v="0"/>
    <x v="3"/>
    <x v="10"/>
    <s v="Expense"/>
    <n v="48185"/>
    <n v="40500"/>
  </r>
  <r>
    <x v="158"/>
    <x v="23"/>
    <x v="0"/>
    <x v="0"/>
    <x v="0"/>
    <x v="5"/>
    <s v="Expense"/>
    <n v="51402"/>
    <n v="56000"/>
  </r>
  <r>
    <x v="159"/>
    <x v="23"/>
    <x v="0"/>
    <x v="0"/>
    <x v="0"/>
    <x v="3"/>
    <s v="Revenue"/>
    <n v="155708"/>
    <n v="140000"/>
  </r>
  <r>
    <x v="160"/>
    <x v="23"/>
    <x v="2"/>
    <x v="0"/>
    <x v="2"/>
    <x v="8"/>
    <s v="Expense"/>
    <n v="55726"/>
    <n v="59900"/>
  </r>
  <r>
    <x v="161"/>
    <x v="23"/>
    <x v="2"/>
    <x v="0"/>
    <x v="2"/>
    <x v="0"/>
    <s v="Revenue"/>
    <n v="101053"/>
    <n v="108700"/>
  </r>
  <r>
    <x v="162"/>
    <x v="23"/>
    <x v="4"/>
    <x v="0"/>
    <x v="1"/>
    <x v="9"/>
    <s v="Expense"/>
    <n v="42927"/>
    <n v="43600"/>
  </r>
  <r>
    <x v="163"/>
    <x v="23"/>
    <x v="4"/>
    <x v="0"/>
    <x v="1"/>
    <x v="5"/>
    <s v="Expense"/>
    <n v="18208"/>
    <n v="21400"/>
  </r>
  <r>
    <x v="164"/>
    <x v="23"/>
    <x v="4"/>
    <x v="0"/>
    <x v="1"/>
    <x v="2"/>
    <s v="Revenue"/>
    <n v="84024"/>
    <n v="84200"/>
  </r>
  <r>
    <x v="165"/>
    <x v="23"/>
    <x v="6"/>
    <x v="0"/>
    <x v="3"/>
    <x v="8"/>
    <s v="Expense"/>
    <n v="71103"/>
    <n v="57600"/>
  </r>
  <r>
    <x v="166"/>
    <x v="23"/>
    <x v="6"/>
    <x v="0"/>
    <x v="3"/>
    <x v="4"/>
    <s v="Revenue"/>
    <n v="233422"/>
    <n v="252600"/>
  </r>
  <r>
    <x v="167"/>
    <x v="24"/>
    <x v="0"/>
    <x v="0"/>
    <x v="0"/>
    <x v="1"/>
    <s v="Expense"/>
    <n v="86765"/>
    <n v="96900"/>
  </r>
  <r>
    <x v="168"/>
    <x v="24"/>
    <x v="0"/>
    <x v="0"/>
    <x v="0"/>
    <x v="1"/>
    <s v="Expense"/>
    <n v="68096"/>
    <n v="59400"/>
  </r>
  <r>
    <x v="169"/>
    <x v="24"/>
    <x v="0"/>
    <x v="0"/>
    <x v="0"/>
    <x v="6"/>
    <s v="Expense"/>
    <n v="71527"/>
    <n v="65800"/>
  </r>
  <r>
    <x v="170"/>
    <x v="24"/>
    <x v="2"/>
    <x v="0"/>
    <x v="2"/>
    <x v="2"/>
    <s v="Revenue"/>
    <n v="197872"/>
    <n v="192700"/>
  </r>
  <r>
    <x v="171"/>
    <x v="24"/>
    <x v="2"/>
    <x v="0"/>
    <x v="2"/>
    <x v="4"/>
    <s v="Revenue"/>
    <n v="246037"/>
    <n v="247700"/>
  </r>
  <r>
    <x v="172"/>
    <x v="24"/>
    <x v="3"/>
    <x v="0"/>
    <x v="2"/>
    <x v="3"/>
    <s v="Revenue"/>
    <n v="92272"/>
    <n v="106900"/>
  </r>
  <r>
    <x v="173"/>
    <x v="24"/>
    <x v="4"/>
    <x v="0"/>
    <x v="1"/>
    <x v="2"/>
    <s v="Revenue"/>
    <n v="132277"/>
    <n v="118100"/>
  </r>
  <r>
    <x v="174"/>
    <x v="25"/>
    <x v="7"/>
    <x v="0"/>
    <x v="2"/>
    <x v="5"/>
    <s v="Expense"/>
    <n v="98530"/>
    <n v="122500"/>
  </r>
  <r>
    <x v="175"/>
    <x v="25"/>
    <x v="7"/>
    <x v="0"/>
    <x v="2"/>
    <x v="10"/>
    <s v="Expense"/>
    <n v="66409"/>
    <n v="62200"/>
  </r>
  <r>
    <x v="176"/>
    <x v="25"/>
    <x v="0"/>
    <x v="0"/>
    <x v="0"/>
    <x v="9"/>
    <s v="Expense"/>
    <n v="51729"/>
    <n v="48000"/>
  </r>
  <r>
    <x v="177"/>
    <x v="25"/>
    <x v="0"/>
    <x v="0"/>
    <x v="0"/>
    <x v="3"/>
    <s v="Revenue"/>
    <n v="178184"/>
    <n v="172600"/>
  </r>
  <r>
    <x v="178"/>
    <x v="25"/>
    <x v="5"/>
    <x v="0"/>
    <x v="3"/>
    <x v="5"/>
    <s v="Expense"/>
    <n v="119924"/>
    <n v="126200"/>
  </r>
  <r>
    <x v="179"/>
    <x v="25"/>
    <x v="2"/>
    <x v="0"/>
    <x v="2"/>
    <x v="5"/>
    <s v="Expense"/>
    <n v="52346"/>
    <n v="58300"/>
  </r>
  <r>
    <x v="180"/>
    <x v="25"/>
    <x v="2"/>
    <x v="0"/>
    <x v="2"/>
    <x v="1"/>
    <s v="Expense"/>
    <n v="14372"/>
    <n v="12700"/>
  </r>
  <r>
    <x v="181"/>
    <x v="25"/>
    <x v="2"/>
    <x v="0"/>
    <x v="2"/>
    <x v="3"/>
    <s v="Revenue"/>
    <n v="221055"/>
    <n v="230100"/>
  </r>
  <r>
    <x v="182"/>
    <x v="25"/>
    <x v="6"/>
    <x v="0"/>
    <x v="3"/>
    <x v="0"/>
    <s v="Revenue"/>
    <n v="244073"/>
    <n v="237500"/>
  </r>
  <r>
    <x v="183"/>
    <x v="26"/>
    <x v="7"/>
    <x v="0"/>
    <x v="2"/>
    <x v="7"/>
    <s v="Revenue"/>
    <n v="60283"/>
    <n v="65700"/>
  </r>
  <r>
    <x v="184"/>
    <x v="26"/>
    <x v="0"/>
    <x v="0"/>
    <x v="0"/>
    <x v="2"/>
    <s v="Revenue"/>
    <n v="108406"/>
    <n v="105100"/>
  </r>
  <r>
    <x v="185"/>
    <x v="26"/>
    <x v="5"/>
    <x v="0"/>
    <x v="3"/>
    <x v="8"/>
    <s v="Expense"/>
    <n v="92395"/>
    <n v="101200"/>
  </r>
  <r>
    <x v="186"/>
    <x v="26"/>
    <x v="3"/>
    <x v="0"/>
    <x v="2"/>
    <x v="7"/>
    <s v="Revenue"/>
    <n v="243326"/>
    <n v="205200"/>
  </r>
  <r>
    <x v="187"/>
    <x v="26"/>
    <x v="4"/>
    <x v="0"/>
    <x v="1"/>
    <x v="3"/>
    <s v="Revenue"/>
    <n v="123357"/>
    <n v="118500"/>
  </r>
  <r>
    <x v="188"/>
    <x v="26"/>
    <x v="6"/>
    <x v="0"/>
    <x v="3"/>
    <x v="2"/>
    <s v="Revenue"/>
    <n v="167836"/>
    <n v="183800"/>
  </r>
  <r>
    <x v="189"/>
    <x v="26"/>
    <x v="6"/>
    <x v="0"/>
    <x v="3"/>
    <x v="2"/>
    <s v="Revenue"/>
    <n v="211190"/>
    <n v="256000"/>
  </r>
  <r>
    <x v="190"/>
    <x v="27"/>
    <x v="7"/>
    <x v="0"/>
    <x v="2"/>
    <x v="6"/>
    <s v="Expense"/>
    <n v="94412"/>
    <n v="104600"/>
  </r>
  <r>
    <x v="191"/>
    <x v="27"/>
    <x v="0"/>
    <x v="0"/>
    <x v="0"/>
    <x v="8"/>
    <s v="Expense"/>
    <n v="97400"/>
    <n v="88900"/>
  </r>
  <r>
    <x v="192"/>
    <x v="27"/>
    <x v="0"/>
    <x v="0"/>
    <x v="0"/>
    <x v="5"/>
    <s v="Expense"/>
    <n v="106173"/>
    <n v="114300"/>
  </r>
  <r>
    <x v="193"/>
    <x v="27"/>
    <x v="1"/>
    <x v="0"/>
    <x v="1"/>
    <x v="5"/>
    <s v="Expense"/>
    <n v="71111"/>
    <n v="73700"/>
  </r>
  <r>
    <x v="194"/>
    <x v="27"/>
    <x v="2"/>
    <x v="0"/>
    <x v="2"/>
    <x v="2"/>
    <s v="Revenue"/>
    <n v="239772"/>
    <n v="279500"/>
  </r>
  <r>
    <x v="195"/>
    <x v="27"/>
    <x v="4"/>
    <x v="0"/>
    <x v="1"/>
    <x v="5"/>
    <s v="Expense"/>
    <n v="61000"/>
    <n v="56900"/>
  </r>
  <r>
    <x v="196"/>
    <x v="27"/>
    <x v="4"/>
    <x v="0"/>
    <x v="1"/>
    <x v="9"/>
    <s v="Expense"/>
    <n v="33861"/>
    <n v="34600"/>
  </r>
  <r>
    <x v="197"/>
    <x v="27"/>
    <x v="4"/>
    <x v="0"/>
    <x v="1"/>
    <x v="0"/>
    <s v="Revenue"/>
    <n v="137628"/>
    <n v="137200"/>
  </r>
  <r>
    <x v="198"/>
    <x v="28"/>
    <x v="5"/>
    <x v="0"/>
    <x v="3"/>
    <x v="6"/>
    <s v="Expense"/>
    <n v="51605"/>
    <n v="54800"/>
  </r>
  <r>
    <x v="199"/>
    <x v="28"/>
    <x v="3"/>
    <x v="0"/>
    <x v="2"/>
    <x v="4"/>
    <s v="Revenue"/>
    <n v="61109"/>
    <n v="58200"/>
  </r>
  <r>
    <x v="200"/>
    <x v="28"/>
    <x v="3"/>
    <x v="0"/>
    <x v="2"/>
    <x v="2"/>
    <s v="Revenue"/>
    <n v="231716"/>
    <n v="245900"/>
  </r>
  <r>
    <x v="201"/>
    <x v="28"/>
    <x v="6"/>
    <x v="0"/>
    <x v="3"/>
    <x v="5"/>
    <s v="Expense"/>
    <n v="87924"/>
    <n v="96200"/>
  </r>
  <r>
    <x v="202"/>
    <x v="29"/>
    <x v="7"/>
    <x v="0"/>
    <x v="2"/>
    <x v="6"/>
    <s v="Expense"/>
    <n v="28974"/>
    <n v="26300"/>
  </r>
  <r>
    <x v="203"/>
    <x v="29"/>
    <x v="7"/>
    <x v="0"/>
    <x v="2"/>
    <x v="1"/>
    <s v="Expense"/>
    <n v="87893"/>
    <n v="78200"/>
  </r>
  <r>
    <x v="204"/>
    <x v="29"/>
    <x v="7"/>
    <x v="0"/>
    <x v="2"/>
    <x v="8"/>
    <s v="Expense"/>
    <n v="74051"/>
    <n v="82500"/>
  </r>
  <r>
    <x v="205"/>
    <x v="29"/>
    <x v="0"/>
    <x v="0"/>
    <x v="0"/>
    <x v="10"/>
    <s v="Expense"/>
    <n v="55673"/>
    <n v="62700"/>
  </r>
  <r>
    <x v="206"/>
    <x v="29"/>
    <x v="1"/>
    <x v="0"/>
    <x v="1"/>
    <x v="5"/>
    <s v="Expense"/>
    <n v="102729"/>
    <n v="101000"/>
  </r>
  <r>
    <x v="207"/>
    <x v="29"/>
    <x v="3"/>
    <x v="0"/>
    <x v="2"/>
    <x v="8"/>
    <s v="Expense"/>
    <n v="112290"/>
    <n v="102400"/>
  </r>
  <r>
    <x v="208"/>
    <x v="29"/>
    <x v="4"/>
    <x v="0"/>
    <x v="1"/>
    <x v="1"/>
    <s v="Expense"/>
    <n v="103663"/>
    <n v="100600"/>
  </r>
  <r>
    <x v="209"/>
    <x v="29"/>
    <x v="6"/>
    <x v="0"/>
    <x v="3"/>
    <x v="9"/>
    <s v="Expense"/>
    <n v="27017"/>
    <n v="25500"/>
  </r>
  <r>
    <x v="210"/>
    <x v="30"/>
    <x v="0"/>
    <x v="0"/>
    <x v="0"/>
    <x v="9"/>
    <s v="Expense"/>
    <n v="20364"/>
    <n v="19500"/>
  </r>
  <r>
    <x v="211"/>
    <x v="30"/>
    <x v="0"/>
    <x v="0"/>
    <x v="0"/>
    <x v="7"/>
    <s v="Revenue"/>
    <n v="199523"/>
    <n v="191200"/>
  </r>
  <r>
    <x v="212"/>
    <x v="30"/>
    <x v="2"/>
    <x v="0"/>
    <x v="2"/>
    <x v="8"/>
    <s v="Expense"/>
    <n v="66958"/>
    <n v="77000"/>
  </r>
  <r>
    <x v="213"/>
    <x v="30"/>
    <x v="3"/>
    <x v="0"/>
    <x v="2"/>
    <x v="2"/>
    <s v="Revenue"/>
    <n v="196104"/>
    <n v="209500"/>
  </r>
  <r>
    <x v="214"/>
    <x v="30"/>
    <x v="4"/>
    <x v="0"/>
    <x v="1"/>
    <x v="2"/>
    <s v="Revenue"/>
    <n v="71793"/>
    <n v="76300"/>
  </r>
  <r>
    <x v="215"/>
    <x v="31"/>
    <x v="7"/>
    <x v="0"/>
    <x v="2"/>
    <x v="10"/>
    <s v="Expense"/>
    <n v="46884"/>
    <n v="48500"/>
  </r>
  <r>
    <x v="216"/>
    <x v="31"/>
    <x v="7"/>
    <x v="0"/>
    <x v="2"/>
    <x v="9"/>
    <s v="Expense"/>
    <n v="89421"/>
    <n v="94500"/>
  </r>
  <r>
    <x v="217"/>
    <x v="31"/>
    <x v="0"/>
    <x v="0"/>
    <x v="0"/>
    <x v="6"/>
    <s v="Expense"/>
    <n v="97324"/>
    <n v="100600"/>
  </r>
  <r>
    <x v="218"/>
    <x v="31"/>
    <x v="1"/>
    <x v="0"/>
    <x v="1"/>
    <x v="10"/>
    <s v="Expense"/>
    <n v="68712"/>
    <n v="73500"/>
  </r>
  <r>
    <x v="219"/>
    <x v="31"/>
    <x v="1"/>
    <x v="0"/>
    <x v="1"/>
    <x v="1"/>
    <s v="Expense"/>
    <n v="36715"/>
    <n v="38200"/>
  </r>
  <r>
    <x v="220"/>
    <x v="31"/>
    <x v="5"/>
    <x v="0"/>
    <x v="3"/>
    <x v="3"/>
    <s v="Revenue"/>
    <n v="141640"/>
    <n v="134900"/>
  </r>
  <r>
    <x v="221"/>
    <x v="31"/>
    <x v="2"/>
    <x v="0"/>
    <x v="2"/>
    <x v="5"/>
    <s v="Expense"/>
    <n v="45029"/>
    <n v="44600"/>
  </r>
  <r>
    <x v="222"/>
    <x v="31"/>
    <x v="3"/>
    <x v="0"/>
    <x v="2"/>
    <x v="10"/>
    <s v="Expense"/>
    <n v="36133"/>
    <n v="36300"/>
  </r>
  <r>
    <x v="223"/>
    <x v="31"/>
    <x v="4"/>
    <x v="0"/>
    <x v="1"/>
    <x v="1"/>
    <s v="Expense"/>
    <n v="41846"/>
    <n v="41100"/>
  </r>
  <r>
    <x v="224"/>
    <x v="31"/>
    <x v="4"/>
    <x v="0"/>
    <x v="1"/>
    <x v="6"/>
    <s v="Expense"/>
    <n v="61303"/>
    <n v="44100"/>
  </r>
  <r>
    <x v="225"/>
    <x v="32"/>
    <x v="7"/>
    <x v="0"/>
    <x v="2"/>
    <x v="2"/>
    <s v="Revenue"/>
    <n v="172574"/>
    <n v="142500"/>
  </r>
  <r>
    <x v="226"/>
    <x v="32"/>
    <x v="0"/>
    <x v="0"/>
    <x v="0"/>
    <x v="1"/>
    <s v="Expense"/>
    <n v="49731"/>
    <n v="48100"/>
  </r>
  <r>
    <x v="227"/>
    <x v="32"/>
    <x v="0"/>
    <x v="0"/>
    <x v="0"/>
    <x v="11"/>
    <s v="Revenue"/>
    <n v="52705"/>
    <n v="50400"/>
  </r>
  <r>
    <x v="228"/>
    <x v="32"/>
    <x v="1"/>
    <x v="0"/>
    <x v="1"/>
    <x v="1"/>
    <s v="Expense"/>
    <n v="44322"/>
    <n v="50300"/>
  </r>
  <r>
    <x v="229"/>
    <x v="32"/>
    <x v="1"/>
    <x v="0"/>
    <x v="1"/>
    <x v="1"/>
    <s v="Expense"/>
    <n v="73273"/>
    <n v="90500"/>
  </r>
  <r>
    <x v="230"/>
    <x v="32"/>
    <x v="2"/>
    <x v="0"/>
    <x v="2"/>
    <x v="1"/>
    <s v="Expense"/>
    <n v="69928"/>
    <n v="64700"/>
  </r>
  <r>
    <x v="231"/>
    <x v="33"/>
    <x v="7"/>
    <x v="0"/>
    <x v="2"/>
    <x v="9"/>
    <s v="Expense"/>
    <n v="56965"/>
    <n v="57900"/>
  </r>
  <r>
    <x v="232"/>
    <x v="33"/>
    <x v="7"/>
    <x v="0"/>
    <x v="2"/>
    <x v="0"/>
    <s v="Revenue"/>
    <n v="139230"/>
    <n v="125800"/>
  </r>
  <r>
    <x v="233"/>
    <x v="33"/>
    <x v="1"/>
    <x v="0"/>
    <x v="1"/>
    <x v="5"/>
    <s v="Expense"/>
    <n v="13358"/>
    <n v="13300"/>
  </r>
  <r>
    <x v="234"/>
    <x v="33"/>
    <x v="5"/>
    <x v="0"/>
    <x v="3"/>
    <x v="5"/>
    <s v="Expense"/>
    <n v="88666"/>
    <n v="99300"/>
  </r>
  <r>
    <x v="235"/>
    <x v="33"/>
    <x v="5"/>
    <x v="0"/>
    <x v="3"/>
    <x v="1"/>
    <s v="Expense"/>
    <n v="74415"/>
    <n v="71300"/>
  </r>
  <r>
    <x v="236"/>
    <x v="33"/>
    <x v="5"/>
    <x v="0"/>
    <x v="3"/>
    <x v="11"/>
    <s v="Revenue"/>
    <n v="126058"/>
    <n v="145900"/>
  </r>
  <r>
    <x v="237"/>
    <x v="33"/>
    <x v="2"/>
    <x v="0"/>
    <x v="2"/>
    <x v="8"/>
    <s v="Expense"/>
    <n v="13234"/>
    <n v="13400"/>
  </r>
  <r>
    <x v="238"/>
    <x v="34"/>
    <x v="7"/>
    <x v="0"/>
    <x v="2"/>
    <x v="2"/>
    <s v="Revenue"/>
    <n v="31617"/>
    <n v="31200"/>
  </r>
  <r>
    <x v="239"/>
    <x v="34"/>
    <x v="7"/>
    <x v="0"/>
    <x v="2"/>
    <x v="0"/>
    <s v="Revenue"/>
    <n v="181181"/>
    <n v="167100"/>
  </r>
  <r>
    <x v="240"/>
    <x v="34"/>
    <x v="0"/>
    <x v="0"/>
    <x v="0"/>
    <x v="2"/>
    <s v="Revenue"/>
    <n v="138441"/>
    <n v="125000"/>
  </r>
  <r>
    <x v="241"/>
    <x v="34"/>
    <x v="1"/>
    <x v="0"/>
    <x v="1"/>
    <x v="9"/>
    <s v="Expense"/>
    <n v="15885"/>
    <n v="18900"/>
  </r>
  <r>
    <x v="242"/>
    <x v="34"/>
    <x v="5"/>
    <x v="0"/>
    <x v="3"/>
    <x v="3"/>
    <s v="Revenue"/>
    <n v="72883"/>
    <n v="63300"/>
  </r>
  <r>
    <x v="243"/>
    <x v="34"/>
    <x v="3"/>
    <x v="0"/>
    <x v="2"/>
    <x v="1"/>
    <s v="Expense"/>
    <n v="115782"/>
    <n v="127000"/>
  </r>
  <r>
    <x v="244"/>
    <x v="34"/>
    <x v="3"/>
    <x v="0"/>
    <x v="2"/>
    <x v="7"/>
    <s v="Revenue"/>
    <n v="53672"/>
    <n v="47800"/>
  </r>
  <r>
    <x v="245"/>
    <x v="35"/>
    <x v="7"/>
    <x v="0"/>
    <x v="2"/>
    <x v="10"/>
    <s v="Expense"/>
    <n v="93145"/>
    <n v="101100"/>
  </r>
  <r>
    <x v="246"/>
    <x v="35"/>
    <x v="7"/>
    <x v="0"/>
    <x v="2"/>
    <x v="5"/>
    <s v="Expense"/>
    <n v="86318"/>
    <n v="70300"/>
  </r>
  <r>
    <x v="247"/>
    <x v="35"/>
    <x v="7"/>
    <x v="0"/>
    <x v="2"/>
    <x v="3"/>
    <s v="Revenue"/>
    <n v="182117"/>
    <n v="189600"/>
  </r>
  <r>
    <x v="248"/>
    <x v="35"/>
    <x v="7"/>
    <x v="0"/>
    <x v="2"/>
    <x v="3"/>
    <s v="Revenue"/>
    <n v="239217"/>
    <n v="225600"/>
  </r>
  <r>
    <x v="249"/>
    <x v="35"/>
    <x v="7"/>
    <x v="0"/>
    <x v="2"/>
    <x v="7"/>
    <s v="Revenue"/>
    <n v="192338"/>
    <n v="183700"/>
  </r>
  <r>
    <x v="250"/>
    <x v="35"/>
    <x v="0"/>
    <x v="0"/>
    <x v="0"/>
    <x v="8"/>
    <s v="Expense"/>
    <n v="98238"/>
    <n v="103700"/>
  </r>
  <r>
    <x v="251"/>
    <x v="35"/>
    <x v="3"/>
    <x v="0"/>
    <x v="2"/>
    <x v="5"/>
    <s v="Expense"/>
    <n v="98431"/>
    <n v="83900"/>
  </r>
  <r>
    <x v="252"/>
    <x v="36"/>
    <x v="7"/>
    <x v="0"/>
    <x v="2"/>
    <x v="3"/>
    <s v="Revenue"/>
    <n v="167623"/>
    <n v="171000"/>
  </r>
  <r>
    <x v="253"/>
    <x v="36"/>
    <x v="7"/>
    <x v="0"/>
    <x v="2"/>
    <x v="0"/>
    <s v="Revenue"/>
    <n v="82310"/>
    <n v="75600"/>
  </r>
  <r>
    <x v="254"/>
    <x v="36"/>
    <x v="7"/>
    <x v="0"/>
    <x v="2"/>
    <x v="3"/>
    <s v="Revenue"/>
    <n v="161768"/>
    <n v="159000"/>
  </r>
  <r>
    <x v="255"/>
    <x v="36"/>
    <x v="7"/>
    <x v="0"/>
    <x v="2"/>
    <x v="7"/>
    <s v="Revenue"/>
    <n v="239019"/>
    <n v="244800"/>
  </r>
  <r>
    <x v="256"/>
    <x v="36"/>
    <x v="5"/>
    <x v="0"/>
    <x v="3"/>
    <x v="6"/>
    <s v="Expense"/>
    <n v="85550"/>
    <n v="86700"/>
  </r>
  <r>
    <x v="257"/>
    <x v="36"/>
    <x v="2"/>
    <x v="0"/>
    <x v="2"/>
    <x v="1"/>
    <s v="Expense"/>
    <n v="112110"/>
    <n v="123300"/>
  </r>
  <r>
    <x v="258"/>
    <x v="36"/>
    <x v="2"/>
    <x v="0"/>
    <x v="2"/>
    <x v="0"/>
    <s v="Revenue"/>
    <n v="180499"/>
    <n v="153700"/>
  </r>
  <r>
    <x v="259"/>
    <x v="37"/>
    <x v="7"/>
    <x v="0"/>
    <x v="2"/>
    <x v="5"/>
    <s v="Expense"/>
    <n v="111582"/>
    <n v="121800"/>
  </r>
  <r>
    <x v="260"/>
    <x v="37"/>
    <x v="7"/>
    <x v="0"/>
    <x v="2"/>
    <x v="7"/>
    <s v="Revenue"/>
    <n v="49664"/>
    <n v="60000"/>
  </r>
  <r>
    <x v="261"/>
    <x v="37"/>
    <x v="0"/>
    <x v="0"/>
    <x v="0"/>
    <x v="8"/>
    <s v="Expense"/>
    <n v="94820"/>
    <n v="84200"/>
  </r>
  <r>
    <x v="262"/>
    <x v="37"/>
    <x v="1"/>
    <x v="0"/>
    <x v="1"/>
    <x v="2"/>
    <s v="Revenue"/>
    <n v="174254"/>
    <n v="197100"/>
  </r>
  <r>
    <x v="263"/>
    <x v="37"/>
    <x v="5"/>
    <x v="0"/>
    <x v="3"/>
    <x v="1"/>
    <s v="Expense"/>
    <n v="43823"/>
    <n v="38400"/>
  </r>
  <r>
    <x v="264"/>
    <x v="37"/>
    <x v="5"/>
    <x v="0"/>
    <x v="3"/>
    <x v="11"/>
    <s v="Revenue"/>
    <n v="220826"/>
    <n v="191900"/>
  </r>
  <r>
    <x v="265"/>
    <x v="37"/>
    <x v="2"/>
    <x v="0"/>
    <x v="2"/>
    <x v="8"/>
    <s v="Expense"/>
    <n v="50318"/>
    <n v="50700"/>
  </r>
  <r>
    <x v="266"/>
    <x v="37"/>
    <x v="3"/>
    <x v="0"/>
    <x v="2"/>
    <x v="1"/>
    <s v="Expense"/>
    <n v="13799"/>
    <n v="14900"/>
  </r>
  <r>
    <x v="267"/>
    <x v="38"/>
    <x v="2"/>
    <x v="0"/>
    <x v="2"/>
    <x v="2"/>
    <s v="Revenue"/>
    <n v="137490"/>
    <n v="135100"/>
  </r>
  <r>
    <x v="268"/>
    <x v="38"/>
    <x v="3"/>
    <x v="0"/>
    <x v="2"/>
    <x v="1"/>
    <s v="Expense"/>
    <n v="46715"/>
    <n v="39500"/>
  </r>
  <r>
    <x v="269"/>
    <x v="38"/>
    <x v="6"/>
    <x v="0"/>
    <x v="3"/>
    <x v="10"/>
    <s v="Expense"/>
    <n v="27378"/>
    <n v="28500"/>
  </r>
  <r>
    <x v="270"/>
    <x v="38"/>
    <x v="6"/>
    <x v="0"/>
    <x v="3"/>
    <x v="5"/>
    <s v="Expense"/>
    <n v="66935"/>
    <n v="59300"/>
  </r>
  <r>
    <x v="271"/>
    <x v="39"/>
    <x v="7"/>
    <x v="0"/>
    <x v="2"/>
    <x v="4"/>
    <s v="Revenue"/>
    <n v="157572"/>
    <n v="139200"/>
  </r>
  <r>
    <x v="272"/>
    <x v="39"/>
    <x v="1"/>
    <x v="0"/>
    <x v="1"/>
    <x v="1"/>
    <s v="Expense"/>
    <n v="84200"/>
    <n v="80700"/>
  </r>
  <r>
    <x v="273"/>
    <x v="39"/>
    <x v="1"/>
    <x v="0"/>
    <x v="1"/>
    <x v="5"/>
    <s v="Expense"/>
    <n v="100654"/>
    <n v="99300"/>
  </r>
  <r>
    <x v="274"/>
    <x v="39"/>
    <x v="3"/>
    <x v="0"/>
    <x v="2"/>
    <x v="9"/>
    <s v="Expense"/>
    <n v="38297"/>
    <n v="40800"/>
  </r>
  <r>
    <x v="275"/>
    <x v="39"/>
    <x v="6"/>
    <x v="0"/>
    <x v="3"/>
    <x v="8"/>
    <s v="Expense"/>
    <n v="85535"/>
    <n v="93600"/>
  </r>
  <r>
    <x v="276"/>
    <x v="39"/>
    <x v="6"/>
    <x v="0"/>
    <x v="3"/>
    <x v="5"/>
    <s v="Expense"/>
    <n v="80839"/>
    <n v="78800"/>
  </r>
  <r>
    <x v="277"/>
    <x v="39"/>
    <x v="6"/>
    <x v="0"/>
    <x v="3"/>
    <x v="3"/>
    <s v="Revenue"/>
    <n v="183880"/>
    <n v="152900"/>
  </r>
  <r>
    <x v="278"/>
    <x v="40"/>
    <x v="0"/>
    <x v="0"/>
    <x v="0"/>
    <x v="11"/>
    <s v="Revenue"/>
    <n v="71984"/>
    <n v="61800"/>
  </r>
  <r>
    <x v="279"/>
    <x v="40"/>
    <x v="0"/>
    <x v="0"/>
    <x v="0"/>
    <x v="0"/>
    <s v="Revenue"/>
    <n v="172050"/>
    <n v="186200"/>
  </r>
  <r>
    <x v="280"/>
    <x v="40"/>
    <x v="1"/>
    <x v="0"/>
    <x v="1"/>
    <x v="8"/>
    <s v="Expense"/>
    <n v="91007"/>
    <n v="84900"/>
  </r>
  <r>
    <x v="281"/>
    <x v="40"/>
    <x v="1"/>
    <x v="0"/>
    <x v="1"/>
    <x v="2"/>
    <s v="Revenue"/>
    <n v="242719"/>
    <n v="244000"/>
  </r>
  <r>
    <x v="282"/>
    <x v="40"/>
    <x v="3"/>
    <x v="0"/>
    <x v="2"/>
    <x v="11"/>
    <s v="Revenue"/>
    <n v="208452"/>
    <n v="159300"/>
  </r>
  <r>
    <x v="283"/>
    <x v="40"/>
    <x v="3"/>
    <x v="0"/>
    <x v="2"/>
    <x v="3"/>
    <s v="Revenue"/>
    <n v="195270"/>
    <n v="171100"/>
  </r>
  <r>
    <x v="284"/>
    <x v="41"/>
    <x v="7"/>
    <x v="0"/>
    <x v="2"/>
    <x v="6"/>
    <s v="Expense"/>
    <n v="64750"/>
    <n v="65700"/>
  </r>
  <r>
    <x v="285"/>
    <x v="41"/>
    <x v="0"/>
    <x v="0"/>
    <x v="0"/>
    <x v="4"/>
    <s v="Revenue"/>
    <n v="163435"/>
    <n v="160400"/>
  </r>
  <r>
    <x v="286"/>
    <x v="41"/>
    <x v="0"/>
    <x v="0"/>
    <x v="0"/>
    <x v="2"/>
    <s v="Revenue"/>
    <n v="74116"/>
    <n v="83100"/>
  </r>
  <r>
    <x v="287"/>
    <x v="41"/>
    <x v="1"/>
    <x v="0"/>
    <x v="1"/>
    <x v="3"/>
    <s v="Revenue"/>
    <n v="237371"/>
    <n v="282000"/>
  </r>
  <r>
    <x v="288"/>
    <x v="41"/>
    <x v="1"/>
    <x v="0"/>
    <x v="1"/>
    <x v="11"/>
    <s v="Revenue"/>
    <n v="78242"/>
    <n v="71700"/>
  </r>
  <r>
    <x v="289"/>
    <x v="41"/>
    <x v="2"/>
    <x v="0"/>
    <x v="2"/>
    <x v="1"/>
    <s v="Expense"/>
    <n v="92308"/>
    <n v="102700"/>
  </r>
  <r>
    <x v="290"/>
    <x v="41"/>
    <x v="2"/>
    <x v="0"/>
    <x v="2"/>
    <x v="11"/>
    <s v="Revenue"/>
    <n v="47707"/>
    <n v="44900"/>
  </r>
  <r>
    <x v="291"/>
    <x v="42"/>
    <x v="0"/>
    <x v="0"/>
    <x v="0"/>
    <x v="2"/>
    <s v="Revenue"/>
    <n v="52924"/>
    <n v="51000"/>
  </r>
  <r>
    <x v="292"/>
    <x v="42"/>
    <x v="5"/>
    <x v="0"/>
    <x v="3"/>
    <x v="0"/>
    <s v="Revenue"/>
    <n v="196748"/>
    <n v="204200"/>
  </r>
  <r>
    <x v="293"/>
    <x v="42"/>
    <x v="2"/>
    <x v="0"/>
    <x v="2"/>
    <x v="9"/>
    <s v="Expense"/>
    <n v="107326"/>
    <n v="106600"/>
  </r>
  <r>
    <x v="294"/>
    <x v="42"/>
    <x v="2"/>
    <x v="0"/>
    <x v="2"/>
    <x v="7"/>
    <s v="Revenue"/>
    <n v="210849"/>
    <n v="226600"/>
  </r>
  <r>
    <x v="295"/>
    <x v="43"/>
    <x v="1"/>
    <x v="0"/>
    <x v="1"/>
    <x v="11"/>
    <s v="Revenue"/>
    <n v="33208"/>
    <n v="33200"/>
  </r>
  <r>
    <x v="296"/>
    <x v="43"/>
    <x v="5"/>
    <x v="0"/>
    <x v="3"/>
    <x v="6"/>
    <s v="Expense"/>
    <n v="70530"/>
    <n v="60100"/>
  </r>
  <r>
    <x v="297"/>
    <x v="43"/>
    <x v="4"/>
    <x v="0"/>
    <x v="1"/>
    <x v="1"/>
    <s v="Expense"/>
    <n v="111425"/>
    <n v="108800"/>
  </r>
  <r>
    <x v="298"/>
    <x v="43"/>
    <x v="4"/>
    <x v="0"/>
    <x v="1"/>
    <x v="2"/>
    <s v="Revenue"/>
    <n v="38356"/>
    <n v="35900"/>
  </r>
  <r>
    <x v="299"/>
    <x v="43"/>
    <x v="4"/>
    <x v="0"/>
    <x v="1"/>
    <x v="0"/>
    <s v="Revenue"/>
    <n v="153056"/>
    <n v="125800"/>
  </r>
  <r>
    <x v="300"/>
    <x v="43"/>
    <x v="6"/>
    <x v="0"/>
    <x v="3"/>
    <x v="2"/>
    <s v="Revenue"/>
    <n v="75134"/>
    <n v="78000"/>
  </r>
  <r>
    <x v="301"/>
    <x v="44"/>
    <x v="0"/>
    <x v="0"/>
    <x v="0"/>
    <x v="5"/>
    <s v="Expense"/>
    <n v="13958"/>
    <n v="12400"/>
  </r>
  <r>
    <x v="302"/>
    <x v="44"/>
    <x v="1"/>
    <x v="0"/>
    <x v="1"/>
    <x v="9"/>
    <s v="Expense"/>
    <n v="41116"/>
    <n v="44400"/>
  </r>
  <r>
    <x v="303"/>
    <x v="44"/>
    <x v="4"/>
    <x v="0"/>
    <x v="1"/>
    <x v="5"/>
    <s v="Expense"/>
    <n v="68016"/>
    <n v="65800"/>
  </r>
  <r>
    <x v="304"/>
    <x v="44"/>
    <x v="4"/>
    <x v="0"/>
    <x v="1"/>
    <x v="7"/>
    <s v="Revenue"/>
    <n v="237011"/>
    <n v="230400"/>
  </r>
  <r>
    <x v="305"/>
    <x v="45"/>
    <x v="7"/>
    <x v="0"/>
    <x v="2"/>
    <x v="8"/>
    <s v="Expense"/>
    <n v="50667"/>
    <n v="48500"/>
  </r>
  <r>
    <x v="306"/>
    <x v="45"/>
    <x v="1"/>
    <x v="0"/>
    <x v="1"/>
    <x v="10"/>
    <s v="Expense"/>
    <n v="25677"/>
    <n v="24200"/>
  </r>
  <r>
    <x v="307"/>
    <x v="45"/>
    <x v="1"/>
    <x v="0"/>
    <x v="1"/>
    <x v="9"/>
    <s v="Expense"/>
    <n v="107651"/>
    <n v="104600"/>
  </r>
  <r>
    <x v="308"/>
    <x v="45"/>
    <x v="1"/>
    <x v="0"/>
    <x v="1"/>
    <x v="7"/>
    <s v="Revenue"/>
    <n v="207517"/>
    <n v="207100"/>
  </r>
  <r>
    <x v="309"/>
    <x v="45"/>
    <x v="1"/>
    <x v="0"/>
    <x v="1"/>
    <x v="2"/>
    <s v="Revenue"/>
    <n v="129423"/>
    <n v="142300"/>
  </r>
  <r>
    <x v="310"/>
    <x v="45"/>
    <x v="1"/>
    <x v="0"/>
    <x v="1"/>
    <x v="3"/>
    <s v="Revenue"/>
    <n v="110512"/>
    <n v="105200"/>
  </r>
  <r>
    <x v="311"/>
    <x v="45"/>
    <x v="2"/>
    <x v="0"/>
    <x v="2"/>
    <x v="11"/>
    <s v="Revenue"/>
    <n v="233848"/>
    <n v="241200"/>
  </r>
  <r>
    <x v="312"/>
    <x v="45"/>
    <x v="2"/>
    <x v="0"/>
    <x v="2"/>
    <x v="11"/>
    <s v="Revenue"/>
    <n v="200290"/>
    <n v="179200"/>
  </r>
  <r>
    <x v="313"/>
    <x v="45"/>
    <x v="4"/>
    <x v="0"/>
    <x v="1"/>
    <x v="3"/>
    <s v="Revenue"/>
    <n v="190903"/>
    <n v="175500"/>
  </r>
  <r>
    <x v="314"/>
    <x v="46"/>
    <x v="7"/>
    <x v="0"/>
    <x v="2"/>
    <x v="7"/>
    <s v="Revenue"/>
    <n v="179198"/>
    <n v="177200"/>
  </r>
  <r>
    <x v="315"/>
    <x v="46"/>
    <x v="1"/>
    <x v="0"/>
    <x v="1"/>
    <x v="5"/>
    <s v="Expense"/>
    <n v="83183"/>
    <n v="79300"/>
  </r>
  <r>
    <x v="316"/>
    <x v="46"/>
    <x v="5"/>
    <x v="0"/>
    <x v="3"/>
    <x v="1"/>
    <s v="Expense"/>
    <n v="86392"/>
    <n v="77200"/>
  </r>
  <r>
    <x v="317"/>
    <x v="46"/>
    <x v="6"/>
    <x v="0"/>
    <x v="3"/>
    <x v="7"/>
    <s v="Revenue"/>
    <n v="143114"/>
    <n v="128100"/>
  </r>
  <r>
    <x v="318"/>
    <x v="47"/>
    <x v="7"/>
    <x v="0"/>
    <x v="2"/>
    <x v="2"/>
    <s v="Revenue"/>
    <n v="36383"/>
    <n v="32000"/>
  </r>
  <r>
    <x v="319"/>
    <x v="47"/>
    <x v="1"/>
    <x v="0"/>
    <x v="1"/>
    <x v="0"/>
    <s v="Revenue"/>
    <n v="41160"/>
    <n v="36900"/>
  </r>
  <r>
    <x v="320"/>
    <x v="47"/>
    <x v="1"/>
    <x v="0"/>
    <x v="1"/>
    <x v="0"/>
    <s v="Revenue"/>
    <n v="124037"/>
    <n v="110400"/>
  </r>
  <r>
    <x v="321"/>
    <x v="47"/>
    <x v="3"/>
    <x v="0"/>
    <x v="2"/>
    <x v="7"/>
    <s v="Revenue"/>
    <n v="60674"/>
    <n v="58100"/>
  </r>
  <r>
    <x v="322"/>
    <x v="47"/>
    <x v="4"/>
    <x v="0"/>
    <x v="1"/>
    <x v="9"/>
    <s v="Expense"/>
    <n v="87440"/>
    <n v="77600"/>
  </r>
  <r>
    <x v="323"/>
    <x v="47"/>
    <x v="4"/>
    <x v="0"/>
    <x v="1"/>
    <x v="7"/>
    <s v="Revenue"/>
    <n v="161151"/>
    <n v="130300"/>
  </r>
  <r>
    <x v="324"/>
    <x v="47"/>
    <x v="6"/>
    <x v="0"/>
    <x v="3"/>
    <x v="6"/>
    <s v="Expense"/>
    <n v="88017"/>
    <n v="98200"/>
  </r>
  <r>
    <x v="325"/>
    <x v="48"/>
    <x v="7"/>
    <x v="0"/>
    <x v="2"/>
    <x v="6"/>
    <s v="Expense"/>
    <n v="65368"/>
    <n v="79200"/>
  </r>
  <r>
    <x v="326"/>
    <x v="48"/>
    <x v="1"/>
    <x v="0"/>
    <x v="1"/>
    <x v="4"/>
    <s v="Revenue"/>
    <n v="49800"/>
    <n v="46600"/>
  </r>
  <r>
    <x v="327"/>
    <x v="48"/>
    <x v="5"/>
    <x v="0"/>
    <x v="3"/>
    <x v="5"/>
    <s v="Expense"/>
    <n v="66018"/>
    <n v="65300"/>
  </r>
  <r>
    <x v="328"/>
    <x v="48"/>
    <x v="4"/>
    <x v="0"/>
    <x v="1"/>
    <x v="10"/>
    <s v="Expense"/>
    <n v="78197"/>
    <n v="66300"/>
  </r>
  <r>
    <x v="329"/>
    <x v="48"/>
    <x v="4"/>
    <x v="0"/>
    <x v="1"/>
    <x v="8"/>
    <s v="Expense"/>
    <n v="15021"/>
    <n v="15800"/>
  </r>
  <r>
    <x v="330"/>
    <x v="48"/>
    <x v="4"/>
    <x v="0"/>
    <x v="1"/>
    <x v="9"/>
    <s v="Expense"/>
    <n v="91329"/>
    <n v="84700"/>
  </r>
  <r>
    <x v="331"/>
    <x v="48"/>
    <x v="6"/>
    <x v="0"/>
    <x v="3"/>
    <x v="5"/>
    <s v="Expense"/>
    <n v="23667"/>
    <n v="24100"/>
  </r>
  <r>
    <x v="332"/>
    <x v="49"/>
    <x v="7"/>
    <x v="0"/>
    <x v="2"/>
    <x v="11"/>
    <s v="Revenue"/>
    <n v="221744"/>
    <n v="188200"/>
  </r>
  <r>
    <x v="333"/>
    <x v="49"/>
    <x v="0"/>
    <x v="0"/>
    <x v="0"/>
    <x v="1"/>
    <s v="Expense"/>
    <n v="119332"/>
    <n v="120500"/>
  </r>
  <r>
    <x v="334"/>
    <x v="49"/>
    <x v="1"/>
    <x v="0"/>
    <x v="1"/>
    <x v="6"/>
    <s v="Expense"/>
    <n v="88322"/>
    <n v="89600"/>
  </r>
  <r>
    <x v="335"/>
    <x v="49"/>
    <x v="2"/>
    <x v="0"/>
    <x v="2"/>
    <x v="3"/>
    <s v="Revenue"/>
    <n v="112543"/>
    <n v="135300"/>
  </r>
  <r>
    <x v="336"/>
    <x v="49"/>
    <x v="2"/>
    <x v="0"/>
    <x v="2"/>
    <x v="0"/>
    <s v="Revenue"/>
    <n v="100223"/>
    <n v="92400"/>
  </r>
  <r>
    <x v="337"/>
    <x v="49"/>
    <x v="4"/>
    <x v="0"/>
    <x v="1"/>
    <x v="10"/>
    <s v="Expense"/>
    <n v="103311"/>
    <n v="101200"/>
  </r>
  <r>
    <x v="338"/>
    <x v="49"/>
    <x v="6"/>
    <x v="0"/>
    <x v="3"/>
    <x v="7"/>
    <s v="Revenue"/>
    <n v="84838"/>
    <n v="85600"/>
  </r>
  <r>
    <x v="339"/>
    <x v="50"/>
    <x v="0"/>
    <x v="0"/>
    <x v="0"/>
    <x v="9"/>
    <s v="Expense"/>
    <n v="37463"/>
    <n v="33000"/>
  </r>
  <r>
    <x v="340"/>
    <x v="50"/>
    <x v="0"/>
    <x v="0"/>
    <x v="0"/>
    <x v="9"/>
    <s v="Expense"/>
    <n v="92253"/>
    <n v="96700"/>
  </r>
  <r>
    <x v="341"/>
    <x v="50"/>
    <x v="1"/>
    <x v="0"/>
    <x v="1"/>
    <x v="6"/>
    <s v="Expense"/>
    <n v="100183"/>
    <n v="100300"/>
  </r>
  <r>
    <x v="342"/>
    <x v="50"/>
    <x v="1"/>
    <x v="0"/>
    <x v="1"/>
    <x v="2"/>
    <s v="Revenue"/>
    <n v="66660"/>
    <n v="70600"/>
  </r>
  <r>
    <x v="343"/>
    <x v="50"/>
    <x v="1"/>
    <x v="0"/>
    <x v="1"/>
    <x v="4"/>
    <s v="Revenue"/>
    <n v="85292"/>
    <n v="90600"/>
  </r>
  <r>
    <x v="344"/>
    <x v="50"/>
    <x v="5"/>
    <x v="0"/>
    <x v="3"/>
    <x v="5"/>
    <s v="Expense"/>
    <n v="84260"/>
    <n v="75300"/>
  </r>
  <r>
    <x v="345"/>
    <x v="50"/>
    <x v="5"/>
    <x v="0"/>
    <x v="3"/>
    <x v="4"/>
    <s v="Revenue"/>
    <n v="132488"/>
    <n v="123600"/>
  </r>
  <r>
    <x v="346"/>
    <x v="50"/>
    <x v="4"/>
    <x v="0"/>
    <x v="1"/>
    <x v="7"/>
    <s v="Revenue"/>
    <n v="53532"/>
    <n v="51000"/>
  </r>
  <r>
    <x v="347"/>
    <x v="51"/>
    <x v="7"/>
    <x v="0"/>
    <x v="2"/>
    <x v="6"/>
    <s v="Expense"/>
    <n v="85392"/>
    <n v="89500"/>
  </r>
  <r>
    <x v="348"/>
    <x v="51"/>
    <x v="0"/>
    <x v="0"/>
    <x v="0"/>
    <x v="10"/>
    <s v="Expense"/>
    <n v="95371"/>
    <n v="87600"/>
  </r>
  <r>
    <x v="349"/>
    <x v="51"/>
    <x v="0"/>
    <x v="0"/>
    <x v="0"/>
    <x v="0"/>
    <s v="Revenue"/>
    <n v="85101"/>
    <n v="86600"/>
  </r>
  <r>
    <x v="350"/>
    <x v="51"/>
    <x v="1"/>
    <x v="0"/>
    <x v="1"/>
    <x v="4"/>
    <s v="Revenue"/>
    <n v="103593"/>
    <n v="104800"/>
  </r>
  <r>
    <x v="351"/>
    <x v="51"/>
    <x v="5"/>
    <x v="0"/>
    <x v="3"/>
    <x v="6"/>
    <s v="Expense"/>
    <n v="113919"/>
    <n v="109200"/>
  </r>
  <r>
    <x v="352"/>
    <x v="51"/>
    <x v="2"/>
    <x v="0"/>
    <x v="2"/>
    <x v="7"/>
    <s v="Revenue"/>
    <n v="134599"/>
    <n v="133600"/>
  </r>
  <r>
    <x v="353"/>
    <x v="51"/>
    <x v="3"/>
    <x v="0"/>
    <x v="2"/>
    <x v="7"/>
    <s v="Revenue"/>
    <n v="200033"/>
    <n v="193100"/>
  </r>
  <r>
    <x v="354"/>
    <x v="52"/>
    <x v="7"/>
    <x v="0"/>
    <x v="2"/>
    <x v="5"/>
    <s v="Expense"/>
    <n v="118449"/>
    <n v="113300"/>
  </r>
  <r>
    <x v="355"/>
    <x v="52"/>
    <x v="7"/>
    <x v="0"/>
    <x v="2"/>
    <x v="10"/>
    <s v="Expense"/>
    <n v="17318"/>
    <n v="15900"/>
  </r>
  <r>
    <x v="356"/>
    <x v="52"/>
    <x v="7"/>
    <x v="0"/>
    <x v="2"/>
    <x v="2"/>
    <s v="Revenue"/>
    <n v="217202"/>
    <n v="213900"/>
  </r>
  <r>
    <x v="357"/>
    <x v="52"/>
    <x v="0"/>
    <x v="0"/>
    <x v="0"/>
    <x v="3"/>
    <s v="Revenue"/>
    <n v="156762"/>
    <n v="168500"/>
  </r>
  <r>
    <x v="358"/>
    <x v="52"/>
    <x v="5"/>
    <x v="0"/>
    <x v="3"/>
    <x v="7"/>
    <s v="Revenue"/>
    <n v="211374"/>
    <n v="201500"/>
  </r>
  <r>
    <x v="359"/>
    <x v="52"/>
    <x v="2"/>
    <x v="0"/>
    <x v="2"/>
    <x v="10"/>
    <s v="Expense"/>
    <n v="37111"/>
    <n v="33100"/>
  </r>
  <r>
    <x v="360"/>
    <x v="52"/>
    <x v="2"/>
    <x v="0"/>
    <x v="2"/>
    <x v="6"/>
    <s v="Expense"/>
    <n v="79388"/>
    <n v="93600"/>
  </r>
  <r>
    <x v="361"/>
    <x v="52"/>
    <x v="3"/>
    <x v="0"/>
    <x v="2"/>
    <x v="8"/>
    <s v="Expense"/>
    <n v="36015"/>
    <n v="39500"/>
  </r>
  <r>
    <x v="362"/>
    <x v="52"/>
    <x v="4"/>
    <x v="0"/>
    <x v="1"/>
    <x v="10"/>
    <s v="Expense"/>
    <n v="65655"/>
    <n v="76800"/>
  </r>
  <r>
    <x v="363"/>
    <x v="52"/>
    <x v="6"/>
    <x v="0"/>
    <x v="3"/>
    <x v="0"/>
    <s v="Revenue"/>
    <n v="100663"/>
    <n v="101200"/>
  </r>
  <r>
    <x v="364"/>
    <x v="53"/>
    <x v="1"/>
    <x v="0"/>
    <x v="1"/>
    <x v="1"/>
    <s v="Expense"/>
    <n v="84149"/>
    <n v="80300"/>
  </r>
  <r>
    <x v="365"/>
    <x v="53"/>
    <x v="1"/>
    <x v="0"/>
    <x v="1"/>
    <x v="1"/>
    <s v="Expense"/>
    <n v="73708"/>
    <n v="58300"/>
  </r>
  <r>
    <x v="366"/>
    <x v="53"/>
    <x v="1"/>
    <x v="0"/>
    <x v="1"/>
    <x v="2"/>
    <s v="Revenue"/>
    <n v="78348"/>
    <n v="63300"/>
  </r>
  <r>
    <x v="367"/>
    <x v="53"/>
    <x v="1"/>
    <x v="0"/>
    <x v="1"/>
    <x v="2"/>
    <s v="Revenue"/>
    <n v="169674"/>
    <n v="181300"/>
  </r>
  <r>
    <x v="368"/>
    <x v="53"/>
    <x v="2"/>
    <x v="0"/>
    <x v="2"/>
    <x v="2"/>
    <s v="Revenue"/>
    <n v="220838"/>
    <n v="221500"/>
  </r>
  <r>
    <x v="369"/>
    <x v="53"/>
    <x v="2"/>
    <x v="0"/>
    <x v="2"/>
    <x v="2"/>
    <s v="Revenue"/>
    <n v="184060"/>
    <n v="160300"/>
  </r>
  <r>
    <x v="370"/>
    <x v="53"/>
    <x v="2"/>
    <x v="0"/>
    <x v="2"/>
    <x v="11"/>
    <s v="Revenue"/>
    <n v="56101"/>
    <n v="54900"/>
  </r>
  <r>
    <x v="371"/>
    <x v="53"/>
    <x v="3"/>
    <x v="0"/>
    <x v="2"/>
    <x v="6"/>
    <s v="Expense"/>
    <n v="69833"/>
    <n v="80400"/>
  </r>
  <r>
    <x v="372"/>
    <x v="54"/>
    <x v="1"/>
    <x v="0"/>
    <x v="1"/>
    <x v="4"/>
    <s v="Revenue"/>
    <n v="127670"/>
    <n v="136600"/>
  </r>
  <r>
    <x v="373"/>
    <x v="54"/>
    <x v="5"/>
    <x v="0"/>
    <x v="3"/>
    <x v="1"/>
    <s v="Expense"/>
    <n v="107768"/>
    <n v="99200"/>
  </r>
  <r>
    <x v="374"/>
    <x v="54"/>
    <x v="5"/>
    <x v="0"/>
    <x v="3"/>
    <x v="3"/>
    <s v="Revenue"/>
    <n v="90973"/>
    <n v="96200"/>
  </r>
  <r>
    <x v="375"/>
    <x v="54"/>
    <x v="3"/>
    <x v="0"/>
    <x v="2"/>
    <x v="1"/>
    <s v="Expense"/>
    <n v="27226"/>
    <n v="30500"/>
  </r>
  <r>
    <x v="376"/>
    <x v="54"/>
    <x v="4"/>
    <x v="0"/>
    <x v="1"/>
    <x v="0"/>
    <s v="Revenue"/>
    <n v="199383"/>
    <n v="166700"/>
  </r>
  <r>
    <x v="377"/>
    <x v="54"/>
    <x v="6"/>
    <x v="0"/>
    <x v="3"/>
    <x v="10"/>
    <s v="Expense"/>
    <n v="48936"/>
    <n v="49700"/>
  </r>
  <r>
    <x v="378"/>
    <x v="54"/>
    <x v="6"/>
    <x v="0"/>
    <x v="3"/>
    <x v="3"/>
    <s v="Revenue"/>
    <n v="237663"/>
    <n v="224600"/>
  </r>
  <r>
    <x v="379"/>
    <x v="55"/>
    <x v="7"/>
    <x v="0"/>
    <x v="2"/>
    <x v="11"/>
    <s v="Revenue"/>
    <n v="93541"/>
    <n v="104000"/>
  </r>
  <r>
    <x v="380"/>
    <x v="55"/>
    <x v="1"/>
    <x v="0"/>
    <x v="1"/>
    <x v="10"/>
    <s v="Expense"/>
    <n v="57363"/>
    <n v="65600"/>
  </r>
  <r>
    <x v="381"/>
    <x v="55"/>
    <x v="5"/>
    <x v="0"/>
    <x v="3"/>
    <x v="8"/>
    <s v="Expense"/>
    <n v="58746"/>
    <n v="62700"/>
  </r>
  <r>
    <x v="382"/>
    <x v="55"/>
    <x v="2"/>
    <x v="0"/>
    <x v="2"/>
    <x v="3"/>
    <s v="Revenue"/>
    <n v="76797"/>
    <n v="75600"/>
  </r>
  <r>
    <x v="383"/>
    <x v="55"/>
    <x v="3"/>
    <x v="0"/>
    <x v="2"/>
    <x v="0"/>
    <s v="Revenue"/>
    <n v="75647"/>
    <n v="67800"/>
  </r>
  <r>
    <x v="384"/>
    <x v="55"/>
    <x v="4"/>
    <x v="0"/>
    <x v="1"/>
    <x v="2"/>
    <s v="Revenue"/>
    <n v="171391"/>
    <n v="169400"/>
  </r>
  <r>
    <x v="385"/>
    <x v="56"/>
    <x v="5"/>
    <x v="0"/>
    <x v="3"/>
    <x v="8"/>
    <s v="Expense"/>
    <n v="117882"/>
    <n v="122100"/>
  </r>
  <r>
    <x v="386"/>
    <x v="56"/>
    <x v="5"/>
    <x v="0"/>
    <x v="3"/>
    <x v="0"/>
    <s v="Revenue"/>
    <n v="172440"/>
    <n v="180700"/>
  </r>
  <r>
    <x v="387"/>
    <x v="56"/>
    <x v="2"/>
    <x v="0"/>
    <x v="2"/>
    <x v="4"/>
    <s v="Revenue"/>
    <n v="50242"/>
    <n v="49700"/>
  </r>
  <r>
    <x v="388"/>
    <x v="56"/>
    <x v="3"/>
    <x v="0"/>
    <x v="2"/>
    <x v="2"/>
    <s v="Revenue"/>
    <n v="126629"/>
    <n v="105300"/>
  </r>
  <r>
    <x v="389"/>
    <x v="56"/>
    <x v="3"/>
    <x v="0"/>
    <x v="2"/>
    <x v="4"/>
    <s v="Revenue"/>
    <n v="243890"/>
    <n v="218200"/>
  </r>
  <r>
    <x v="390"/>
    <x v="56"/>
    <x v="3"/>
    <x v="0"/>
    <x v="2"/>
    <x v="4"/>
    <s v="Revenue"/>
    <n v="27000"/>
    <n v="24500"/>
  </r>
  <r>
    <x v="391"/>
    <x v="56"/>
    <x v="4"/>
    <x v="0"/>
    <x v="1"/>
    <x v="8"/>
    <s v="Expense"/>
    <n v="60378"/>
    <n v="56000"/>
  </r>
  <r>
    <x v="392"/>
    <x v="56"/>
    <x v="4"/>
    <x v="0"/>
    <x v="1"/>
    <x v="5"/>
    <s v="Expense"/>
    <n v="49009"/>
    <n v="45900"/>
  </r>
  <r>
    <x v="393"/>
    <x v="56"/>
    <x v="4"/>
    <x v="0"/>
    <x v="1"/>
    <x v="11"/>
    <s v="Revenue"/>
    <n v="177440"/>
    <n v="158200"/>
  </r>
  <r>
    <x v="394"/>
    <x v="56"/>
    <x v="6"/>
    <x v="0"/>
    <x v="3"/>
    <x v="4"/>
    <s v="Revenue"/>
    <n v="181344"/>
    <n v="191200"/>
  </r>
  <r>
    <x v="395"/>
    <x v="57"/>
    <x v="7"/>
    <x v="0"/>
    <x v="2"/>
    <x v="9"/>
    <s v="Expense"/>
    <n v="50879"/>
    <n v="53600"/>
  </r>
  <r>
    <x v="396"/>
    <x v="57"/>
    <x v="7"/>
    <x v="0"/>
    <x v="2"/>
    <x v="11"/>
    <s v="Revenue"/>
    <n v="176164"/>
    <n v="180300"/>
  </r>
  <r>
    <x v="397"/>
    <x v="57"/>
    <x v="5"/>
    <x v="0"/>
    <x v="3"/>
    <x v="1"/>
    <s v="Expense"/>
    <n v="16777"/>
    <n v="15600"/>
  </r>
  <r>
    <x v="398"/>
    <x v="57"/>
    <x v="2"/>
    <x v="0"/>
    <x v="2"/>
    <x v="5"/>
    <s v="Expense"/>
    <n v="111952"/>
    <n v="120100"/>
  </r>
  <r>
    <x v="399"/>
    <x v="57"/>
    <x v="3"/>
    <x v="0"/>
    <x v="2"/>
    <x v="10"/>
    <s v="Expense"/>
    <n v="99892"/>
    <n v="97500"/>
  </r>
  <r>
    <x v="400"/>
    <x v="57"/>
    <x v="4"/>
    <x v="0"/>
    <x v="1"/>
    <x v="11"/>
    <s v="Revenue"/>
    <n v="67027"/>
    <n v="71000"/>
  </r>
  <r>
    <x v="401"/>
    <x v="57"/>
    <x v="6"/>
    <x v="0"/>
    <x v="3"/>
    <x v="7"/>
    <s v="Revenue"/>
    <n v="75640"/>
    <n v="67500"/>
  </r>
  <r>
    <x v="402"/>
    <x v="58"/>
    <x v="7"/>
    <x v="0"/>
    <x v="2"/>
    <x v="1"/>
    <s v="Expense"/>
    <n v="66419"/>
    <n v="68000"/>
  </r>
  <r>
    <x v="403"/>
    <x v="58"/>
    <x v="0"/>
    <x v="0"/>
    <x v="0"/>
    <x v="10"/>
    <s v="Expense"/>
    <n v="99876"/>
    <n v="99300"/>
  </r>
  <r>
    <x v="404"/>
    <x v="58"/>
    <x v="0"/>
    <x v="0"/>
    <x v="0"/>
    <x v="4"/>
    <s v="Revenue"/>
    <n v="231820"/>
    <n v="237000"/>
  </r>
  <r>
    <x v="405"/>
    <x v="58"/>
    <x v="2"/>
    <x v="0"/>
    <x v="2"/>
    <x v="5"/>
    <s v="Expense"/>
    <n v="111695"/>
    <n v="112700"/>
  </r>
  <r>
    <x v="406"/>
    <x v="58"/>
    <x v="2"/>
    <x v="0"/>
    <x v="2"/>
    <x v="10"/>
    <s v="Expense"/>
    <n v="74896"/>
    <n v="79100"/>
  </r>
  <r>
    <x v="407"/>
    <x v="58"/>
    <x v="3"/>
    <x v="0"/>
    <x v="2"/>
    <x v="8"/>
    <s v="Expense"/>
    <n v="86088"/>
    <n v="84500"/>
  </r>
  <r>
    <x v="408"/>
    <x v="58"/>
    <x v="3"/>
    <x v="0"/>
    <x v="2"/>
    <x v="3"/>
    <s v="Revenue"/>
    <n v="174880"/>
    <n v="169100"/>
  </r>
  <r>
    <x v="409"/>
    <x v="58"/>
    <x v="4"/>
    <x v="0"/>
    <x v="1"/>
    <x v="4"/>
    <s v="Revenue"/>
    <n v="155284"/>
    <n v="153200"/>
  </r>
  <r>
    <x v="410"/>
    <x v="59"/>
    <x v="7"/>
    <x v="0"/>
    <x v="2"/>
    <x v="1"/>
    <s v="Expense"/>
    <n v="17639"/>
    <n v="18200"/>
  </r>
  <r>
    <x v="411"/>
    <x v="59"/>
    <x v="7"/>
    <x v="0"/>
    <x v="2"/>
    <x v="0"/>
    <s v="Revenue"/>
    <n v="226091"/>
    <n v="241300"/>
  </r>
  <r>
    <x v="412"/>
    <x v="59"/>
    <x v="1"/>
    <x v="0"/>
    <x v="1"/>
    <x v="3"/>
    <s v="Revenue"/>
    <n v="86507"/>
    <n v="86800"/>
  </r>
  <r>
    <x v="413"/>
    <x v="59"/>
    <x v="5"/>
    <x v="0"/>
    <x v="3"/>
    <x v="3"/>
    <s v="Revenue"/>
    <n v="109661"/>
    <n v="111200"/>
  </r>
  <r>
    <x v="414"/>
    <x v="59"/>
    <x v="2"/>
    <x v="0"/>
    <x v="2"/>
    <x v="6"/>
    <s v="Expense"/>
    <n v="112687"/>
    <n v="95100"/>
  </r>
  <r>
    <x v="415"/>
    <x v="59"/>
    <x v="3"/>
    <x v="0"/>
    <x v="2"/>
    <x v="5"/>
    <s v="Expense"/>
    <n v="18389"/>
    <n v="20400"/>
  </r>
  <r>
    <x v="416"/>
    <x v="59"/>
    <x v="3"/>
    <x v="0"/>
    <x v="2"/>
    <x v="1"/>
    <s v="Expense"/>
    <n v="55769"/>
    <n v="59900"/>
  </r>
  <r>
    <x v="417"/>
    <x v="60"/>
    <x v="1"/>
    <x v="0"/>
    <x v="1"/>
    <x v="8"/>
    <s v="Expense"/>
    <n v="35772"/>
    <n v="40000"/>
  </r>
  <r>
    <x v="418"/>
    <x v="60"/>
    <x v="1"/>
    <x v="0"/>
    <x v="1"/>
    <x v="7"/>
    <s v="Revenue"/>
    <n v="249481"/>
    <n v="250700"/>
  </r>
  <r>
    <x v="419"/>
    <x v="60"/>
    <x v="1"/>
    <x v="0"/>
    <x v="1"/>
    <x v="2"/>
    <s v="Revenue"/>
    <n v="156431"/>
    <n v="171300"/>
  </r>
  <r>
    <x v="420"/>
    <x v="60"/>
    <x v="5"/>
    <x v="0"/>
    <x v="3"/>
    <x v="5"/>
    <s v="Expense"/>
    <n v="61761"/>
    <n v="56200"/>
  </r>
  <r>
    <x v="421"/>
    <x v="60"/>
    <x v="2"/>
    <x v="0"/>
    <x v="2"/>
    <x v="6"/>
    <s v="Expense"/>
    <n v="79937"/>
    <n v="71800"/>
  </r>
  <r>
    <x v="422"/>
    <x v="60"/>
    <x v="4"/>
    <x v="0"/>
    <x v="1"/>
    <x v="0"/>
    <s v="Revenue"/>
    <n v="31887"/>
    <n v="31000"/>
  </r>
  <r>
    <x v="423"/>
    <x v="60"/>
    <x v="6"/>
    <x v="0"/>
    <x v="3"/>
    <x v="8"/>
    <s v="Expense"/>
    <n v="16859"/>
    <n v="15100"/>
  </r>
  <r>
    <x v="424"/>
    <x v="61"/>
    <x v="7"/>
    <x v="0"/>
    <x v="2"/>
    <x v="6"/>
    <s v="Expense"/>
    <n v="104515"/>
    <n v="117900"/>
  </r>
  <r>
    <x v="425"/>
    <x v="61"/>
    <x v="1"/>
    <x v="0"/>
    <x v="1"/>
    <x v="2"/>
    <s v="Revenue"/>
    <n v="42885"/>
    <n v="39600"/>
  </r>
  <r>
    <x v="426"/>
    <x v="61"/>
    <x v="5"/>
    <x v="0"/>
    <x v="3"/>
    <x v="4"/>
    <s v="Revenue"/>
    <n v="191385"/>
    <n v="188700"/>
  </r>
  <r>
    <x v="427"/>
    <x v="61"/>
    <x v="4"/>
    <x v="0"/>
    <x v="1"/>
    <x v="10"/>
    <s v="Expense"/>
    <n v="28197"/>
    <n v="30300"/>
  </r>
  <r>
    <x v="428"/>
    <x v="61"/>
    <x v="4"/>
    <x v="0"/>
    <x v="1"/>
    <x v="0"/>
    <s v="Revenue"/>
    <n v="196717"/>
    <n v="186500"/>
  </r>
  <r>
    <x v="429"/>
    <x v="61"/>
    <x v="6"/>
    <x v="0"/>
    <x v="3"/>
    <x v="3"/>
    <s v="Revenue"/>
    <n v="140576"/>
    <n v="128300"/>
  </r>
  <r>
    <x v="430"/>
    <x v="62"/>
    <x v="0"/>
    <x v="0"/>
    <x v="0"/>
    <x v="10"/>
    <s v="Expense"/>
    <n v="77688"/>
    <n v="78200"/>
  </r>
  <r>
    <x v="431"/>
    <x v="62"/>
    <x v="1"/>
    <x v="0"/>
    <x v="1"/>
    <x v="1"/>
    <s v="Expense"/>
    <n v="83678"/>
    <n v="87900"/>
  </r>
  <r>
    <x v="432"/>
    <x v="62"/>
    <x v="3"/>
    <x v="0"/>
    <x v="2"/>
    <x v="10"/>
    <s v="Expense"/>
    <n v="116909"/>
    <n v="110900"/>
  </r>
  <r>
    <x v="433"/>
    <x v="62"/>
    <x v="4"/>
    <x v="0"/>
    <x v="1"/>
    <x v="10"/>
    <s v="Expense"/>
    <n v="52287"/>
    <n v="54000"/>
  </r>
  <r>
    <x v="434"/>
    <x v="62"/>
    <x v="6"/>
    <x v="0"/>
    <x v="3"/>
    <x v="1"/>
    <s v="Expense"/>
    <n v="112608"/>
    <n v="114800"/>
  </r>
  <r>
    <x v="435"/>
    <x v="62"/>
    <x v="6"/>
    <x v="0"/>
    <x v="3"/>
    <x v="10"/>
    <s v="Expense"/>
    <n v="29583"/>
    <n v="29900"/>
  </r>
  <r>
    <x v="436"/>
    <x v="63"/>
    <x v="0"/>
    <x v="0"/>
    <x v="0"/>
    <x v="10"/>
    <s v="Expense"/>
    <n v="37239"/>
    <n v="33700"/>
  </r>
  <r>
    <x v="437"/>
    <x v="63"/>
    <x v="0"/>
    <x v="0"/>
    <x v="0"/>
    <x v="1"/>
    <s v="Expense"/>
    <n v="18469"/>
    <n v="19300"/>
  </r>
  <r>
    <x v="438"/>
    <x v="63"/>
    <x v="1"/>
    <x v="0"/>
    <x v="1"/>
    <x v="8"/>
    <s v="Expense"/>
    <n v="78330"/>
    <n v="77400"/>
  </r>
  <r>
    <x v="439"/>
    <x v="63"/>
    <x v="1"/>
    <x v="0"/>
    <x v="1"/>
    <x v="10"/>
    <s v="Expense"/>
    <n v="17900"/>
    <n v="16700"/>
  </r>
  <r>
    <x v="440"/>
    <x v="63"/>
    <x v="1"/>
    <x v="0"/>
    <x v="1"/>
    <x v="9"/>
    <s v="Expense"/>
    <n v="40003"/>
    <n v="39600"/>
  </r>
  <r>
    <x v="441"/>
    <x v="63"/>
    <x v="1"/>
    <x v="0"/>
    <x v="1"/>
    <x v="5"/>
    <s v="Expense"/>
    <n v="14632"/>
    <n v="14600"/>
  </r>
  <r>
    <x v="442"/>
    <x v="63"/>
    <x v="5"/>
    <x v="0"/>
    <x v="3"/>
    <x v="10"/>
    <s v="Expense"/>
    <n v="86051"/>
    <n v="86000"/>
  </r>
  <r>
    <x v="443"/>
    <x v="63"/>
    <x v="5"/>
    <x v="0"/>
    <x v="3"/>
    <x v="6"/>
    <s v="Expense"/>
    <n v="59444"/>
    <n v="62000"/>
  </r>
  <r>
    <x v="444"/>
    <x v="63"/>
    <x v="5"/>
    <x v="0"/>
    <x v="3"/>
    <x v="3"/>
    <s v="Revenue"/>
    <n v="32636"/>
    <n v="30600"/>
  </r>
  <r>
    <x v="445"/>
    <x v="63"/>
    <x v="5"/>
    <x v="0"/>
    <x v="3"/>
    <x v="7"/>
    <s v="Revenue"/>
    <n v="55574"/>
    <n v="58200"/>
  </r>
  <r>
    <x v="446"/>
    <x v="63"/>
    <x v="5"/>
    <x v="0"/>
    <x v="3"/>
    <x v="3"/>
    <s v="Revenue"/>
    <n v="97270"/>
    <n v="81900"/>
  </r>
  <r>
    <x v="447"/>
    <x v="63"/>
    <x v="2"/>
    <x v="0"/>
    <x v="2"/>
    <x v="11"/>
    <s v="Revenue"/>
    <n v="208655"/>
    <n v="221600"/>
  </r>
  <r>
    <x v="448"/>
    <x v="64"/>
    <x v="1"/>
    <x v="0"/>
    <x v="1"/>
    <x v="9"/>
    <s v="Expense"/>
    <n v="102970"/>
    <n v="101500"/>
  </r>
  <r>
    <x v="449"/>
    <x v="64"/>
    <x v="1"/>
    <x v="0"/>
    <x v="1"/>
    <x v="2"/>
    <s v="Revenue"/>
    <n v="48669"/>
    <n v="43100"/>
  </r>
  <r>
    <x v="450"/>
    <x v="64"/>
    <x v="3"/>
    <x v="0"/>
    <x v="2"/>
    <x v="8"/>
    <s v="Expense"/>
    <n v="46494"/>
    <n v="41900"/>
  </r>
  <r>
    <x v="451"/>
    <x v="64"/>
    <x v="3"/>
    <x v="0"/>
    <x v="2"/>
    <x v="4"/>
    <s v="Revenue"/>
    <n v="178286"/>
    <n v="165700"/>
  </r>
  <r>
    <x v="452"/>
    <x v="64"/>
    <x v="4"/>
    <x v="0"/>
    <x v="1"/>
    <x v="10"/>
    <s v="Expense"/>
    <n v="12404"/>
    <n v="10800"/>
  </r>
  <r>
    <x v="453"/>
    <x v="65"/>
    <x v="0"/>
    <x v="0"/>
    <x v="0"/>
    <x v="10"/>
    <s v="Expense"/>
    <n v="87814"/>
    <n v="92000"/>
  </r>
  <r>
    <x v="454"/>
    <x v="65"/>
    <x v="0"/>
    <x v="0"/>
    <x v="0"/>
    <x v="9"/>
    <s v="Expense"/>
    <n v="49845"/>
    <n v="47400"/>
  </r>
  <r>
    <x v="455"/>
    <x v="65"/>
    <x v="3"/>
    <x v="0"/>
    <x v="2"/>
    <x v="1"/>
    <s v="Expense"/>
    <n v="34635"/>
    <n v="38700"/>
  </r>
  <r>
    <x v="456"/>
    <x v="65"/>
    <x v="4"/>
    <x v="0"/>
    <x v="1"/>
    <x v="6"/>
    <s v="Expense"/>
    <n v="44373"/>
    <n v="50800"/>
  </r>
  <r>
    <x v="457"/>
    <x v="65"/>
    <x v="6"/>
    <x v="0"/>
    <x v="3"/>
    <x v="0"/>
    <s v="Revenue"/>
    <n v="215798"/>
    <n v="236400"/>
  </r>
  <r>
    <x v="458"/>
    <x v="66"/>
    <x v="5"/>
    <x v="0"/>
    <x v="3"/>
    <x v="0"/>
    <s v="Revenue"/>
    <n v="117912"/>
    <n v="132400"/>
  </r>
  <r>
    <x v="459"/>
    <x v="66"/>
    <x v="2"/>
    <x v="0"/>
    <x v="2"/>
    <x v="10"/>
    <s v="Expense"/>
    <n v="63285"/>
    <n v="52600"/>
  </r>
  <r>
    <x v="460"/>
    <x v="66"/>
    <x v="2"/>
    <x v="0"/>
    <x v="2"/>
    <x v="0"/>
    <s v="Revenue"/>
    <n v="191158"/>
    <n v="192400"/>
  </r>
  <r>
    <x v="461"/>
    <x v="66"/>
    <x v="6"/>
    <x v="0"/>
    <x v="3"/>
    <x v="7"/>
    <s v="Revenue"/>
    <n v="34636"/>
    <n v="35000"/>
  </r>
  <r>
    <x v="462"/>
    <x v="67"/>
    <x v="7"/>
    <x v="0"/>
    <x v="2"/>
    <x v="5"/>
    <s v="Expense"/>
    <n v="79383"/>
    <n v="83400"/>
  </r>
  <r>
    <x v="463"/>
    <x v="67"/>
    <x v="7"/>
    <x v="0"/>
    <x v="2"/>
    <x v="6"/>
    <s v="Expense"/>
    <n v="38593"/>
    <n v="40600"/>
  </r>
  <r>
    <x v="464"/>
    <x v="67"/>
    <x v="0"/>
    <x v="0"/>
    <x v="0"/>
    <x v="11"/>
    <s v="Revenue"/>
    <n v="45862"/>
    <n v="48100"/>
  </r>
  <r>
    <x v="465"/>
    <x v="67"/>
    <x v="1"/>
    <x v="0"/>
    <x v="1"/>
    <x v="11"/>
    <s v="Revenue"/>
    <n v="237643"/>
    <n v="261400"/>
  </r>
  <r>
    <x v="466"/>
    <x v="67"/>
    <x v="2"/>
    <x v="0"/>
    <x v="2"/>
    <x v="0"/>
    <s v="Revenue"/>
    <n v="184528"/>
    <n v="213700"/>
  </r>
  <r>
    <x v="467"/>
    <x v="67"/>
    <x v="2"/>
    <x v="0"/>
    <x v="2"/>
    <x v="4"/>
    <s v="Revenue"/>
    <n v="80579"/>
    <n v="77200"/>
  </r>
  <r>
    <x v="468"/>
    <x v="67"/>
    <x v="4"/>
    <x v="0"/>
    <x v="1"/>
    <x v="8"/>
    <s v="Expense"/>
    <n v="21018"/>
    <n v="21400"/>
  </r>
  <r>
    <x v="469"/>
    <x v="67"/>
    <x v="4"/>
    <x v="0"/>
    <x v="1"/>
    <x v="9"/>
    <s v="Expense"/>
    <n v="62644"/>
    <n v="61300"/>
  </r>
  <r>
    <x v="470"/>
    <x v="68"/>
    <x v="7"/>
    <x v="0"/>
    <x v="2"/>
    <x v="9"/>
    <s v="Expense"/>
    <n v="45241"/>
    <n v="45700"/>
  </r>
  <r>
    <x v="471"/>
    <x v="68"/>
    <x v="2"/>
    <x v="0"/>
    <x v="2"/>
    <x v="11"/>
    <s v="Revenue"/>
    <n v="173512"/>
    <n v="165100"/>
  </r>
  <r>
    <x v="472"/>
    <x v="68"/>
    <x v="3"/>
    <x v="0"/>
    <x v="2"/>
    <x v="5"/>
    <s v="Expense"/>
    <n v="81619"/>
    <n v="77500"/>
  </r>
  <r>
    <x v="473"/>
    <x v="68"/>
    <x v="3"/>
    <x v="0"/>
    <x v="2"/>
    <x v="9"/>
    <s v="Expense"/>
    <n v="76893"/>
    <n v="55600"/>
  </r>
  <r>
    <x v="474"/>
    <x v="68"/>
    <x v="3"/>
    <x v="0"/>
    <x v="2"/>
    <x v="5"/>
    <s v="Expense"/>
    <n v="112884"/>
    <n v="128400"/>
  </r>
  <r>
    <x v="475"/>
    <x v="68"/>
    <x v="3"/>
    <x v="0"/>
    <x v="2"/>
    <x v="5"/>
    <s v="Expense"/>
    <n v="63686"/>
    <n v="61800"/>
  </r>
  <r>
    <x v="476"/>
    <x v="68"/>
    <x v="4"/>
    <x v="0"/>
    <x v="1"/>
    <x v="5"/>
    <s v="Expense"/>
    <n v="42632"/>
    <n v="39500"/>
  </r>
  <r>
    <x v="477"/>
    <x v="68"/>
    <x v="4"/>
    <x v="0"/>
    <x v="1"/>
    <x v="10"/>
    <s v="Expense"/>
    <n v="117421"/>
    <n v="133400"/>
  </r>
  <r>
    <x v="478"/>
    <x v="68"/>
    <x v="4"/>
    <x v="0"/>
    <x v="1"/>
    <x v="3"/>
    <s v="Revenue"/>
    <n v="89001"/>
    <n v="91400"/>
  </r>
  <r>
    <x v="479"/>
    <x v="68"/>
    <x v="6"/>
    <x v="0"/>
    <x v="3"/>
    <x v="9"/>
    <s v="Expense"/>
    <n v="33957"/>
    <n v="32300"/>
  </r>
  <r>
    <x v="480"/>
    <x v="69"/>
    <x v="1"/>
    <x v="0"/>
    <x v="1"/>
    <x v="9"/>
    <s v="Expense"/>
    <n v="113979"/>
    <n v="95600"/>
  </r>
  <r>
    <x v="481"/>
    <x v="69"/>
    <x v="5"/>
    <x v="0"/>
    <x v="3"/>
    <x v="7"/>
    <s v="Revenue"/>
    <n v="219550"/>
    <n v="208400"/>
  </r>
  <r>
    <x v="482"/>
    <x v="69"/>
    <x v="3"/>
    <x v="0"/>
    <x v="2"/>
    <x v="6"/>
    <s v="Expense"/>
    <n v="23416"/>
    <n v="21900"/>
  </r>
  <r>
    <x v="483"/>
    <x v="69"/>
    <x v="3"/>
    <x v="0"/>
    <x v="2"/>
    <x v="3"/>
    <s v="Revenue"/>
    <n v="232953"/>
    <n v="228000"/>
  </r>
  <r>
    <x v="484"/>
    <x v="70"/>
    <x v="1"/>
    <x v="0"/>
    <x v="1"/>
    <x v="5"/>
    <s v="Expense"/>
    <n v="77114"/>
    <n v="88400"/>
  </r>
  <r>
    <x v="485"/>
    <x v="70"/>
    <x v="5"/>
    <x v="0"/>
    <x v="3"/>
    <x v="1"/>
    <s v="Expense"/>
    <n v="50859"/>
    <n v="49900"/>
  </r>
  <r>
    <x v="486"/>
    <x v="70"/>
    <x v="5"/>
    <x v="0"/>
    <x v="3"/>
    <x v="5"/>
    <s v="Expense"/>
    <n v="111686"/>
    <n v="125600"/>
  </r>
  <r>
    <x v="487"/>
    <x v="70"/>
    <x v="5"/>
    <x v="0"/>
    <x v="3"/>
    <x v="4"/>
    <s v="Revenue"/>
    <n v="42697"/>
    <n v="51000"/>
  </r>
  <r>
    <x v="488"/>
    <x v="70"/>
    <x v="3"/>
    <x v="0"/>
    <x v="2"/>
    <x v="0"/>
    <s v="Revenue"/>
    <n v="208324"/>
    <n v="203700"/>
  </r>
  <r>
    <x v="489"/>
    <x v="70"/>
    <x v="6"/>
    <x v="0"/>
    <x v="3"/>
    <x v="4"/>
    <s v="Revenue"/>
    <n v="105139"/>
    <n v="103300"/>
  </r>
  <r>
    <x v="490"/>
    <x v="71"/>
    <x v="7"/>
    <x v="0"/>
    <x v="2"/>
    <x v="0"/>
    <s v="Revenue"/>
    <n v="61640"/>
    <n v="60600"/>
  </r>
  <r>
    <x v="491"/>
    <x v="71"/>
    <x v="0"/>
    <x v="0"/>
    <x v="0"/>
    <x v="5"/>
    <s v="Expense"/>
    <n v="31405"/>
    <n v="29100"/>
  </r>
  <r>
    <x v="492"/>
    <x v="71"/>
    <x v="0"/>
    <x v="0"/>
    <x v="0"/>
    <x v="4"/>
    <s v="Revenue"/>
    <n v="27184"/>
    <n v="21800"/>
  </r>
  <r>
    <x v="493"/>
    <x v="71"/>
    <x v="1"/>
    <x v="0"/>
    <x v="1"/>
    <x v="5"/>
    <s v="Expense"/>
    <n v="97390"/>
    <n v="92400"/>
  </r>
  <r>
    <x v="494"/>
    <x v="71"/>
    <x v="5"/>
    <x v="0"/>
    <x v="3"/>
    <x v="4"/>
    <s v="Revenue"/>
    <n v="127349"/>
    <n v="125900"/>
  </r>
  <r>
    <x v="495"/>
    <x v="71"/>
    <x v="2"/>
    <x v="0"/>
    <x v="2"/>
    <x v="3"/>
    <s v="Revenue"/>
    <n v="175404"/>
    <n v="187400"/>
  </r>
  <r>
    <x v="496"/>
    <x v="71"/>
    <x v="6"/>
    <x v="0"/>
    <x v="3"/>
    <x v="1"/>
    <s v="Expense"/>
    <n v="99938"/>
    <n v="111700"/>
  </r>
  <r>
    <x v="497"/>
    <x v="72"/>
    <x v="7"/>
    <x v="0"/>
    <x v="2"/>
    <x v="9"/>
    <s v="Expense"/>
    <n v="20106"/>
    <n v="22800"/>
  </r>
  <r>
    <x v="498"/>
    <x v="72"/>
    <x v="0"/>
    <x v="0"/>
    <x v="0"/>
    <x v="9"/>
    <s v="Expense"/>
    <n v="52277"/>
    <n v="51800"/>
  </r>
  <r>
    <x v="499"/>
    <x v="72"/>
    <x v="1"/>
    <x v="0"/>
    <x v="1"/>
    <x v="1"/>
    <s v="Expense"/>
    <n v="28190"/>
    <n v="21800"/>
  </r>
  <r>
    <x v="500"/>
    <x v="72"/>
    <x v="5"/>
    <x v="0"/>
    <x v="3"/>
    <x v="4"/>
    <s v="Revenue"/>
    <n v="181316"/>
    <n v="155700"/>
  </r>
  <r>
    <x v="501"/>
    <x v="72"/>
    <x v="2"/>
    <x v="0"/>
    <x v="2"/>
    <x v="5"/>
    <s v="Expense"/>
    <n v="43728"/>
    <n v="39200"/>
  </r>
  <r>
    <x v="502"/>
    <x v="72"/>
    <x v="2"/>
    <x v="0"/>
    <x v="2"/>
    <x v="10"/>
    <s v="Expense"/>
    <n v="92025"/>
    <n v="96800"/>
  </r>
  <r>
    <x v="503"/>
    <x v="72"/>
    <x v="2"/>
    <x v="0"/>
    <x v="2"/>
    <x v="2"/>
    <s v="Revenue"/>
    <n v="92177"/>
    <n v="100800"/>
  </r>
  <r>
    <x v="504"/>
    <x v="72"/>
    <x v="3"/>
    <x v="0"/>
    <x v="2"/>
    <x v="9"/>
    <s v="Expense"/>
    <n v="40111"/>
    <n v="40500"/>
  </r>
  <r>
    <x v="505"/>
    <x v="72"/>
    <x v="6"/>
    <x v="0"/>
    <x v="3"/>
    <x v="6"/>
    <s v="Expense"/>
    <n v="54630"/>
    <n v="53000"/>
  </r>
  <r>
    <x v="506"/>
    <x v="72"/>
    <x v="6"/>
    <x v="0"/>
    <x v="3"/>
    <x v="2"/>
    <s v="Revenue"/>
    <n v="71890"/>
    <n v="65700"/>
  </r>
  <r>
    <x v="507"/>
    <x v="73"/>
    <x v="1"/>
    <x v="0"/>
    <x v="1"/>
    <x v="5"/>
    <s v="Expense"/>
    <n v="105013"/>
    <n v="96700"/>
  </r>
  <r>
    <x v="508"/>
    <x v="73"/>
    <x v="1"/>
    <x v="0"/>
    <x v="1"/>
    <x v="9"/>
    <s v="Expense"/>
    <n v="56489"/>
    <n v="56300"/>
  </r>
  <r>
    <x v="509"/>
    <x v="73"/>
    <x v="1"/>
    <x v="0"/>
    <x v="1"/>
    <x v="9"/>
    <s v="Expense"/>
    <n v="30564"/>
    <n v="33700"/>
  </r>
  <r>
    <x v="510"/>
    <x v="73"/>
    <x v="1"/>
    <x v="0"/>
    <x v="1"/>
    <x v="7"/>
    <s v="Revenue"/>
    <n v="191478"/>
    <n v="165700"/>
  </r>
  <r>
    <x v="511"/>
    <x v="73"/>
    <x v="2"/>
    <x v="0"/>
    <x v="2"/>
    <x v="8"/>
    <s v="Expense"/>
    <n v="68523"/>
    <n v="79900"/>
  </r>
  <r>
    <x v="512"/>
    <x v="73"/>
    <x v="3"/>
    <x v="0"/>
    <x v="2"/>
    <x v="6"/>
    <s v="Expense"/>
    <n v="70901"/>
    <n v="72400"/>
  </r>
  <r>
    <x v="513"/>
    <x v="73"/>
    <x v="6"/>
    <x v="0"/>
    <x v="3"/>
    <x v="7"/>
    <s v="Revenue"/>
    <n v="195312"/>
    <n v="181800"/>
  </r>
  <r>
    <x v="514"/>
    <x v="74"/>
    <x v="7"/>
    <x v="0"/>
    <x v="2"/>
    <x v="11"/>
    <s v="Revenue"/>
    <n v="181752"/>
    <n v="182000"/>
  </r>
  <r>
    <x v="515"/>
    <x v="74"/>
    <x v="1"/>
    <x v="0"/>
    <x v="1"/>
    <x v="4"/>
    <s v="Revenue"/>
    <n v="51926"/>
    <n v="63100"/>
  </r>
  <r>
    <x v="516"/>
    <x v="74"/>
    <x v="5"/>
    <x v="0"/>
    <x v="3"/>
    <x v="6"/>
    <s v="Expense"/>
    <n v="113475"/>
    <n v="112500"/>
  </r>
  <r>
    <x v="517"/>
    <x v="74"/>
    <x v="5"/>
    <x v="0"/>
    <x v="3"/>
    <x v="10"/>
    <s v="Expense"/>
    <n v="37403"/>
    <n v="35800"/>
  </r>
  <r>
    <x v="518"/>
    <x v="74"/>
    <x v="2"/>
    <x v="0"/>
    <x v="2"/>
    <x v="4"/>
    <s v="Revenue"/>
    <n v="160071"/>
    <n v="180300"/>
  </r>
  <r>
    <x v="519"/>
    <x v="74"/>
    <x v="3"/>
    <x v="0"/>
    <x v="2"/>
    <x v="2"/>
    <s v="Revenue"/>
    <n v="41659"/>
    <n v="42800"/>
  </r>
  <r>
    <x v="520"/>
    <x v="75"/>
    <x v="7"/>
    <x v="0"/>
    <x v="2"/>
    <x v="1"/>
    <s v="Expense"/>
    <n v="79030"/>
    <n v="71700"/>
  </r>
  <r>
    <x v="521"/>
    <x v="75"/>
    <x v="0"/>
    <x v="0"/>
    <x v="0"/>
    <x v="1"/>
    <s v="Expense"/>
    <n v="57252"/>
    <n v="56700"/>
  </r>
  <r>
    <x v="522"/>
    <x v="75"/>
    <x v="1"/>
    <x v="0"/>
    <x v="1"/>
    <x v="6"/>
    <s v="Expense"/>
    <n v="86280"/>
    <n v="95100"/>
  </r>
  <r>
    <x v="523"/>
    <x v="75"/>
    <x v="1"/>
    <x v="0"/>
    <x v="1"/>
    <x v="5"/>
    <s v="Expense"/>
    <n v="63538"/>
    <n v="66200"/>
  </r>
  <r>
    <x v="524"/>
    <x v="75"/>
    <x v="1"/>
    <x v="0"/>
    <x v="1"/>
    <x v="7"/>
    <s v="Revenue"/>
    <n v="146826"/>
    <n v="164900"/>
  </r>
  <r>
    <x v="525"/>
    <x v="75"/>
    <x v="2"/>
    <x v="0"/>
    <x v="2"/>
    <x v="7"/>
    <s v="Revenue"/>
    <n v="227873"/>
    <n v="243900"/>
  </r>
  <r>
    <x v="526"/>
    <x v="75"/>
    <x v="4"/>
    <x v="0"/>
    <x v="1"/>
    <x v="1"/>
    <s v="Expense"/>
    <n v="72188"/>
    <n v="62000"/>
  </r>
  <r>
    <x v="527"/>
    <x v="76"/>
    <x v="7"/>
    <x v="0"/>
    <x v="2"/>
    <x v="4"/>
    <s v="Revenue"/>
    <n v="132805"/>
    <n v="137600"/>
  </r>
  <r>
    <x v="528"/>
    <x v="76"/>
    <x v="0"/>
    <x v="0"/>
    <x v="0"/>
    <x v="2"/>
    <s v="Revenue"/>
    <n v="238578"/>
    <n v="206600"/>
  </r>
  <r>
    <x v="529"/>
    <x v="76"/>
    <x v="5"/>
    <x v="0"/>
    <x v="3"/>
    <x v="0"/>
    <s v="Revenue"/>
    <n v="199799"/>
    <n v="209300"/>
  </r>
  <r>
    <x v="530"/>
    <x v="76"/>
    <x v="2"/>
    <x v="0"/>
    <x v="2"/>
    <x v="9"/>
    <s v="Expense"/>
    <n v="114468"/>
    <n v="117600"/>
  </r>
  <r>
    <x v="531"/>
    <x v="76"/>
    <x v="2"/>
    <x v="0"/>
    <x v="2"/>
    <x v="4"/>
    <s v="Revenue"/>
    <n v="70426"/>
    <n v="63200"/>
  </r>
  <r>
    <x v="532"/>
    <x v="76"/>
    <x v="3"/>
    <x v="0"/>
    <x v="2"/>
    <x v="1"/>
    <s v="Expense"/>
    <n v="23563"/>
    <n v="18900"/>
  </r>
  <r>
    <x v="533"/>
    <x v="76"/>
    <x v="3"/>
    <x v="0"/>
    <x v="2"/>
    <x v="5"/>
    <s v="Expense"/>
    <n v="98318"/>
    <n v="110300"/>
  </r>
  <r>
    <x v="534"/>
    <x v="77"/>
    <x v="7"/>
    <x v="0"/>
    <x v="2"/>
    <x v="3"/>
    <s v="Revenue"/>
    <n v="86325"/>
    <n v="77700"/>
  </r>
  <r>
    <x v="535"/>
    <x v="77"/>
    <x v="7"/>
    <x v="0"/>
    <x v="2"/>
    <x v="0"/>
    <s v="Revenue"/>
    <n v="127797"/>
    <n v="146000"/>
  </r>
  <r>
    <x v="536"/>
    <x v="77"/>
    <x v="3"/>
    <x v="0"/>
    <x v="2"/>
    <x v="6"/>
    <s v="Expense"/>
    <n v="103076"/>
    <n v="103100"/>
  </r>
  <r>
    <x v="537"/>
    <x v="77"/>
    <x v="4"/>
    <x v="0"/>
    <x v="1"/>
    <x v="4"/>
    <s v="Revenue"/>
    <n v="172891"/>
    <n v="173700"/>
  </r>
  <r>
    <x v="538"/>
    <x v="77"/>
    <x v="4"/>
    <x v="0"/>
    <x v="1"/>
    <x v="0"/>
    <s v="Revenue"/>
    <n v="29698"/>
    <n v="28500"/>
  </r>
  <r>
    <x v="539"/>
    <x v="77"/>
    <x v="4"/>
    <x v="0"/>
    <x v="1"/>
    <x v="11"/>
    <s v="Revenue"/>
    <n v="26913"/>
    <n v="25800"/>
  </r>
  <r>
    <x v="540"/>
    <x v="78"/>
    <x v="2"/>
    <x v="0"/>
    <x v="2"/>
    <x v="5"/>
    <s v="Expense"/>
    <n v="88640"/>
    <n v="89700"/>
  </r>
  <r>
    <x v="541"/>
    <x v="78"/>
    <x v="2"/>
    <x v="0"/>
    <x v="2"/>
    <x v="1"/>
    <s v="Expense"/>
    <n v="103155"/>
    <n v="100700"/>
  </r>
  <r>
    <x v="542"/>
    <x v="78"/>
    <x v="4"/>
    <x v="0"/>
    <x v="1"/>
    <x v="7"/>
    <s v="Revenue"/>
    <n v="182444"/>
    <n v="163800"/>
  </r>
  <r>
    <x v="543"/>
    <x v="78"/>
    <x v="6"/>
    <x v="0"/>
    <x v="3"/>
    <x v="6"/>
    <s v="Expense"/>
    <n v="14127"/>
    <n v="12600"/>
  </r>
  <r>
    <x v="544"/>
    <x v="79"/>
    <x v="7"/>
    <x v="0"/>
    <x v="2"/>
    <x v="6"/>
    <s v="Expense"/>
    <n v="56922"/>
    <n v="46600"/>
  </r>
  <r>
    <x v="545"/>
    <x v="79"/>
    <x v="7"/>
    <x v="0"/>
    <x v="2"/>
    <x v="1"/>
    <s v="Expense"/>
    <n v="67496"/>
    <n v="67900"/>
  </r>
  <r>
    <x v="546"/>
    <x v="79"/>
    <x v="5"/>
    <x v="0"/>
    <x v="3"/>
    <x v="7"/>
    <s v="Revenue"/>
    <n v="202636"/>
    <n v="171600"/>
  </r>
  <r>
    <x v="547"/>
    <x v="79"/>
    <x v="5"/>
    <x v="0"/>
    <x v="3"/>
    <x v="2"/>
    <s v="Revenue"/>
    <n v="113286"/>
    <n v="109200"/>
  </r>
  <r>
    <x v="548"/>
    <x v="79"/>
    <x v="4"/>
    <x v="0"/>
    <x v="1"/>
    <x v="5"/>
    <s v="Expense"/>
    <n v="52924"/>
    <n v="51500"/>
  </r>
  <r>
    <x v="549"/>
    <x v="79"/>
    <x v="4"/>
    <x v="0"/>
    <x v="1"/>
    <x v="11"/>
    <s v="Revenue"/>
    <n v="52833"/>
    <n v="54500"/>
  </r>
  <r>
    <x v="550"/>
    <x v="80"/>
    <x v="7"/>
    <x v="0"/>
    <x v="2"/>
    <x v="4"/>
    <s v="Revenue"/>
    <n v="247277"/>
    <n v="205600"/>
  </r>
  <r>
    <x v="551"/>
    <x v="80"/>
    <x v="0"/>
    <x v="0"/>
    <x v="0"/>
    <x v="8"/>
    <s v="Expense"/>
    <n v="110930"/>
    <n v="116400"/>
  </r>
  <r>
    <x v="552"/>
    <x v="80"/>
    <x v="0"/>
    <x v="0"/>
    <x v="0"/>
    <x v="3"/>
    <s v="Revenue"/>
    <n v="96684"/>
    <n v="114500"/>
  </r>
  <r>
    <x v="553"/>
    <x v="80"/>
    <x v="1"/>
    <x v="0"/>
    <x v="1"/>
    <x v="6"/>
    <s v="Expense"/>
    <n v="45257"/>
    <n v="49600"/>
  </r>
  <r>
    <x v="554"/>
    <x v="80"/>
    <x v="1"/>
    <x v="0"/>
    <x v="1"/>
    <x v="5"/>
    <s v="Expense"/>
    <n v="93457"/>
    <n v="93700"/>
  </r>
  <r>
    <x v="555"/>
    <x v="80"/>
    <x v="1"/>
    <x v="0"/>
    <x v="1"/>
    <x v="3"/>
    <s v="Revenue"/>
    <n v="57982"/>
    <n v="52500"/>
  </r>
  <r>
    <x v="556"/>
    <x v="80"/>
    <x v="2"/>
    <x v="0"/>
    <x v="2"/>
    <x v="1"/>
    <s v="Expense"/>
    <n v="91370"/>
    <n v="77900"/>
  </r>
  <r>
    <x v="557"/>
    <x v="80"/>
    <x v="4"/>
    <x v="0"/>
    <x v="1"/>
    <x v="9"/>
    <s v="Expense"/>
    <n v="50849"/>
    <n v="51700"/>
  </r>
  <r>
    <x v="558"/>
    <x v="81"/>
    <x v="7"/>
    <x v="0"/>
    <x v="2"/>
    <x v="8"/>
    <s v="Expense"/>
    <n v="116453"/>
    <n v="113500"/>
  </r>
  <r>
    <x v="559"/>
    <x v="81"/>
    <x v="7"/>
    <x v="0"/>
    <x v="2"/>
    <x v="3"/>
    <s v="Revenue"/>
    <n v="205699"/>
    <n v="207400"/>
  </r>
  <r>
    <x v="560"/>
    <x v="81"/>
    <x v="5"/>
    <x v="0"/>
    <x v="3"/>
    <x v="8"/>
    <s v="Expense"/>
    <n v="33266"/>
    <n v="33300"/>
  </r>
  <r>
    <x v="561"/>
    <x v="81"/>
    <x v="5"/>
    <x v="0"/>
    <x v="3"/>
    <x v="11"/>
    <s v="Revenue"/>
    <n v="132022"/>
    <n v="103300"/>
  </r>
  <r>
    <x v="562"/>
    <x v="81"/>
    <x v="3"/>
    <x v="0"/>
    <x v="2"/>
    <x v="2"/>
    <s v="Revenue"/>
    <n v="179171"/>
    <n v="187700"/>
  </r>
  <r>
    <x v="563"/>
    <x v="81"/>
    <x v="3"/>
    <x v="0"/>
    <x v="2"/>
    <x v="2"/>
    <s v="Revenue"/>
    <n v="106609"/>
    <n v="106500"/>
  </r>
  <r>
    <x v="564"/>
    <x v="81"/>
    <x v="4"/>
    <x v="0"/>
    <x v="1"/>
    <x v="5"/>
    <s v="Expense"/>
    <n v="34733"/>
    <n v="35500"/>
  </r>
  <r>
    <x v="565"/>
    <x v="82"/>
    <x v="7"/>
    <x v="0"/>
    <x v="2"/>
    <x v="1"/>
    <s v="Expense"/>
    <n v="16890"/>
    <n v="19400"/>
  </r>
  <r>
    <x v="566"/>
    <x v="82"/>
    <x v="0"/>
    <x v="0"/>
    <x v="0"/>
    <x v="3"/>
    <s v="Revenue"/>
    <n v="176298"/>
    <n v="202900"/>
  </r>
  <r>
    <x v="567"/>
    <x v="82"/>
    <x v="1"/>
    <x v="0"/>
    <x v="1"/>
    <x v="2"/>
    <s v="Revenue"/>
    <n v="244191"/>
    <n v="212200"/>
  </r>
  <r>
    <x v="568"/>
    <x v="82"/>
    <x v="5"/>
    <x v="0"/>
    <x v="3"/>
    <x v="4"/>
    <s v="Revenue"/>
    <n v="61533"/>
    <n v="54200"/>
  </r>
  <r>
    <x v="569"/>
    <x v="82"/>
    <x v="2"/>
    <x v="0"/>
    <x v="2"/>
    <x v="9"/>
    <s v="Expense"/>
    <n v="71512"/>
    <n v="64100"/>
  </r>
  <r>
    <x v="570"/>
    <x v="82"/>
    <x v="2"/>
    <x v="0"/>
    <x v="2"/>
    <x v="1"/>
    <s v="Expense"/>
    <n v="104540"/>
    <n v="102800"/>
  </r>
  <r>
    <x v="571"/>
    <x v="82"/>
    <x v="3"/>
    <x v="0"/>
    <x v="2"/>
    <x v="1"/>
    <s v="Expense"/>
    <n v="17665"/>
    <n v="18600"/>
  </r>
  <r>
    <x v="572"/>
    <x v="82"/>
    <x v="4"/>
    <x v="0"/>
    <x v="1"/>
    <x v="10"/>
    <s v="Expense"/>
    <n v="86803"/>
    <n v="89600"/>
  </r>
  <r>
    <x v="573"/>
    <x v="83"/>
    <x v="7"/>
    <x v="0"/>
    <x v="2"/>
    <x v="1"/>
    <s v="Expense"/>
    <n v="23501"/>
    <n v="22800"/>
  </r>
  <r>
    <x v="574"/>
    <x v="83"/>
    <x v="1"/>
    <x v="0"/>
    <x v="1"/>
    <x v="6"/>
    <s v="Expense"/>
    <n v="46487"/>
    <n v="49300"/>
  </r>
  <r>
    <x v="575"/>
    <x v="83"/>
    <x v="2"/>
    <x v="0"/>
    <x v="2"/>
    <x v="8"/>
    <s v="Expense"/>
    <n v="24029"/>
    <n v="22000"/>
  </r>
  <r>
    <x v="576"/>
    <x v="83"/>
    <x v="2"/>
    <x v="0"/>
    <x v="2"/>
    <x v="3"/>
    <s v="Revenue"/>
    <n v="129178"/>
    <n v="114200"/>
  </r>
  <r>
    <x v="577"/>
    <x v="83"/>
    <x v="3"/>
    <x v="0"/>
    <x v="2"/>
    <x v="10"/>
    <s v="Expense"/>
    <n v="53582"/>
    <n v="48200"/>
  </r>
  <r>
    <x v="578"/>
    <x v="83"/>
    <x v="3"/>
    <x v="0"/>
    <x v="2"/>
    <x v="11"/>
    <s v="Revenue"/>
    <n v="242022"/>
    <n v="187300"/>
  </r>
  <r>
    <x v="579"/>
    <x v="84"/>
    <x v="7"/>
    <x v="0"/>
    <x v="2"/>
    <x v="1"/>
    <s v="Expense"/>
    <n v="19039"/>
    <n v="17900"/>
  </r>
  <r>
    <x v="580"/>
    <x v="84"/>
    <x v="0"/>
    <x v="0"/>
    <x v="0"/>
    <x v="5"/>
    <s v="Expense"/>
    <n v="89365"/>
    <n v="81200"/>
  </r>
  <r>
    <x v="581"/>
    <x v="84"/>
    <x v="0"/>
    <x v="0"/>
    <x v="0"/>
    <x v="0"/>
    <s v="Revenue"/>
    <n v="139117"/>
    <n v="148100"/>
  </r>
  <r>
    <x v="582"/>
    <x v="84"/>
    <x v="1"/>
    <x v="0"/>
    <x v="1"/>
    <x v="11"/>
    <s v="Revenue"/>
    <n v="57418"/>
    <n v="63000"/>
  </r>
  <r>
    <x v="583"/>
    <x v="84"/>
    <x v="5"/>
    <x v="0"/>
    <x v="3"/>
    <x v="2"/>
    <s v="Revenue"/>
    <n v="27811"/>
    <n v="25600"/>
  </r>
  <r>
    <x v="584"/>
    <x v="84"/>
    <x v="4"/>
    <x v="0"/>
    <x v="1"/>
    <x v="8"/>
    <s v="Expense"/>
    <n v="22573"/>
    <n v="21500"/>
  </r>
  <r>
    <x v="585"/>
    <x v="84"/>
    <x v="4"/>
    <x v="0"/>
    <x v="1"/>
    <x v="1"/>
    <s v="Expense"/>
    <n v="97113"/>
    <n v="88000"/>
  </r>
  <r>
    <x v="586"/>
    <x v="84"/>
    <x v="4"/>
    <x v="0"/>
    <x v="1"/>
    <x v="5"/>
    <s v="Expense"/>
    <n v="101394"/>
    <n v="107200"/>
  </r>
  <r>
    <x v="587"/>
    <x v="85"/>
    <x v="7"/>
    <x v="0"/>
    <x v="2"/>
    <x v="7"/>
    <s v="Revenue"/>
    <n v="238372"/>
    <n v="212500"/>
  </r>
  <r>
    <x v="588"/>
    <x v="85"/>
    <x v="1"/>
    <x v="0"/>
    <x v="1"/>
    <x v="8"/>
    <s v="Expense"/>
    <n v="115159"/>
    <n v="124400"/>
  </r>
  <r>
    <x v="589"/>
    <x v="85"/>
    <x v="1"/>
    <x v="0"/>
    <x v="1"/>
    <x v="11"/>
    <s v="Revenue"/>
    <n v="176095"/>
    <n v="163700"/>
  </r>
  <r>
    <x v="590"/>
    <x v="85"/>
    <x v="5"/>
    <x v="0"/>
    <x v="3"/>
    <x v="6"/>
    <s v="Expense"/>
    <n v="57459"/>
    <n v="59500"/>
  </r>
  <r>
    <x v="591"/>
    <x v="85"/>
    <x v="2"/>
    <x v="0"/>
    <x v="2"/>
    <x v="11"/>
    <s v="Revenue"/>
    <n v="233117"/>
    <n v="225100"/>
  </r>
  <r>
    <x v="592"/>
    <x v="85"/>
    <x v="6"/>
    <x v="0"/>
    <x v="3"/>
    <x v="7"/>
    <s v="Revenue"/>
    <n v="165756"/>
    <n v="143300"/>
  </r>
  <r>
    <x v="593"/>
    <x v="86"/>
    <x v="0"/>
    <x v="0"/>
    <x v="0"/>
    <x v="7"/>
    <s v="Revenue"/>
    <n v="148101"/>
    <n v="156600"/>
  </r>
  <r>
    <x v="594"/>
    <x v="86"/>
    <x v="0"/>
    <x v="0"/>
    <x v="0"/>
    <x v="2"/>
    <s v="Revenue"/>
    <n v="146835"/>
    <n v="166200"/>
  </r>
  <r>
    <x v="595"/>
    <x v="86"/>
    <x v="1"/>
    <x v="0"/>
    <x v="1"/>
    <x v="4"/>
    <s v="Revenue"/>
    <n v="54281"/>
    <n v="56300"/>
  </r>
  <r>
    <x v="596"/>
    <x v="86"/>
    <x v="5"/>
    <x v="0"/>
    <x v="3"/>
    <x v="2"/>
    <s v="Revenue"/>
    <n v="126710"/>
    <n v="135800"/>
  </r>
  <r>
    <x v="597"/>
    <x v="86"/>
    <x v="2"/>
    <x v="0"/>
    <x v="2"/>
    <x v="8"/>
    <s v="Expense"/>
    <n v="23342"/>
    <n v="21700"/>
  </r>
  <r>
    <x v="598"/>
    <x v="86"/>
    <x v="6"/>
    <x v="0"/>
    <x v="3"/>
    <x v="8"/>
    <s v="Expense"/>
    <n v="14620"/>
    <n v="11000"/>
  </r>
  <r>
    <x v="599"/>
    <x v="86"/>
    <x v="6"/>
    <x v="0"/>
    <x v="3"/>
    <x v="3"/>
    <s v="Revenue"/>
    <n v="153275"/>
    <n v="158000"/>
  </r>
  <r>
    <x v="600"/>
    <x v="87"/>
    <x v="7"/>
    <x v="0"/>
    <x v="2"/>
    <x v="3"/>
    <s v="Revenue"/>
    <n v="160780"/>
    <n v="168600"/>
  </r>
  <r>
    <x v="601"/>
    <x v="87"/>
    <x v="0"/>
    <x v="0"/>
    <x v="0"/>
    <x v="10"/>
    <s v="Expense"/>
    <n v="73009"/>
    <n v="73700"/>
  </r>
  <r>
    <x v="602"/>
    <x v="87"/>
    <x v="1"/>
    <x v="0"/>
    <x v="1"/>
    <x v="5"/>
    <s v="Expense"/>
    <n v="61085"/>
    <n v="53800"/>
  </r>
  <r>
    <x v="603"/>
    <x v="87"/>
    <x v="5"/>
    <x v="0"/>
    <x v="3"/>
    <x v="10"/>
    <s v="Expense"/>
    <n v="20197"/>
    <n v="21700"/>
  </r>
  <r>
    <x v="604"/>
    <x v="87"/>
    <x v="5"/>
    <x v="0"/>
    <x v="3"/>
    <x v="0"/>
    <s v="Revenue"/>
    <n v="107060"/>
    <n v="99800"/>
  </r>
  <r>
    <x v="605"/>
    <x v="87"/>
    <x v="3"/>
    <x v="0"/>
    <x v="2"/>
    <x v="0"/>
    <s v="Revenue"/>
    <n v="38772"/>
    <n v="39700"/>
  </r>
  <r>
    <x v="606"/>
    <x v="87"/>
    <x v="4"/>
    <x v="0"/>
    <x v="1"/>
    <x v="4"/>
    <s v="Revenue"/>
    <n v="136889"/>
    <n v="143500"/>
  </r>
  <r>
    <x v="607"/>
    <x v="88"/>
    <x v="7"/>
    <x v="0"/>
    <x v="2"/>
    <x v="2"/>
    <s v="Revenue"/>
    <n v="153880"/>
    <n v="150500"/>
  </r>
  <r>
    <x v="608"/>
    <x v="88"/>
    <x v="0"/>
    <x v="0"/>
    <x v="0"/>
    <x v="0"/>
    <s v="Revenue"/>
    <n v="156532"/>
    <n v="133500"/>
  </r>
  <r>
    <x v="609"/>
    <x v="88"/>
    <x v="1"/>
    <x v="0"/>
    <x v="1"/>
    <x v="5"/>
    <s v="Expense"/>
    <n v="102538"/>
    <n v="99300"/>
  </r>
  <r>
    <x v="610"/>
    <x v="88"/>
    <x v="1"/>
    <x v="0"/>
    <x v="1"/>
    <x v="11"/>
    <s v="Revenue"/>
    <n v="70447"/>
    <n v="52500"/>
  </r>
  <r>
    <x v="611"/>
    <x v="88"/>
    <x v="3"/>
    <x v="0"/>
    <x v="2"/>
    <x v="11"/>
    <s v="Revenue"/>
    <n v="152939"/>
    <n v="151100"/>
  </r>
  <r>
    <x v="612"/>
    <x v="88"/>
    <x v="3"/>
    <x v="0"/>
    <x v="2"/>
    <x v="4"/>
    <s v="Revenue"/>
    <n v="182089"/>
    <n v="180600"/>
  </r>
  <r>
    <x v="613"/>
    <x v="88"/>
    <x v="4"/>
    <x v="0"/>
    <x v="1"/>
    <x v="8"/>
    <s v="Expense"/>
    <n v="46766"/>
    <n v="41900"/>
  </r>
  <r>
    <x v="614"/>
    <x v="89"/>
    <x v="7"/>
    <x v="0"/>
    <x v="2"/>
    <x v="7"/>
    <s v="Revenue"/>
    <n v="191237"/>
    <n v="176600"/>
  </r>
  <r>
    <x v="615"/>
    <x v="89"/>
    <x v="0"/>
    <x v="0"/>
    <x v="0"/>
    <x v="8"/>
    <s v="Expense"/>
    <n v="107564"/>
    <n v="105900"/>
  </r>
  <r>
    <x v="616"/>
    <x v="89"/>
    <x v="0"/>
    <x v="0"/>
    <x v="0"/>
    <x v="2"/>
    <s v="Revenue"/>
    <n v="65552"/>
    <n v="63200"/>
  </r>
  <r>
    <x v="617"/>
    <x v="89"/>
    <x v="1"/>
    <x v="0"/>
    <x v="1"/>
    <x v="1"/>
    <s v="Expense"/>
    <n v="113002"/>
    <n v="127900"/>
  </r>
  <r>
    <x v="618"/>
    <x v="89"/>
    <x v="1"/>
    <x v="0"/>
    <x v="1"/>
    <x v="5"/>
    <s v="Expense"/>
    <n v="86098"/>
    <n v="87700"/>
  </r>
  <r>
    <x v="619"/>
    <x v="89"/>
    <x v="1"/>
    <x v="0"/>
    <x v="1"/>
    <x v="5"/>
    <s v="Expense"/>
    <n v="70764"/>
    <n v="77800"/>
  </r>
  <r>
    <x v="620"/>
    <x v="89"/>
    <x v="1"/>
    <x v="0"/>
    <x v="1"/>
    <x v="3"/>
    <s v="Revenue"/>
    <n v="87563"/>
    <n v="83900"/>
  </r>
  <r>
    <x v="621"/>
    <x v="89"/>
    <x v="1"/>
    <x v="0"/>
    <x v="1"/>
    <x v="2"/>
    <s v="Revenue"/>
    <n v="102239"/>
    <n v="97400"/>
  </r>
  <r>
    <x v="622"/>
    <x v="89"/>
    <x v="5"/>
    <x v="0"/>
    <x v="3"/>
    <x v="10"/>
    <s v="Expense"/>
    <n v="16937"/>
    <n v="16900"/>
  </r>
  <r>
    <x v="623"/>
    <x v="89"/>
    <x v="2"/>
    <x v="0"/>
    <x v="2"/>
    <x v="8"/>
    <s v="Expense"/>
    <n v="76786"/>
    <n v="77600"/>
  </r>
  <r>
    <x v="624"/>
    <x v="89"/>
    <x v="2"/>
    <x v="0"/>
    <x v="2"/>
    <x v="2"/>
    <s v="Revenue"/>
    <n v="192672"/>
    <n v="194000"/>
  </r>
  <r>
    <x v="625"/>
    <x v="89"/>
    <x v="3"/>
    <x v="0"/>
    <x v="2"/>
    <x v="9"/>
    <s v="Expense"/>
    <n v="71347"/>
    <n v="71000"/>
  </r>
  <r>
    <x v="626"/>
    <x v="89"/>
    <x v="3"/>
    <x v="0"/>
    <x v="2"/>
    <x v="4"/>
    <s v="Revenue"/>
    <n v="73334"/>
    <n v="71200"/>
  </r>
  <r>
    <x v="627"/>
    <x v="89"/>
    <x v="4"/>
    <x v="0"/>
    <x v="1"/>
    <x v="1"/>
    <s v="Expense"/>
    <n v="59534"/>
    <n v="71100"/>
  </r>
  <r>
    <x v="628"/>
    <x v="89"/>
    <x v="6"/>
    <x v="0"/>
    <x v="3"/>
    <x v="9"/>
    <s v="Expense"/>
    <n v="43853"/>
    <n v="48000"/>
  </r>
  <r>
    <x v="629"/>
    <x v="90"/>
    <x v="7"/>
    <x v="0"/>
    <x v="2"/>
    <x v="11"/>
    <s v="Revenue"/>
    <n v="36957"/>
    <n v="39500"/>
  </r>
  <r>
    <x v="630"/>
    <x v="90"/>
    <x v="7"/>
    <x v="0"/>
    <x v="2"/>
    <x v="11"/>
    <s v="Revenue"/>
    <n v="128561"/>
    <n v="125800"/>
  </r>
  <r>
    <x v="631"/>
    <x v="90"/>
    <x v="0"/>
    <x v="0"/>
    <x v="0"/>
    <x v="7"/>
    <s v="Revenue"/>
    <n v="65085"/>
    <n v="62900"/>
  </r>
  <r>
    <x v="632"/>
    <x v="90"/>
    <x v="5"/>
    <x v="0"/>
    <x v="3"/>
    <x v="2"/>
    <s v="Revenue"/>
    <n v="180742"/>
    <n v="189000"/>
  </r>
  <r>
    <x v="633"/>
    <x v="90"/>
    <x v="5"/>
    <x v="0"/>
    <x v="3"/>
    <x v="7"/>
    <s v="Revenue"/>
    <n v="170188"/>
    <n v="172200"/>
  </r>
  <r>
    <x v="634"/>
    <x v="90"/>
    <x v="3"/>
    <x v="0"/>
    <x v="2"/>
    <x v="8"/>
    <s v="Expense"/>
    <n v="57205"/>
    <n v="55900"/>
  </r>
  <r>
    <x v="635"/>
    <x v="90"/>
    <x v="3"/>
    <x v="0"/>
    <x v="2"/>
    <x v="3"/>
    <s v="Revenue"/>
    <n v="200352"/>
    <n v="195000"/>
  </r>
  <r>
    <x v="636"/>
    <x v="90"/>
    <x v="3"/>
    <x v="0"/>
    <x v="2"/>
    <x v="4"/>
    <s v="Revenue"/>
    <n v="48581"/>
    <n v="49700"/>
  </r>
  <r>
    <x v="637"/>
    <x v="90"/>
    <x v="6"/>
    <x v="0"/>
    <x v="3"/>
    <x v="9"/>
    <s v="Expense"/>
    <n v="15729"/>
    <n v="14400"/>
  </r>
  <r>
    <x v="638"/>
    <x v="90"/>
    <x v="6"/>
    <x v="0"/>
    <x v="3"/>
    <x v="9"/>
    <s v="Expense"/>
    <n v="50795"/>
    <n v="53900"/>
  </r>
  <r>
    <x v="639"/>
    <x v="91"/>
    <x v="7"/>
    <x v="0"/>
    <x v="2"/>
    <x v="11"/>
    <s v="Revenue"/>
    <n v="244629"/>
    <n v="277600"/>
  </r>
  <r>
    <x v="640"/>
    <x v="91"/>
    <x v="1"/>
    <x v="0"/>
    <x v="1"/>
    <x v="8"/>
    <s v="Expense"/>
    <n v="58007"/>
    <n v="52100"/>
  </r>
  <r>
    <x v="641"/>
    <x v="91"/>
    <x v="1"/>
    <x v="0"/>
    <x v="1"/>
    <x v="9"/>
    <s v="Expense"/>
    <n v="105740"/>
    <n v="109200"/>
  </r>
  <r>
    <x v="642"/>
    <x v="91"/>
    <x v="5"/>
    <x v="0"/>
    <x v="3"/>
    <x v="9"/>
    <s v="Expense"/>
    <n v="86959"/>
    <n v="77200"/>
  </r>
  <r>
    <x v="643"/>
    <x v="91"/>
    <x v="2"/>
    <x v="0"/>
    <x v="2"/>
    <x v="1"/>
    <s v="Expense"/>
    <n v="88958"/>
    <n v="102000"/>
  </r>
  <r>
    <x v="644"/>
    <x v="91"/>
    <x v="2"/>
    <x v="0"/>
    <x v="2"/>
    <x v="5"/>
    <s v="Expense"/>
    <n v="65010"/>
    <n v="54100"/>
  </r>
  <r>
    <x v="645"/>
    <x v="91"/>
    <x v="3"/>
    <x v="0"/>
    <x v="2"/>
    <x v="3"/>
    <s v="Revenue"/>
    <n v="82742"/>
    <n v="75300"/>
  </r>
  <r>
    <x v="646"/>
    <x v="91"/>
    <x v="3"/>
    <x v="0"/>
    <x v="2"/>
    <x v="2"/>
    <s v="Revenue"/>
    <n v="94911"/>
    <n v="88900"/>
  </r>
  <r>
    <x v="647"/>
    <x v="91"/>
    <x v="4"/>
    <x v="0"/>
    <x v="1"/>
    <x v="7"/>
    <s v="Revenue"/>
    <n v="43787"/>
    <n v="44600"/>
  </r>
  <r>
    <x v="648"/>
    <x v="91"/>
    <x v="6"/>
    <x v="0"/>
    <x v="3"/>
    <x v="11"/>
    <s v="Revenue"/>
    <n v="149422"/>
    <n v="159500"/>
  </r>
  <r>
    <x v="649"/>
    <x v="92"/>
    <x v="7"/>
    <x v="0"/>
    <x v="2"/>
    <x v="10"/>
    <s v="Expense"/>
    <n v="72980"/>
    <n v="71900"/>
  </r>
  <r>
    <x v="650"/>
    <x v="92"/>
    <x v="7"/>
    <x v="0"/>
    <x v="2"/>
    <x v="11"/>
    <s v="Revenue"/>
    <n v="200141"/>
    <n v="210600"/>
  </r>
  <r>
    <x v="651"/>
    <x v="92"/>
    <x v="7"/>
    <x v="0"/>
    <x v="2"/>
    <x v="0"/>
    <s v="Revenue"/>
    <n v="188953"/>
    <n v="186700"/>
  </r>
  <r>
    <x v="652"/>
    <x v="92"/>
    <x v="2"/>
    <x v="0"/>
    <x v="2"/>
    <x v="2"/>
    <s v="Revenue"/>
    <n v="238894"/>
    <n v="239000"/>
  </r>
  <r>
    <x v="653"/>
    <x v="92"/>
    <x v="3"/>
    <x v="0"/>
    <x v="2"/>
    <x v="10"/>
    <s v="Expense"/>
    <n v="51368"/>
    <n v="43700"/>
  </r>
  <r>
    <x v="654"/>
    <x v="92"/>
    <x v="4"/>
    <x v="0"/>
    <x v="1"/>
    <x v="7"/>
    <s v="Revenue"/>
    <n v="135460"/>
    <n v="140000"/>
  </r>
  <r>
    <x v="655"/>
    <x v="92"/>
    <x v="6"/>
    <x v="0"/>
    <x v="3"/>
    <x v="7"/>
    <s v="Revenue"/>
    <n v="175987"/>
    <n v="159100"/>
  </r>
  <r>
    <x v="656"/>
    <x v="93"/>
    <x v="0"/>
    <x v="0"/>
    <x v="0"/>
    <x v="5"/>
    <s v="Expense"/>
    <n v="42799"/>
    <n v="52700"/>
  </r>
  <r>
    <x v="657"/>
    <x v="93"/>
    <x v="0"/>
    <x v="0"/>
    <x v="0"/>
    <x v="5"/>
    <s v="Expense"/>
    <n v="40081"/>
    <n v="46700"/>
  </r>
  <r>
    <x v="658"/>
    <x v="93"/>
    <x v="0"/>
    <x v="0"/>
    <x v="0"/>
    <x v="7"/>
    <s v="Revenue"/>
    <n v="227556"/>
    <n v="216200"/>
  </r>
  <r>
    <x v="659"/>
    <x v="93"/>
    <x v="0"/>
    <x v="0"/>
    <x v="0"/>
    <x v="3"/>
    <s v="Revenue"/>
    <n v="194948"/>
    <n v="216600"/>
  </r>
  <r>
    <x v="660"/>
    <x v="93"/>
    <x v="0"/>
    <x v="0"/>
    <x v="0"/>
    <x v="7"/>
    <s v="Revenue"/>
    <n v="74314"/>
    <n v="77300"/>
  </r>
  <r>
    <x v="661"/>
    <x v="93"/>
    <x v="1"/>
    <x v="0"/>
    <x v="1"/>
    <x v="6"/>
    <s v="Expense"/>
    <n v="78807"/>
    <n v="76200"/>
  </r>
  <r>
    <x v="662"/>
    <x v="93"/>
    <x v="1"/>
    <x v="0"/>
    <x v="1"/>
    <x v="10"/>
    <s v="Expense"/>
    <n v="15704"/>
    <n v="19400"/>
  </r>
  <r>
    <x v="663"/>
    <x v="93"/>
    <x v="1"/>
    <x v="0"/>
    <x v="1"/>
    <x v="7"/>
    <s v="Revenue"/>
    <n v="82203"/>
    <n v="85300"/>
  </r>
  <r>
    <x v="664"/>
    <x v="93"/>
    <x v="5"/>
    <x v="0"/>
    <x v="3"/>
    <x v="10"/>
    <s v="Expense"/>
    <n v="29363"/>
    <n v="32400"/>
  </r>
  <r>
    <x v="665"/>
    <x v="93"/>
    <x v="5"/>
    <x v="0"/>
    <x v="3"/>
    <x v="1"/>
    <s v="Expense"/>
    <n v="40098"/>
    <n v="30900"/>
  </r>
  <r>
    <x v="666"/>
    <x v="93"/>
    <x v="2"/>
    <x v="0"/>
    <x v="2"/>
    <x v="9"/>
    <s v="Expense"/>
    <n v="70047"/>
    <n v="68900"/>
  </r>
  <r>
    <x v="667"/>
    <x v="93"/>
    <x v="3"/>
    <x v="0"/>
    <x v="2"/>
    <x v="11"/>
    <s v="Revenue"/>
    <n v="188324"/>
    <n v="187500"/>
  </r>
  <r>
    <x v="668"/>
    <x v="93"/>
    <x v="4"/>
    <x v="0"/>
    <x v="1"/>
    <x v="11"/>
    <s v="Revenue"/>
    <n v="109160"/>
    <n v="115200"/>
  </r>
  <r>
    <x v="669"/>
    <x v="93"/>
    <x v="4"/>
    <x v="0"/>
    <x v="1"/>
    <x v="11"/>
    <s v="Revenue"/>
    <n v="111579"/>
    <n v="107400"/>
  </r>
  <r>
    <x v="670"/>
    <x v="93"/>
    <x v="6"/>
    <x v="0"/>
    <x v="3"/>
    <x v="1"/>
    <s v="Expense"/>
    <n v="70361"/>
    <n v="82900"/>
  </r>
  <r>
    <x v="671"/>
    <x v="94"/>
    <x v="1"/>
    <x v="0"/>
    <x v="1"/>
    <x v="1"/>
    <s v="Expense"/>
    <n v="45497"/>
    <n v="40400"/>
  </r>
  <r>
    <x v="672"/>
    <x v="94"/>
    <x v="5"/>
    <x v="0"/>
    <x v="3"/>
    <x v="9"/>
    <s v="Expense"/>
    <n v="60829"/>
    <n v="67000"/>
  </r>
  <r>
    <x v="673"/>
    <x v="94"/>
    <x v="3"/>
    <x v="0"/>
    <x v="2"/>
    <x v="10"/>
    <s v="Expense"/>
    <n v="33768"/>
    <n v="35200"/>
  </r>
  <r>
    <x v="674"/>
    <x v="95"/>
    <x v="2"/>
    <x v="0"/>
    <x v="2"/>
    <x v="5"/>
    <s v="Expense"/>
    <n v="13195"/>
    <n v="13500"/>
  </r>
  <r>
    <x v="675"/>
    <x v="95"/>
    <x v="3"/>
    <x v="0"/>
    <x v="2"/>
    <x v="1"/>
    <s v="Expense"/>
    <n v="46728"/>
    <n v="49600"/>
  </r>
  <r>
    <x v="676"/>
    <x v="95"/>
    <x v="4"/>
    <x v="0"/>
    <x v="1"/>
    <x v="6"/>
    <s v="Expense"/>
    <n v="89123"/>
    <n v="95000"/>
  </r>
  <r>
    <x v="677"/>
    <x v="95"/>
    <x v="6"/>
    <x v="0"/>
    <x v="3"/>
    <x v="11"/>
    <s v="Revenue"/>
    <n v="145648"/>
    <n v="160900"/>
  </r>
  <r>
    <x v="678"/>
    <x v="95"/>
    <x v="6"/>
    <x v="0"/>
    <x v="3"/>
    <x v="7"/>
    <s v="Revenue"/>
    <n v="74761"/>
    <n v="73900"/>
  </r>
  <r>
    <x v="679"/>
    <x v="96"/>
    <x v="1"/>
    <x v="0"/>
    <x v="1"/>
    <x v="10"/>
    <s v="Expense"/>
    <n v="60036"/>
    <n v="75300"/>
  </r>
  <r>
    <x v="680"/>
    <x v="96"/>
    <x v="1"/>
    <x v="0"/>
    <x v="1"/>
    <x v="9"/>
    <s v="Expense"/>
    <n v="43998"/>
    <n v="46500"/>
  </r>
  <r>
    <x v="681"/>
    <x v="96"/>
    <x v="2"/>
    <x v="0"/>
    <x v="2"/>
    <x v="10"/>
    <s v="Expense"/>
    <n v="94527"/>
    <n v="85900"/>
  </r>
  <r>
    <x v="682"/>
    <x v="96"/>
    <x v="3"/>
    <x v="0"/>
    <x v="2"/>
    <x v="5"/>
    <s v="Expense"/>
    <n v="91411"/>
    <n v="81800"/>
  </r>
  <r>
    <x v="683"/>
    <x v="96"/>
    <x v="4"/>
    <x v="0"/>
    <x v="1"/>
    <x v="10"/>
    <s v="Expense"/>
    <n v="94293"/>
    <n v="85000"/>
  </r>
  <r>
    <x v="684"/>
    <x v="97"/>
    <x v="2"/>
    <x v="0"/>
    <x v="2"/>
    <x v="8"/>
    <s v="Expense"/>
    <n v="118820"/>
    <n v="118500"/>
  </r>
  <r>
    <x v="685"/>
    <x v="97"/>
    <x v="4"/>
    <x v="0"/>
    <x v="1"/>
    <x v="7"/>
    <s v="Revenue"/>
    <n v="112078"/>
    <n v="107600"/>
  </r>
  <r>
    <x v="686"/>
    <x v="98"/>
    <x v="1"/>
    <x v="0"/>
    <x v="1"/>
    <x v="8"/>
    <s v="Expense"/>
    <n v="107251"/>
    <n v="102200"/>
  </r>
  <r>
    <x v="687"/>
    <x v="98"/>
    <x v="5"/>
    <x v="0"/>
    <x v="3"/>
    <x v="10"/>
    <s v="Expense"/>
    <n v="90897"/>
    <n v="95200"/>
  </r>
  <r>
    <x v="688"/>
    <x v="98"/>
    <x v="5"/>
    <x v="0"/>
    <x v="3"/>
    <x v="2"/>
    <s v="Revenue"/>
    <n v="152336"/>
    <n v="168300"/>
  </r>
  <r>
    <x v="689"/>
    <x v="98"/>
    <x v="2"/>
    <x v="0"/>
    <x v="2"/>
    <x v="4"/>
    <s v="Revenue"/>
    <n v="114356"/>
    <n v="112200"/>
  </r>
  <r>
    <x v="690"/>
    <x v="98"/>
    <x v="3"/>
    <x v="0"/>
    <x v="2"/>
    <x v="11"/>
    <s v="Revenue"/>
    <n v="186721"/>
    <n v="178300"/>
  </r>
  <r>
    <x v="691"/>
    <x v="98"/>
    <x v="6"/>
    <x v="0"/>
    <x v="3"/>
    <x v="11"/>
    <s v="Revenue"/>
    <n v="115729"/>
    <n v="100100"/>
  </r>
  <r>
    <x v="692"/>
    <x v="99"/>
    <x v="7"/>
    <x v="0"/>
    <x v="2"/>
    <x v="4"/>
    <s v="Revenue"/>
    <n v="188216"/>
    <n v="177200"/>
  </r>
  <r>
    <x v="693"/>
    <x v="99"/>
    <x v="0"/>
    <x v="0"/>
    <x v="0"/>
    <x v="0"/>
    <s v="Revenue"/>
    <n v="194821"/>
    <n v="186900"/>
  </r>
  <r>
    <x v="694"/>
    <x v="99"/>
    <x v="1"/>
    <x v="0"/>
    <x v="1"/>
    <x v="2"/>
    <s v="Revenue"/>
    <n v="143576"/>
    <n v="145700"/>
  </r>
  <r>
    <x v="695"/>
    <x v="99"/>
    <x v="5"/>
    <x v="0"/>
    <x v="3"/>
    <x v="9"/>
    <s v="Expense"/>
    <n v="72828"/>
    <n v="69600"/>
  </r>
  <r>
    <x v="696"/>
    <x v="99"/>
    <x v="3"/>
    <x v="0"/>
    <x v="2"/>
    <x v="0"/>
    <s v="Revenue"/>
    <n v="174569"/>
    <n v="180000"/>
  </r>
  <r>
    <x v="697"/>
    <x v="99"/>
    <x v="4"/>
    <x v="0"/>
    <x v="1"/>
    <x v="6"/>
    <s v="Expense"/>
    <n v="97833"/>
    <n v="89700"/>
  </r>
  <r>
    <x v="698"/>
    <x v="99"/>
    <x v="4"/>
    <x v="0"/>
    <x v="1"/>
    <x v="10"/>
    <s v="Expense"/>
    <n v="56897"/>
    <n v="54500"/>
  </r>
  <r>
    <x v="699"/>
    <x v="99"/>
    <x v="6"/>
    <x v="0"/>
    <x v="3"/>
    <x v="1"/>
    <s v="Expense"/>
    <n v="100920"/>
    <n v="106900"/>
  </r>
  <r>
    <x v="700"/>
    <x v="100"/>
    <x v="1"/>
    <x v="0"/>
    <x v="1"/>
    <x v="8"/>
    <s v="Expense"/>
    <n v="99266"/>
    <n v="84100"/>
  </r>
  <r>
    <x v="701"/>
    <x v="100"/>
    <x v="5"/>
    <x v="0"/>
    <x v="3"/>
    <x v="11"/>
    <s v="Revenue"/>
    <n v="117991"/>
    <n v="124100"/>
  </r>
  <r>
    <x v="702"/>
    <x v="100"/>
    <x v="2"/>
    <x v="0"/>
    <x v="2"/>
    <x v="11"/>
    <s v="Revenue"/>
    <n v="168965"/>
    <n v="193900"/>
  </r>
  <r>
    <x v="703"/>
    <x v="100"/>
    <x v="4"/>
    <x v="0"/>
    <x v="1"/>
    <x v="4"/>
    <s v="Revenue"/>
    <n v="170849"/>
    <n v="187000"/>
  </r>
  <r>
    <x v="704"/>
    <x v="100"/>
    <x v="4"/>
    <x v="0"/>
    <x v="1"/>
    <x v="0"/>
    <s v="Revenue"/>
    <n v="113502"/>
    <n v="119700"/>
  </r>
  <r>
    <x v="705"/>
    <x v="100"/>
    <x v="4"/>
    <x v="0"/>
    <x v="1"/>
    <x v="0"/>
    <s v="Revenue"/>
    <n v="89031"/>
    <n v="84300"/>
  </r>
  <r>
    <x v="706"/>
    <x v="100"/>
    <x v="6"/>
    <x v="0"/>
    <x v="3"/>
    <x v="8"/>
    <s v="Expense"/>
    <n v="65846"/>
    <n v="62200"/>
  </r>
  <r>
    <x v="707"/>
    <x v="100"/>
    <x v="6"/>
    <x v="0"/>
    <x v="3"/>
    <x v="3"/>
    <s v="Revenue"/>
    <n v="94880"/>
    <n v="102700"/>
  </r>
  <r>
    <x v="708"/>
    <x v="100"/>
    <x v="6"/>
    <x v="0"/>
    <x v="3"/>
    <x v="3"/>
    <s v="Revenue"/>
    <n v="194319"/>
    <n v="211900"/>
  </r>
  <r>
    <x v="709"/>
    <x v="101"/>
    <x v="7"/>
    <x v="0"/>
    <x v="2"/>
    <x v="10"/>
    <s v="Expense"/>
    <n v="95829"/>
    <n v="103500"/>
  </r>
  <r>
    <x v="710"/>
    <x v="101"/>
    <x v="0"/>
    <x v="0"/>
    <x v="0"/>
    <x v="4"/>
    <s v="Revenue"/>
    <n v="226642"/>
    <n v="223000"/>
  </r>
  <r>
    <x v="711"/>
    <x v="101"/>
    <x v="0"/>
    <x v="0"/>
    <x v="0"/>
    <x v="11"/>
    <s v="Revenue"/>
    <n v="160236"/>
    <n v="186800"/>
  </r>
  <r>
    <x v="712"/>
    <x v="101"/>
    <x v="1"/>
    <x v="0"/>
    <x v="1"/>
    <x v="11"/>
    <s v="Revenue"/>
    <n v="95271"/>
    <n v="97600"/>
  </r>
  <r>
    <x v="713"/>
    <x v="101"/>
    <x v="5"/>
    <x v="0"/>
    <x v="3"/>
    <x v="5"/>
    <s v="Expense"/>
    <n v="80550"/>
    <n v="76900"/>
  </r>
  <r>
    <x v="714"/>
    <x v="101"/>
    <x v="2"/>
    <x v="0"/>
    <x v="2"/>
    <x v="6"/>
    <s v="Expense"/>
    <n v="92803"/>
    <n v="96700"/>
  </r>
  <r>
    <x v="715"/>
    <x v="101"/>
    <x v="2"/>
    <x v="0"/>
    <x v="2"/>
    <x v="11"/>
    <s v="Revenue"/>
    <n v="144819"/>
    <n v="157100"/>
  </r>
  <r>
    <x v="716"/>
    <x v="101"/>
    <x v="6"/>
    <x v="0"/>
    <x v="3"/>
    <x v="11"/>
    <s v="Revenue"/>
    <n v="178696"/>
    <n v="175000"/>
  </r>
  <r>
    <x v="717"/>
    <x v="101"/>
    <x v="6"/>
    <x v="0"/>
    <x v="3"/>
    <x v="0"/>
    <s v="Revenue"/>
    <n v="25508"/>
    <n v="24400"/>
  </r>
  <r>
    <x v="718"/>
    <x v="101"/>
    <x v="6"/>
    <x v="0"/>
    <x v="3"/>
    <x v="2"/>
    <s v="Revenue"/>
    <n v="218539"/>
    <n v="234600"/>
  </r>
  <r>
    <x v="719"/>
    <x v="102"/>
    <x v="7"/>
    <x v="0"/>
    <x v="2"/>
    <x v="6"/>
    <s v="Expense"/>
    <n v="39517"/>
    <n v="39700"/>
  </r>
  <r>
    <x v="720"/>
    <x v="102"/>
    <x v="1"/>
    <x v="0"/>
    <x v="1"/>
    <x v="10"/>
    <s v="Expense"/>
    <n v="56757"/>
    <n v="63000"/>
  </r>
  <r>
    <x v="721"/>
    <x v="102"/>
    <x v="1"/>
    <x v="0"/>
    <x v="1"/>
    <x v="8"/>
    <s v="Expense"/>
    <n v="59653"/>
    <n v="63500"/>
  </r>
  <r>
    <x v="722"/>
    <x v="102"/>
    <x v="1"/>
    <x v="0"/>
    <x v="1"/>
    <x v="0"/>
    <s v="Revenue"/>
    <n v="150326"/>
    <n v="162800"/>
  </r>
  <r>
    <x v="723"/>
    <x v="102"/>
    <x v="1"/>
    <x v="0"/>
    <x v="1"/>
    <x v="7"/>
    <s v="Revenue"/>
    <n v="74903"/>
    <n v="72400"/>
  </r>
  <r>
    <x v="724"/>
    <x v="102"/>
    <x v="4"/>
    <x v="0"/>
    <x v="1"/>
    <x v="10"/>
    <s v="Expense"/>
    <n v="55239"/>
    <n v="58200"/>
  </r>
  <r>
    <x v="725"/>
    <x v="102"/>
    <x v="4"/>
    <x v="0"/>
    <x v="1"/>
    <x v="4"/>
    <s v="Revenue"/>
    <n v="202700"/>
    <n v="184900"/>
  </r>
  <r>
    <x v="726"/>
    <x v="103"/>
    <x v="7"/>
    <x v="0"/>
    <x v="2"/>
    <x v="6"/>
    <s v="Expense"/>
    <n v="59603"/>
    <n v="57500"/>
  </r>
  <r>
    <x v="727"/>
    <x v="103"/>
    <x v="7"/>
    <x v="0"/>
    <x v="2"/>
    <x v="3"/>
    <s v="Revenue"/>
    <n v="74139"/>
    <n v="72000"/>
  </r>
  <r>
    <x v="728"/>
    <x v="103"/>
    <x v="0"/>
    <x v="0"/>
    <x v="0"/>
    <x v="11"/>
    <s v="Revenue"/>
    <n v="221166"/>
    <n v="249700"/>
  </r>
  <r>
    <x v="729"/>
    <x v="103"/>
    <x v="5"/>
    <x v="0"/>
    <x v="3"/>
    <x v="1"/>
    <s v="Expense"/>
    <n v="23261"/>
    <n v="24700"/>
  </r>
  <r>
    <x v="730"/>
    <x v="103"/>
    <x v="2"/>
    <x v="0"/>
    <x v="2"/>
    <x v="5"/>
    <s v="Expense"/>
    <n v="76506"/>
    <n v="69800"/>
  </r>
  <r>
    <x v="731"/>
    <x v="103"/>
    <x v="3"/>
    <x v="0"/>
    <x v="2"/>
    <x v="11"/>
    <s v="Revenue"/>
    <n v="215903"/>
    <n v="231000"/>
  </r>
  <r>
    <x v="732"/>
    <x v="103"/>
    <x v="4"/>
    <x v="0"/>
    <x v="1"/>
    <x v="6"/>
    <s v="Expense"/>
    <n v="68165"/>
    <n v="67000"/>
  </r>
  <r>
    <x v="733"/>
    <x v="103"/>
    <x v="4"/>
    <x v="0"/>
    <x v="1"/>
    <x v="4"/>
    <s v="Revenue"/>
    <n v="149670"/>
    <n v="165700"/>
  </r>
  <r>
    <x v="734"/>
    <x v="103"/>
    <x v="4"/>
    <x v="0"/>
    <x v="1"/>
    <x v="0"/>
    <s v="Revenue"/>
    <n v="76989"/>
    <n v="73900"/>
  </r>
  <r>
    <x v="735"/>
    <x v="104"/>
    <x v="7"/>
    <x v="0"/>
    <x v="2"/>
    <x v="8"/>
    <s v="Expense"/>
    <n v="85772"/>
    <n v="76200"/>
  </r>
  <r>
    <x v="736"/>
    <x v="104"/>
    <x v="1"/>
    <x v="0"/>
    <x v="1"/>
    <x v="7"/>
    <s v="Revenue"/>
    <n v="136756"/>
    <n v="146500"/>
  </r>
  <r>
    <x v="737"/>
    <x v="104"/>
    <x v="5"/>
    <x v="0"/>
    <x v="3"/>
    <x v="2"/>
    <s v="Revenue"/>
    <n v="178754"/>
    <n v="175300"/>
  </r>
  <r>
    <x v="738"/>
    <x v="104"/>
    <x v="2"/>
    <x v="0"/>
    <x v="2"/>
    <x v="8"/>
    <s v="Expense"/>
    <n v="98310"/>
    <n v="113900"/>
  </r>
  <r>
    <x v="739"/>
    <x v="104"/>
    <x v="3"/>
    <x v="0"/>
    <x v="2"/>
    <x v="0"/>
    <s v="Revenue"/>
    <n v="161846"/>
    <n v="137500"/>
  </r>
  <r>
    <x v="740"/>
    <x v="104"/>
    <x v="4"/>
    <x v="0"/>
    <x v="1"/>
    <x v="10"/>
    <s v="Expense"/>
    <n v="14570"/>
    <n v="15200"/>
  </r>
  <r>
    <x v="741"/>
    <x v="104"/>
    <x v="4"/>
    <x v="0"/>
    <x v="1"/>
    <x v="6"/>
    <s v="Expense"/>
    <n v="69925"/>
    <n v="70200"/>
  </r>
  <r>
    <x v="742"/>
    <x v="105"/>
    <x v="0"/>
    <x v="0"/>
    <x v="0"/>
    <x v="0"/>
    <s v="Revenue"/>
    <n v="205377"/>
    <n v="215900"/>
  </r>
  <r>
    <x v="743"/>
    <x v="105"/>
    <x v="1"/>
    <x v="0"/>
    <x v="1"/>
    <x v="10"/>
    <s v="Expense"/>
    <n v="103118"/>
    <n v="108000"/>
  </r>
  <r>
    <x v="744"/>
    <x v="105"/>
    <x v="5"/>
    <x v="0"/>
    <x v="3"/>
    <x v="8"/>
    <s v="Expense"/>
    <n v="82007"/>
    <n v="75400"/>
  </r>
  <r>
    <x v="745"/>
    <x v="105"/>
    <x v="2"/>
    <x v="0"/>
    <x v="2"/>
    <x v="0"/>
    <s v="Revenue"/>
    <n v="36010"/>
    <n v="38700"/>
  </r>
  <r>
    <x v="746"/>
    <x v="105"/>
    <x v="4"/>
    <x v="0"/>
    <x v="1"/>
    <x v="1"/>
    <s v="Expense"/>
    <n v="23616"/>
    <n v="24500"/>
  </r>
  <r>
    <x v="747"/>
    <x v="106"/>
    <x v="7"/>
    <x v="0"/>
    <x v="2"/>
    <x v="1"/>
    <s v="Expense"/>
    <n v="80840"/>
    <n v="73800"/>
  </r>
  <r>
    <x v="748"/>
    <x v="106"/>
    <x v="5"/>
    <x v="0"/>
    <x v="3"/>
    <x v="4"/>
    <s v="Revenue"/>
    <n v="181204"/>
    <n v="204500"/>
  </r>
  <r>
    <x v="749"/>
    <x v="106"/>
    <x v="5"/>
    <x v="0"/>
    <x v="3"/>
    <x v="7"/>
    <s v="Revenue"/>
    <n v="71062"/>
    <n v="66100"/>
  </r>
  <r>
    <x v="750"/>
    <x v="106"/>
    <x v="5"/>
    <x v="0"/>
    <x v="3"/>
    <x v="0"/>
    <s v="Revenue"/>
    <n v="115060"/>
    <n v="115100"/>
  </r>
  <r>
    <x v="751"/>
    <x v="106"/>
    <x v="3"/>
    <x v="0"/>
    <x v="2"/>
    <x v="0"/>
    <s v="Revenue"/>
    <n v="75838"/>
    <n v="80800"/>
  </r>
  <r>
    <x v="752"/>
    <x v="106"/>
    <x v="3"/>
    <x v="0"/>
    <x v="2"/>
    <x v="0"/>
    <s v="Revenue"/>
    <n v="67602"/>
    <n v="72900"/>
  </r>
  <r>
    <x v="753"/>
    <x v="106"/>
    <x v="3"/>
    <x v="0"/>
    <x v="2"/>
    <x v="4"/>
    <s v="Revenue"/>
    <n v="203150"/>
    <n v="198400"/>
  </r>
  <r>
    <x v="754"/>
    <x v="106"/>
    <x v="4"/>
    <x v="0"/>
    <x v="1"/>
    <x v="6"/>
    <s v="Expense"/>
    <n v="43565"/>
    <n v="43900"/>
  </r>
  <r>
    <x v="755"/>
    <x v="106"/>
    <x v="4"/>
    <x v="0"/>
    <x v="1"/>
    <x v="6"/>
    <s v="Expense"/>
    <n v="116321"/>
    <n v="113600"/>
  </r>
  <r>
    <x v="756"/>
    <x v="107"/>
    <x v="7"/>
    <x v="0"/>
    <x v="2"/>
    <x v="8"/>
    <s v="Expense"/>
    <n v="99184"/>
    <n v="93500"/>
  </r>
  <r>
    <x v="757"/>
    <x v="107"/>
    <x v="7"/>
    <x v="0"/>
    <x v="2"/>
    <x v="0"/>
    <s v="Revenue"/>
    <n v="163645"/>
    <n v="161500"/>
  </r>
  <r>
    <x v="758"/>
    <x v="107"/>
    <x v="7"/>
    <x v="0"/>
    <x v="2"/>
    <x v="3"/>
    <s v="Revenue"/>
    <n v="29949"/>
    <n v="30400"/>
  </r>
  <r>
    <x v="759"/>
    <x v="107"/>
    <x v="1"/>
    <x v="0"/>
    <x v="1"/>
    <x v="10"/>
    <s v="Expense"/>
    <n v="46093"/>
    <n v="49900"/>
  </r>
  <r>
    <x v="760"/>
    <x v="107"/>
    <x v="3"/>
    <x v="0"/>
    <x v="2"/>
    <x v="1"/>
    <s v="Expense"/>
    <n v="12774"/>
    <n v="10700"/>
  </r>
  <r>
    <x v="761"/>
    <x v="107"/>
    <x v="3"/>
    <x v="0"/>
    <x v="2"/>
    <x v="1"/>
    <s v="Expense"/>
    <n v="48782"/>
    <n v="50800"/>
  </r>
  <r>
    <x v="762"/>
    <x v="107"/>
    <x v="6"/>
    <x v="0"/>
    <x v="3"/>
    <x v="0"/>
    <s v="Revenue"/>
    <n v="149211"/>
    <n v="132100"/>
  </r>
  <r>
    <x v="763"/>
    <x v="108"/>
    <x v="0"/>
    <x v="0"/>
    <x v="0"/>
    <x v="9"/>
    <s v="Expense"/>
    <n v="100074"/>
    <n v="98200"/>
  </r>
  <r>
    <x v="764"/>
    <x v="108"/>
    <x v="1"/>
    <x v="0"/>
    <x v="1"/>
    <x v="10"/>
    <s v="Expense"/>
    <n v="46811"/>
    <n v="42100"/>
  </r>
  <r>
    <x v="765"/>
    <x v="108"/>
    <x v="5"/>
    <x v="0"/>
    <x v="3"/>
    <x v="5"/>
    <s v="Expense"/>
    <n v="53957"/>
    <n v="47400"/>
  </r>
  <r>
    <x v="766"/>
    <x v="108"/>
    <x v="2"/>
    <x v="0"/>
    <x v="2"/>
    <x v="10"/>
    <s v="Expense"/>
    <n v="108764"/>
    <n v="91900"/>
  </r>
  <r>
    <x v="767"/>
    <x v="108"/>
    <x v="3"/>
    <x v="0"/>
    <x v="2"/>
    <x v="1"/>
    <s v="Expense"/>
    <n v="64201"/>
    <n v="58100"/>
  </r>
  <r>
    <x v="768"/>
    <x v="108"/>
    <x v="3"/>
    <x v="0"/>
    <x v="2"/>
    <x v="0"/>
    <s v="Revenue"/>
    <n v="246737"/>
    <n v="277600"/>
  </r>
  <r>
    <x v="769"/>
    <x v="108"/>
    <x v="4"/>
    <x v="0"/>
    <x v="1"/>
    <x v="10"/>
    <s v="Expense"/>
    <n v="93018"/>
    <n v="94300"/>
  </r>
  <r>
    <x v="770"/>
    <x v="108"/>
    <x v="4"/>
    <x v="0"/>
    <x v="1"/>
    <x v="4"/>
    <s v="Revenue"/>
    <n v="212959"/>
    <n v="222000"/>
  </r>
  <r>
    <x v="771"/>
    <x v="108"/>
    <x v="6"/>
    <x v="0"/>
    <x v="3"/>
    <x v="9"/>
    <s v="Expense"/>
    <n v="80481"/>
    <n v="84100"/>
  </r>
  <r>
    <x v="772"/>
    <x v="109"/>
    <x v="7"/>
    <x v="0"/>
    <x v="2"/>
    <x v="9"/>
    <s v="Expense"/>
    <n v="38667"/>
    <n v="36700"/>
  </r>
  <r>
    <x v="773"/>
    <x v="109"/>
    <x v="7"/>
    <x v="0"/>
    <x v="2"/>
    <x v="7"/>
    <s v="Revenue"/>
    <n v="123586"/>
    <n v="116500"/>
  </r>
  <r>
    <x v="774"/>
    <x v="109"/>
    <x v="7"/>
    <x v="0"/>
    <x v="2"/>
    <x v="4"/>
    <s v="Revenue"/>
    <n v="107023"/>
    <n v="112800"/>
  </r>
  <r>
    <x v="775"/>
    <x v="109"/>
    <x v="7"/>
    <x v="0"/>
    <x v="2"/>
    <x v="3"/>
    <s v="Revenue"/>
    <n v="138205"/>
    <n v="150200"/>
  </r>
  <r>
    <x v="776"/>
    <x v="109"/>
    <x v="1"/>
    <x v="0"/>
    <x v="1"/>
    <x v="10"/>
    <s v="Expense"/>
    <n v="48754"/>
    <n v="51500"/>
  </r>
  <r>
    <x v="777"/>
    <x v="109"/>
    <x v="1"/>
    <x v="0"/>
    <x v="1"/>
    <x v="4"/>
    <s v="Revenue"/>
    <n v="58687"/>
    <n v="56000"/>
  </r>
  <r>
    <x v="778"/>
    <x v="109"/>
    <x v="5"/>
    <x v="0"/>
    <x v="3"/>
    <x v="9"/>
    <s v="Expense"/>
    <n v="90669"/>
    <n v="93600"/>
  </r>
  <r>
    <x v="779"/>
    <x v="109"/>
    <x v="5"/>
    <x v="0"/>
    <x v="3"/>
    <x v="8"/>
    <s v="Expense"/>
    <n v="86065"/>
    <n v="78100"/>
  </r>
  <r>
    <x v="780"/>
    <x v="109"/>
    <x v="5"/>
    <x v="0"/>
    <x v="3"/>
    <x v="11"/>
    <s v="Revenue"/>
    <n v="214606"/>
    <n v="190100"/>
  </r>
  <r>
    <x v="781"/>
    <x v="109"/>
    <x v="3"/>
    <x v="0"/>
    <x v="2"/>
    <x v="6"/>
    <s v="Expense"/>
    <n v="52914"/>
    <n v="51400"/>
  </r>
  <r>
    <x v="782"/>
    <x v="109"/>
    <x v="6"/>
    <x v="0"/>
    <x v="3"/>
    <x v="5"/>
    <s v="Expense"/>
    <n v="81294"/>
    <n v="85500"/>
  </r>
  <r>
    <x v="783"/>
    <x v="109"/>
    <x v="6"/>
    <x v="0"/>
    <x v="3"/>
    <x v="1"/>
    <s v="Expense"/>
    <n v="21591"/>
    <n v="20400"/>
  </r>
  <r>
    <x v="784"/>
    <x v="110"/>
    <x v="7"/>
    <x v="0"/>
    <x v="2"/>
    <x v="2"/>
    <s v="Revenue"/>
    <n v="144673"/>
    <n v="151100"/>
  </r>
  <r>
    <x v="785"/>
    <x v="110"/>
    <x v="7"/>
    <x v="0"/>
    <x v="2"/>
    <x v="0"/>
    <s v="Revenue"/>
    <n v="91581"/>
    <n v="81500"/>
  </r>
  <r>
    <x v="786"/>
    <x v="110"/>
    <x v="7"/>
    <x v="0"/>
    <x v="2"/>
    <x v="4"/>
    <s v="Revenue"/>
    <n v="33365"/>
    <n v="34900"/>
  </r>
  <r>
    <x v="787"/>
    <x v="110"/>
    <x v="0"/>
    <x v="0"/>
    <x v="0"/>
    <x v="4"/>
    <s v="Revenue"/>
    <n v="121179"/>
    <n v="136500"/>
  </r>
  <r>
    <x v="788"/>
    <x v="110"/>
    <x v="5"/>
    <x v="0"/>
    <x v="3"/>
    <x v="4"/>
    <s v="Revenue"/>
    <n v="88584"/>
    <n v="113000"/>
  </r>
  <r>
    <x v="789"/>
    <x v="110"/>
    <x v="5"/>
    <x v="0"/>
    <x v="3"/>
    <x v="0"/>
    <s v="Revenue"/>
    <n v="82841"/>
    <n v="89800"/>
  </r>
  <r>
    <x v="790"/>
    <x v="110"/>
    <x v="2"/>
    <x v="0"/>
    <x v="2"/>
    <x v="8"/>
    <s v="Expense"/>
    <n v="113566"/>
    <n v="107900"/>
  </r>
  <r>
    <x v="791"/>
    <x v="110"/>
    <x v="6"/>
    <x v="0"/>
    <x v="3"/>
    <x v="10"/>
    <s v="Expense"/>
    <n v="96560"/>
    <n v="101100"/>
  </r>
  <r>
    <x v="792"/>
    <x v="110"/>
    <x v="6"/>
    <x v="0"/>
    <x v="3"/>
    <x v="8"/>
    <s v="Expense"/>
    <n v="82007"/>
    <n v="69600"/>
  </r>
  <r>
    <x v="793"/>
    <x v="111"/>
    <x v="7"/>
    <x v="0"/>
    <x v="2"/>
    <x v="9"/>
    <s v="Expense"/>
    <n v="97756"/>
    <n v="104100"/>
  </r>
  <r>
    <x v="794"/>
    <x v="111"/>
    <x v="0"/>
    <x v="0"/>
    <x v="0"/>
    <x v="9"/>
    <s v="Expense"/>
    <n v="19697"/>
    <n v="23500"/>
  </r>
  <r>
    <x v="795"/>
    <x v="111"/>
    <x v="5"/>
    <x v="0"/>
    <x v="3"/>
    <x v="4"/>
    <s v="Revenue"/>
    <n v="198192"/>
    <n v="177100"/>
  </r>
  <r>
    <x v="796"/>
    <x v="112"/>
    <x v="7"/>
    <x v="0"/>
    <x v="2"/>
    <x v="2"/>
    <s v="Revenue"/>
    <n v="81137"/>
    <n v="84000"/>
  </r>
  <r>
    <x v="797"/>
    <x v="112"/>
    <x v="7"/>
    <x v="0"/>
    <x v="2"/>
    <x v="0"/>
    <s v="Revenue"/>
    <n v="245427"/>
    <n v="273800"/>
  </r>
  <r>
    <x v="798"/>
    <x v="112"/>
    <x v="0"/>
    <x v="0"/>
    <x v="0"/>
    <x v="4"/>
    <s v="Revenue"/>
    <n v="200218"/>
    <n v="205800"/>
  </r>
  <r>
    <x v="799"/>
    <x v="112"/>
    <x v="5"/>
    <x v="0"/>
    <x v="3"/>
    <x v="5"/>
    <s v="Expense"/>
    <n v="98671"/>
    <n v="93300"/>
  </r>
  <r>
    <x v="800"/>
    <x v="112"/>
    <x v="3"/>
    <x v="0"/>
    <x v="2"/>
    <x v="4"/>
    <s v="Revenue"/>
    <n v="204208"/>
    <n v="199100"/>
  </r>
  <r>
    <x v="801"/>
    <x v="112"/>
    <x v="4"/>
    <x v="0"/>
    <x v="1"/>
    <x v="4"/>
    <s v="Revenue"/>
    <n v="190835"/>
    <n v="192100"/>
  </r>
  <r>
    <x v="802"/>
    <x v="112"/>
    <x v="6"/>
    <x v="0"/>
    <x v="3"/>
    <x v="9"/>
    <s v="Expense"/>
    <n v="49639"/>
    <n v="44100"/>
  </r>
  <r>
    <x v="803"/>
    <x v="112"/>
    <x v="6"/>
    <x v="0"/>
    <x v="3"/>
    <x v="6"/>
    <s v="Expense"/>
    <n v="22145"/>
    <n v="19400"/>
  </r>
  <r>
    <x v="804"/>
    <x v="112"/>
    <x v="6"/>
    <x v="0"/>
    <x v="3"/>
    <x v="0"/>
    <s v="Revenue"/>
    <n v="108865"/>
    <n v="122900"/>
  </r>
  <r>
    <x v="805"/>
    <x v="113"/>
    <x v="7"/>
    <x v="0"/>
    <x v="2"/>
    <x v="7"/>
    <s v="Revenue"/>
    <n v="110983"/>
    <n v="106600"/>
  </r>
  <r>
    <x v="806"/>
    <x v="113"/>
    <x v="7"/>
    <x v="0"/>
    <x v="2"/>
    <x v="4"/>
    <s v="Revenue"/>
    <n v="173213"/>
    <n v="169700"/>
  </r>
  <r>
    <x v="807"/>
    <x v="113"/>
    <x v="0"/>
    <x v="0"/>
    <x v="0"/>
    <x v="8"/>
    <s v="Expense"/>
    <n v="58288"/>
    <n v="60000"/>
  </r>
  <r>
    <x v="808"/>
    <x v="113"/>
    <x v="1"/>
    <x v="0"/>
    <x v="1"/>
    <x v="5"/>
    <s v="Expense"/>
    <n v="49235"/>
    <n v="51500"/>
  </r>
  <r>
    <x v="809"/>
    <x v="113"/>
    <x v="1"/>
    <x v="0"/>
    <x v="1"/>
    <x v="2"/>
    <s v="Revenue"/>
    <n v="174296"/>
    <n v="171500"/>
  </r>
  <r>
    <x v="810"/>
    <x v="113"/>
    <x v="1"/>
    <x v="0"/>
    <x v="1"/>
    <x v="11"/>
    <s v="Revenue"/>
    <n v="66754"/>
    <n v="74500"/>
  </r>
  <r>
    <x v="811"/>
    <x v="113"/>
    <x v="2"/>
    <x v="0"/>
    <x v="2"/>
    <x v="9"/>
    <s v="Expense"/>
    <n v="68428"/>
    <n v="70300"/>
  </r>
  <r>
    <x v="812"/>
    <x v="113"/>
    <x v="4"/>
    <x v="0"/>
    <x v="1"/>
    <x v="8"/>
    <s v="Expense"/>
    <n v="28389"/>
    <n v="22900"/>
  </r>
  <r>
    <x v="813"/>
    <x v="114"/>
    <x v="7"/>
    <x v="0"/>
    <x v="2"/>
    <x v="10"/>
    <s v="Expense"/>
    <n v="23116"/>
    <n v="22300"/>
  </r>
  <r>
    <x v="814"/>
    <x v="114"/>
    <x v="0"/>
    <x v="0"/>
    <x v="0"/>
    <x v="3"/>
    <s v="Revenue"/>
    <n v="149573"/>
    <n v="164800"/>
  </r>
  <r>
    <x v="815"/>
    <x v="114"/>
    <x v="5"/>
    <x v="0"/>
    <x v="3"/>
    <x v="4"/>
    <s v="Revenue"/>
    <n v="82565"/>
    <n v="86100"/>
  </r>
  <r>
    <x v="816"/>
    <x v="114"/>
    <x v="5"/>
    <x v="0"/>
    <x v="3"/>
    <x v="4"/>
    <s v="Revenue"/>
    <n v="112037"/>
    <n v="126000"/>
  </r>
  <r>
    <x v="817"/>
    <x v="114"/>
    <x v="4"/>
    <x v="0"/>
    <x v="1"/>
    <x v="5"/>
    <s v="Expense"/>
    <n v="96061"/>
    <n v="113800"/>
  </r>
  <r>
    <x v="818"/>
    <x v="114"/>
    <x v="4"/>
    <x v="0"/>
    <x v="1"/>
    <x v="1"/>
    <s v="Expense"/>
    <n v="37262"/>
    <n v="33500"/>
  </r>
  <r>
    <x v="819"/>
    <x v="114"/>
    <x v="6"/>
    <x v="0"/>
    <x v="3"/>
    <x v="4"/>
    <s v="Revenue"/>
    <n v="80122"/>
    <n v="79900"/>
  </r>
  <r>
    <x v="820"/>
    <x v="115"/>
    <x v="7"/>
    <x v="0"/>
    <x v="2"/>
    <x v="5"/>
    <s v="Expense"/>
    <n v="96145"/>
    <n v="80000"/>
  </r>
  <r>
    <x v="821"/>
    <x v="115"/>
    <x v="7"/>
    <x v="0"/>
    <x v="2"/>
    <x v="9"/>
    <s v="Expense"/>
    <n v="72144"/>
    <n v="58600"/>
  </r>
  <r>
    <x v="822"/>
    <x v="115"/>
    <x v="0"/>
    <x v="0"/>
    <x v="0"/>
    <x v="10"/>
    <s v="Expense"/>
    <n v="49132"/>
    <n v="48000"/>
  </r>
  <r>
    <x v="823"/>
    <x v="115"/>
    <x v="5"/>
    <x v="0"/>
    <x v="3"/>
    <x v="8"/>
    <s v="Expense"/>
    <n v="42371"/>
    <n v="32300"/>
  </r>
  <r>
    <x v="824"/>
    <x v="115"/>
    <x v="2"/>
    <x v="0"/>
    <x v="2"/>
    <x v="6"/>
    <s v="Expense"/>
    <n v="100416"/>
    <n v="108000"/>
  </r>
  <r>
    <x v="825"/>
    <x v="115"/>
    <x v="2"/>
    <x v="0"/>
    <x v="2"/>
    <x v="7"/>
    <s v="Revenue"/>
    <n v="31426"/>
    <n v="29300"/>
  </r>
  <r>
    <x v="826"/>
    <x v="115"/>
    <x v="4"/>
    <x v="0"/>
    <x v="1"/>
    <x v="10"/>
    <s v="Expense"/>
    <n v="61852"/>
    <n v="55700"/>
  </r>
  <r>
    <x v="827"/>
    <x v="115"/>
    <x v="4"/>
    <x v="0"/>
    <x v="1"/>
    <x v="5"/>
    <s v="Expense"/>
    <n v="89346"/>
    <n v="80400"/>
  </r>
  <r>
    <x v="828"/>
    <x v="115"/>
    <x v="6"/>
    <x v="0"/>
    <x v="3"/>
    <x v="4"/>
    <s v="Revenue"/>
    <n v="53633"/>
    <n v="53400"/>
  </r>
  <r>
    <x v="829"/>
    <x v="116"/>
    <x v="7"/>
    <x v="0"/>
    <x v="2"/>
    <x v="11"/>
    <s v="Revenue"/>
    <n v="63654"/>
    <n v="62100"/>
  </r>
  <r>
    <x v="830"/>
    <x v="116"/>
    <x v="4"/>
    <x v="0"/>
    <x v="1"/>
    <x v="8"/>
    <s v="Expense"/>
    <n v="59587"/>
    <n v="59600"/>
  </r>
  <r>
    <x v="831"/>
    <x v="116"/>
    <x v="6"/>
    <x v="0"/>
    <x v="3"/>
    <x v="8"/>
    <s v="Expense"/>
    <n v="67111"/>
    <n v="64800"/>
  </r>
  <r>
    <x v="832"/>
    <x v="116"/>
    <x v="6"/>
    <x v="0"/>
    <x v="3"/>
    <x v="9"/>
    <s v="Expense"/>
    <n v="54456"/>
    <n v="67300"/>
  </r>
  <r>
    <x v="833"/>
    <x v="116"/>
    <x v="6"/>
    <x v="0"/>
    <x v="3"/>
    <x v="0"/>
    <s v="Revenue"/>
    <n v="50283"/>
    <n v="58100"/>
  </r>
  <r>
    <x v="834"/>
    <x v="117"/>
    <x v="7"/>
    <x v="0"/>
    <x v="2"/>
    <x v="3"/>
    <s v="Revenue"/>
    <n v="238933"/>
    <n v="271600"/>
  </r>
  <r>
    <x v="835"/>
    <x v="117"/>
    <x v="0"/>
    <x v="0"/>
    <x v="0"/>
    <x v="11"/>
    <s v="Revenue"/>
    <n v="73312"/>
    <n v="71900"/>
  </r>
  <r>
    <x v="836"/>
    <x v="117"/>
    <x v="1"/>
    <x v="0"/>
    <x v="1"/>
    <x v="6"/>
    <s v="Expense"/>
    <n v="64212"/>
    <n v="60900"/>
  </r>
  <r>
    <x v="837"/>
    <x v="117"/>
    <x v="1"/>
    <x v="0"/>
    <x v="1"/>
    <x v="6"/>
    <s v="Expense"/>
    <n v="102010"/>
    <n v="97500"/>
  </r>
  <r>
    <x v="838"/>
    <x v="117"/>
    <x v="1"/>
    <x v="0"/>
    <x v="1"/>
    <x v="9"/>
    <s v="Expense"/>
    <n v="98250"/>
    <n v="114100"/>
  </r>
  <r>
    <x v="839"/>
    <x v="117"/>
    <x v="5"/>
    <x v="0"/>
    <x v="3"/>
    <x v="9"/>
    <s v="Expense"/>
    <n v="22813"/>
    <n v="22700"/>
  </r>
  <r>
    <x v="840"/>
    <x v="117"/>
    <x v="5"/>
    <x v="0"/>
    <x v="3"/>
    <x v="1"/>
    <s v="Expense"/>
    <n v="95963"/>
    <n v="93700"/>
  </r>
  <r>
    <x v="841"/>
    <x v="117"/>
    <x v="2"/>
    <x v="0"/>
    <x v="2"/>
    <x v="2"/>
    <s v="Revenue"/>
    <n v="108897"/>
    <n v="103500"/>
  </r>
  <r>
    <x v="842"/>
    <x v="117"/>
    <x v="3"/>
    <x v="0"/>
    <x v="2"/>
    <x v="4"/>
    <s v="Revenue"/>
    <n v="128478"/>
    <n v="125600"/>
  </r>
  <r>
    <x v="843"/>
    <x v="117"/>
    <x v="3"/>
    <x v="0"/>
    <x v="2"/>
    <x v="11"/>
    <s v="Revenue"/>
    <n v="65058"/>
    <n v="68000"/>
  </r>
  <r>
    <x v="844"/>
    <x v="117"/>
    <x v="6"/>
    <x v="0"/>
    <x v="3"/>
    <x v="2"/>
    <s v="Revenue"/>
    <n v="245807"/>
    <n v="243200"/>
  </r>
  <r>
    <x v="845"/>
    <x v="118"/>
    <x v="7"/>
    <x v="0"/>
    <x v="2"/>
    <x v="7"/>
    <s v="Revenue"/>
    <n v="234861"/>
    <n v="226600"/>
  </r>
  <r>
    <x v="846"/>
    <x v="118"/>
    <x v="5"/>
    <x v="0"/>
    <x v="3"/>
    <x v="4"/>
    <s v="Revenue"/>
    <n v="119307"/>
    <n v="123600"/>
  </r>
  <r>
    <x v="847"/>
    <x v="118"/>
    <x v="3"/>
    <x v="0"/>
    <x v="2"/>
    <x v="6"/>
    <s v="Expense"/>
    <n v="100569"/>
    <n v="116800"/>
  </r>
  <r>
    <x v="848"/>
    <x v="118"/>
    <x v="3"/>
    <x v="0"/>
    <x v="2"/>
    <x v="10"/>
    <s v="Expense"/>
    <n v="111976"/>
    <n v="101600"/>
  </r>
  <r>
    <x v="849"/>
    <x v="118"/>
    <x v="6"/>
    <x v="0"/>
    <x v="3"/>
    <x v="7"/>
    <s v="Revenue"/>
    <n v="167988"/>
    <n v="168400"/>
  </r>
  <r>
    <x v="850"/>
    <x v="119"/>
    <x v="7"/>
    <x v="0"/>
    <x v="2"/>
    <x v="3"/>
    <s v="Revenue"/>
    <n v="49843"/>
    <n v="57500"/>
  </r>
  <r>
    <x v="851"/>
    <x v="119"/>
    <x v="0"/>
    <x v="0"/>
    <x v="0"/>
    <x v="3"/>
    <s v="Revenue"/>
    <n v="189084"/>
    <n v="204700"/>
  </r>
  <r>
    <x v="852"/>
    <x v="119"/>
    <x v="1"/>
    <x v="0"/>
    <x v="1"/>
    <x v="6"/>
    <s v="Expense"/>
    <n v="116832"/>
    <n v="104400"/>
  </r>
  <r>
    <x v="853"/>
    <x v="119"/>
    <x v="2"/>
    <x v="0"/>
    <x v="2"/>
    <x v="0"/>
    <s v="Revenue"/>
    <n v="34792"/>
    <n v="34400"/>
  </r>
  <r>
    <x v="854"/>
    <x v="119"/>
    <x v="6"/>
    <x v="0"/>
    <x v="3"/>
    <x v="3"/>
    <s v="Revenue"/>
    <n v="99480"/>
    <n v="89800"/>
  </r>
  <r>
    <x v="855"/>
    <x v="120"/>
    <x v="7"/>
    <x v="0"/>
    <x v="2"/>
    <x v="7"/>
    <s v="Revenue"/>
    <n v="172607"/>
    <n v="184000"/>
  </r>
  <r>
    <x v="856"/>
    <x v="120"/>
    <x v="7"/>
    <x v="0"/>
    <x v="2"/>
    <x v="11"/>
    <s v="Revenue"/>
    <n v="245815"/>
    <n v="276200"/>
  </r>
  <r>
    <x v="857"/>
    <x v="120"/>
    <x v="0"/>
    <x v="0"/>
    <x v="0"/>
    <x v="1"/>
    <s v="Expense"/>
    <n v="96352"/>
    <n v="110900"/>
  </r>
  <r>
    <x v="858"/>
    <x v="120"/>
    <x v="0"/>
    <x v="0"/>
    <x v="0"/>
    <x v="5"/>
    <s v="Expense"/>
    <n v="45131"/>
    <n v="33300"/>
  </r>
  <r>
    <x v="859"/>
    <x v="120"/>
    <x v="1"/>
    <x v="0"/>
    <x v="1"/>
    <x v="10"/>
    <s v="Expense"/>
    <n v="99693"/>
    <n v="99700"/>
  </r>
  <r>
    <x v="860"/>
    <x v="120"/>
    <x v="1"/>
    <x v="0"/>
    <x v="1"/>
    <x v="8"/>
    <s v="Expense"/>
    <n v="13302"/>
    <n v="13200"/>
  </r>
  <r>
    <x v="861"/>
    <x v="120"/>
    <x v="1"/>
    <x v="0"/>
    <x v="1"/>
    <x v="9"/>
    <s v="Expense"/>
    <n v="57410"/>
    <n v="55700"/>
  </r>
  <r>
    <x v="862"/>
    <x v="120"/>
    <x v="1"/>
    <x v="0"/>
    <x v="1"/>
    <x v="8"/>
    <s v="Expense"/>
    <n v="25891"/>
    <n v="26000"/>
  </r>
  <r>
    <x v="863"/>
    <x v="120"/>
    <x v="1"/>
    <x v="0"/>
    <x v="1"/>
    <x v="2"/>
    <s v="Revenue"/>
    <n v="69912"/>
    <n v="67700"/>
  </r>
  <r>
    <x v="864"/>
    <x v="120"/>
    <x v="2"/>
    <x v="0"/>
    <x v="2"/>
    <x v="0"/>
    <s v="Revenue"/>
    <n v="83491"/>
    <n v="96500"/>
  </r>
  <r>
    <x v="865"/>
    <x v="120"/>
    <x v="2"/>
    <x v="0"/>
    <x v="2"/>
    <x v="7"/>
    <s v="Revenue"/>
    <n v="184863"/>
    <n v="194400"/>
  </r>
  <r>
    <x v="866"/>
    <x v="120"/>
    <x v="2"/>
    <x v="0"/>
    <x v="2"/>
    <x v="4"/>
    <s v="Revenue"/>
    <n v="101928"/>
    <n v="130600"/>
  </r>
  <r>
    <x v="867"/>
    <x v="120"/>
    <x v="3"/>
    <x v="0"/>
    <x v="2"/>
    <x v="0"/>
    <s v="Revenue"/>
    <n v="49130"/>
    <n v="53700"/>
  </r>
  <r>
    <x v="868"/>
    <x v="120"/>
    <x v="3"/>
    <x v="0"/>
    <x v="2"/>
    <x v="4"/>
    <s v="Revenue"/>
    <n v="184408"/>
    <n v="171100"/>
  </r>
  <r>
    <x v="869"/>
    <x v="120"/>
    <x v="4"/>
    <x v="0"/>
    <x v="1"/>
    <x v="7"/>
    <s v="Revenue"/>
    <n v="33623"/>
    <n v="33300"/>
  </r>
  <r>
    <x v="870"/>
    <x v="120"/>
    <x v="6"/>
    <x v="0"/>
    <x v="3"/>
    <x v="8"/>
    <s v="Expense"/>
    <n v="96562"/>
    <n v="104200"/>
  </r>
  <r>
    <x v="871"/>
    <x v="121"/>
    <x v="7"/>
    <x v="0"/>
    <x v="2"/>
    <x v="8"/>
    <s v="Expense"/>
    <n v="38020"/>
    <n v="34500"/>
  </r>
  <r>
    <x v="872"/>
    <x v="121"/>
    <x v="7"/>
    <x v="0"/>
    <x v="2"/>
    <x v="2"/>
    <s v="Revenue"/>
    <n v="136187"/>
    <n v="141500"/>
  </r>
  <r>
    <x v="873"/>
    <x v="121"/>
    <x v="5"/>
    <x v="0"/>
    <x v="3"/>
    <x v="9"/>
    <s v="Expense"/>
    <n v="44256"/>
    <n v="44300"/>
  </r>
  <r>
    <x v="874"/>
    <x v="121"/>
    <x v="2"/>
    <x v="0"/>
    <x v="2"/>
    <x v="8"/>
    <s v="Expense"/>
    <n v="117153"/>
    <n v="113500"/>
  </r>
  <r>
    <x v="875"/>
    <x v="121"/>
    <x v="3"/>
    <x v="0"/>
    <x v="2"/>
    <x v="4"/>
    <s v="Revenue"/>
    <n v="155218"/>
    <n v="158000"/>
  </r>
  <r>
    <x v="876"/>
    <x v="121"/>
    <x v="6"/>
    <x v="0"/>
    <x v="3"/>
    <x v="5"/>
    <s v="Expense"/>
    <n v="14821"/>
    <n v="14900"/>
  </r>
  <r>
    <x v="877"/>
    <x v="121"/>
    <x v="6"/>
    <x v="0"/>
    <x v="3"/>
    <x v="9"/>
    <s v="Expense"/>
    <n v="55676"/>
    <n v="56300"/>
  </r>
  <r>
    <x v="878"/>
    <x v="122"/>
    <x v="0"/>
    <x v="0"/>
    <x v="0"/>
    <x v="5"/>
    <s v="Expense"/>
    <n v="27737"/>
    <n v="31300"/>
  </r>
  <r>
    <x v="879"/>
    <x v="122"/>
    <x v="0"/>
    <x v="0"/>
    <x v="0"/>
    <x v="5"/>
    <s v="Expense"/>
    <n v="85210"/>
    <n v="90400"/>
  </r>
  <r>
    <x v="880"/>
    <x v="122"/>
    <x v="1"/>
    <x v="0"/>
    <x v="1"/>
    <x v="2"/>
    <s v="Revenue"/>
    <n v="212489"/>
    <n v="216600"/>
  </r>
  <r>
    <x v="881"/>
    <x v="122"/>
    <x v="5"/>
    <x v="0"/>
    <x v="3"/>
    <x v="1"/>
    <s v="Expense"/>
    <n v="14382"/>
    <n v="13500"/>
  </r>
  <r>
    <x v="882"/>
    <x v="122"/>
    <x v="2"/>
    <x v="0"/>
    <x v="2"/>
    <x v="0"/>
    <s v="Revenue"/>
    <n v="242678"/>
    <n v="266300"/>
  </r>
  <r>
    <x v="883"/>
    <x v="122"/>
    <x v="2"/>
    <x v="0"/>
    <x v="2"/>
    <x v="7"/>
    <s v="Revenue"/>
    <n v="159952"/>
    <n v="149900"/>
  </r>
  <r>
    <x v="884"/>
    <x v="123"/>
    <x v="7"/>
    <x v="0"/>
    <x v="2"/>
    <x v="5"/>
    <s v="Expense"/>
    <n v="62678"/>
    <n v="63400"/>
  </r>
  <r>
    <x v="885"/>
    <x v="123"/>
    <x v="1"/>
    <x v="0"/>
    <x v="1"/>
    <x v="5"/>
    <s v="Expense"/>
    <n v="57590"/>
    <n v="54900"/>
  </r>
  <r>
    <x v="886"/>
    <x v="123"/>
    <x v="5"/>
    <x v="0"/>
    <x v="3"/>
    <x v="4"/>
    <s v="Revenue"/>
    <n v="177466"/>
    <n v="156600"/>
  </r>
  <r>
    <x v="887"/>
    <x v="123"/>
    <x v="5"/>
    <x v="0"/>
    <x v="3"/>
    <x v="2"/>
    <s v="Revenue"/>
    <n v="26985"/>
    <n v="29300"/>
  </r>
  <r>
    <x v="888"/>
    <x v="123"/>
    <x v="4"/>
    <x v="0"/>
    <x v="1"/>
    <x v="11"/>
    <s v="Revenue"/>
    <n v="170892"/>
    <n v="192400"/>
  </r>
  <r>
    <x v="889"/>
    <x v="123"/>
    <x v="6"/>
    <x v="0"/>
    <x v="3"/>
    <x v="0"/>
    <s v="Revenue"/>
    <n v="174832"/>
    <n v="147300"/>
  </r>
  <r>
    <x v="890"/>
    <x v="124"/>
    <x v="7"/>
    <x v="0"/>
    <x v="2"/>
    <x v="10"/>
    <s v="Expense"/>
    <n v="103027"/>
    <n v="103800"/>
  </r>
  <r>
    <x v="891"/>
    <x v="124"/>
    <x v="7"/>
    <x v="0"/>
    <x v="2"/>
    <x v="2"/>
    <s v="Revenue"/>
    <n v="73688"/>
    <n v="70100"/>
  </r>
  <r>
    <x v="892"/>
    <x v="124"/>
    <x v="0"/>
    <x v="0"/>
    <x v="0"/>
    <x v="6"/>
    <s v="Expense"/>
    <n v="101750"/>
    <n v="103500"/>
  </r>
  <r>
    <x v="893"/>
    <x v="124"/>
    <x v="1"/>
    <x v="0"/>
    <x v="1"/>
    <x v="6"/>
    <s v="Expense"/>
    <n v="117074"/>
    <n v="123000"/>
  </r>
  <r>
    <x v="894"/>
    <x v="124"/>
    <x v="1"/>
    <x v="0"/>
    <x v="1"/>
    <x v="9"/>
    <s v="Expense"/>
    <n v="116468"/>
    <n v="122800"/>
  </r>
  <r>
    <x v="895"/>
    <x v="124"/>
    <x v="2"/>
    <x v="0"/>
    <x v="2"/>
    <x v="11"/>
    <s v="Revenue"/>
    <n v="36211"/>
    <n v="37000"/>
  </r>
  <r>
    <x v="896"/>
    <x v="124"/>
    <x v="4"/>
    <x v="0"/>
    <x v="1"/>
    <x v="5"/>
    <s v="Expense"/>
    <n v="29680"/>
    <n v="30800"/>
  </r>
  <r>
    <x v="897"/>
    <x v="124"/>
    <x v="4"/>
    <x v="0"/>
    <x v="1"/>
    <x v="10"/>
    <s v="Expense"/>
    <n v="100584"/>
    <n v="117400"/>
  </r>
  <r>
    <x v="898"/>
    <x v="124"/>
    <x v="6"/>
    <x v="0"/>
    <x v="3"/>
    <x v="0"/>
    <s v="Revenue"/>
    <n v="40876"/>
    <n v="35500"/>
  </r>
  <r>
    <x v="899"/>
    <x v="125"/>
    <x v="5"/>
    <x v="0"/>
    <x v="3"/>
    <x v="10"/>
    <s v="Expense"/>
    <n v="83353"/>
    <n v="71700"/>
  </r>
  <r>
    <x v="900"/>
    <x v="125"/>
    <x v="5"/>
    <x v="0"/>
    <x v="3"/>
    <x v="1"/>
    <s v="Expense"/>
    <n v="98310"/>
    <n v="83500"/>
  </r>
  <r>
    <x v="901"/>
    <x v="125"/>
    <x v="2"/>
    <x v="0"/>
    <x v="2"/>
    <x v="1"/>
    <s v="Expense"/>
    <n v="109405"/>
    <n v="106000"/>
  </r>
  <r>
    <x v="902"/>
    <x v="126"/>
    <x v="7"/>
    <x v="0"/>
    <x v="2"/>
    <x v="6"/>
    <s v="Expense"/>
    <n v="59065"/>
    <n v="51200"/>
  </r>
  <r>
    <x v="903"/>
    <x v="126"/>
    <x v="1"/>
    <x v="0"/>
    <x v="1"/>
    <x v="5"/>
    <s v="Expense"/>
    <n v="31686"/>
    <n v="31400"/>
  </r>
  <r>
    <x v="904"/>
    <x v="126"/>
    <x v="1"/>
    <x v="0"/>
    <x v="1"/>
    <x v="3"/>
    <s v="Revenue"/>
    <n v="145851"/>
    <n v="151800"/>
  </r>
  <r>
    <x v="905"/>
    <x v="126"/>
    <x v="1"/>
    <x v="0"/>
    <x v="1"/>
    <x v="11"/>
    <s v="Revenue"/>
    <n v="58149"/>
    <n v="61100"/>
  </r>
  <r>
    <x v="906"/>
    <x v="126"/>
    <x v="2"/>
    <x v="0"/>
    <x v="2"/>
    <x v="10"/>
    <s v="Expense"/>
    <n v="109309"/>
    <n v="113700"/>
  </r>
  <r>
    <x v="907"/>
    <x v="126"/>
    <x v="3"/>
    <x v="0"/>
    <x v="2"/>
    <x v="8"/>
    <s v="Expense"/>
    <n v="28706"/>
    <n v="26900"/>
  </r>
  <r>
    <x v="908"/>
    <x v="127"/>
    <x v="0"/>
    <x v="0"/>
    <x v="0"/>
    <x v="7"/>
    <s v="Revenue"/>
    <n v="179076"/>
    <n v="191800"/>
  </r>
  <r>
    <x v="909"/>
    <x v="127"/>
    <x v="1"/>
    <x v="0"/>
    <x v="1"/>
    <x v="11"/>
    <s v="Revenue"/>
    <n v="149623"/>
    <n v="148300"/>
  </r>
  <r>
    <x v="910"/>
    <x v="127"/>
    <x v="1"/>
    <x v="0"/>
    <x v="1"/>
    <x v="7"/>
    <s v="Revenue"/>
    <n v="45109"/>
    <n v="43800"/>
  </r>
  <r>
    <x v="911"/>
    <x v="127"/>
    <x v="3"/>
    <x v="0"/>
    <x v="2"/>
    <x v="6"/>
    <s v="Expense"/>
    <n v="74598"/>
    <n v="81800"/>
  </r>
  <r>
    <x v="912"/>
    <x v="127"/>
    <x v="3"/>
    <x v="0"/>
    <x v="2"/>
    <x v="2"/>
    <s v="Revenue"/>
    <n v="200746"/>
    <n v="222800"/>
  </r>
  <r>
    <x v="913"/>
    <x v="128"/>
    <x v="7"/>
    <x v="0"/>
    <x v="2"/>
    <x v="3"/>
    <s v="Revenue"/>
    <n v="154180"/>
    <n v="151300"/>
  </r>
  <r>
    <x v="914"/>
    <x v="128"/>
    <x v="0"/>
    <x v="0"/>
    <x v="0"/>
    <x v="5"/>
    <s v="Expense"/>
    <n v="71214"/>
    <n v="69100"/>
  </r>
  <r>
    <x v="915"/>
    <x v="128"/>
    <x v="0"/>
    <x v="0"/>
    <x v="0"/>
    <x v="4"/>
    <s v="Revenue"/>
    <n v="222100"/>
    <n v="185100"/>
  </r>
  <r>
    <x v="916"/>
    <x v="128"/>
    <x v="1"/>
    <x v="0"/>
    <x v="1"/>
    <x v="5"/>
    <s v="Expense"/>
    <n v="58292"/>
    <n v="57000"/>
  </r>
  <r>
    <x v="917"/>
    <x v="128"/>
    <x v="1"/>
    <x v="0"/>
    <x v="1"/>
    <x v="2"/>
    <s v="Revenue"/>
    <n v="94386"/>
    <n v="98900"/>
  </r>
  <r>
    <x v="918"/>
    <x v="128"/>
    <x v="5"/>
    <x v="0"/>
    <x v="3"/>
    <x v="2"/>
    <s v="Revenue"/>
    <n v="75172"/>
    <n v="80800"/>
  </r>
  <r>
    <x v="919"/>
    <x v="128"/>
    <x v="2"/>
    <x v="0"/>
    <x v="2"/>
    <x v="9"/>
    <s v="Expense"/>
    <n v="61124"/>
    <n v="53600"/>
  </r>
  <r>
    <x v="920"/>
    <x v="128"/>
    <x v="2"/>
    <x v="0"/>
    <x v="2"/>
    <x v="3"/>
    <s v="Revenue"/>
    <n v="224136"/>
    <n v="221800"/>
  </r>
  <r>
    <x v="921"/>
    <x v="128"/>
    <x v="2"/>
    <x v="0"/>
    <x v="2"/>
    <x v="7"/>
    <s v="Revenue"/>
    <n v="226727"/>
    <n v="212700"/>
  </r>
  <r>
    <x v="922"/>
    <x v="128"/>
    <x v="3"/>
    <x v="0"/>
    <x v="2"/>
    <x v="3"/>
    <s v="Revenue"/>
    <n v="123572"/>
    <n v="107900"/>
  </r>
  <r>
    <x v="923"/>
    <x v="128"/>
    <x v="4"/>
    <x v="0"/>
    <x v="1"/>
    <x v="8"/>
    <s v="Expense"/>
    <n v="85973"/>
    <n v="82200"/>
  </r>
  <r>
    <x v="924"/>
    <x v="128"/>
    <x v="6"/>
    <x v="0"/>
    <x v="3"/>
    <x v="1"/>
    <s v="Expense"/>
    <n v="53436"/>
    <n v="55800"/>
  </r>
  <r>
    <x v="925"/>
    <x v="128"/>
    <x v="6"/>
    <x v="0"/>
    <x v="3"/>
    <x v="11"/>
    <s v="Revenue"/>
    <n v="117221"/>
    <n v="129600"/>
  </r>
  <r>
    <x v="926"/>
    <x v="128"/>
    <x v="6"/>
    <x v="0"/>
    <x v="3"/>
    <x v="4"/>
    <s v="Revenue"/>
    <n v="192144"/>
    <n v="169000"/>
  </r>
  <r>
    <x v="927"/>
    <x v="129"/>
    <x v="7"/>
    <x v="0"/>
    <x v="2"/>
    <x v="6"/>
    <s v="Expense"/>
    <n v="84190"/>
    <n v="87400"/>
  </r>
  <r>
    <x v="928"/>
    <x v="129"/>
    <x v="1"/>
    <x v="0"/>
    <x v="1"/>
    <x v="1"/>
    <s v="Expense"/>
    <n v="18132"/>
    <n v="16300"/>
  </r>
  <r>
    <x v="929"/>
    <x v="129"/>
    <x v="3"/>
    <x v="0"/>
    <x v="2"/>
    <x v="8"/>
    <s v="Expense"/>
    <n v="74007"/>
    <n v="73900"/>
  </r>
  <r>
    <x v="930"/>
    <x v="129"/>
    <x v="4"/>
    <x v="0"/>
    <x v="1"/>
    <x v="9"/>
    <s v="Expense"/>
    <n v="73638"/>
    <n v="70500"/>
  </r>
  <r>
    <x v="931"/>
    <x v="129"/>
    <x v="6"/>
    <x v="0"/>
    <x v="3"/>
    <x v="11"/>
    <s v="Revenue"/>
    <n v="121211"/>
    <n v="106300"/>
  </r>
  <r>
    <x v="932"/>
    <x v="129"/>
    <x v="6"/>
    <x v="0"/>
    <x v="3"/>
    <x v="4"/>
    <s v="Revenue"/>
    <n v="216686"/>
    <n v="203600"/>
  </r>
  <r>
    <x v="933"/>
    <x v="130"/>
    <x v="7"/>
    <x v="0"/>
    <x v="2"/>
    <x v="2"/>
    <s v="Revenue"/>
    <n v="204127"/>
    <n v="211100"/>
  </r>
  <r>
    <x v="934"/>
    <x v="130"/>
    <x v="4"/>
    <x v="0"/>
    <x v="1"/>
    <x v="4"/>
    <s v="Revenue"/>
    <n v="81467"/>
    <n v="85500"/>
  </r>
  <r>
    <x v="935"/>
    <x v="131"/>
    <x v="7"/>
    <x v="0"/>
    <x v="2"/>
    <x v="2"/>
    <s v="Revenue"/>
    <n v="40072"/>
    <n v="39200"/>
  </r>
  <r>
    <x v="936"/>
    <x v="131"/>
    <x v="0"/>
    <x v="0"/>
    <x v="0"/>
    <x v="0"/>
    <s v="Revenue"/>
    <n v="35727"/>
    <n v="29900"/>
  </r>
  <r>
    <x v="937"/>
    <x v="131"/>
    <x v="0"/>
    <x v="0"/>
    <x v="0"/>
    <x v="2"/>
    <s v="Revenue"/>
    <n v="192431"/>
    <n v="202300"/>
  </r>
  <r>
    <x v="938"/>
    <x v="131"/>
    <x v="6"/>
    <x v="0"/>
    <x v="3"/>
    <x v="1"/>
    <s v="Expense"/>
    <n v="96972"/>
    <n v="107200"/>
  </r>
  <r>
    <x v="939"/>
    <x v="132"/>
    <x v="7"/>
    <x v="0"/>
    <x v="2"/>
    <x v="0"/>
    <s v="Revenue"/>
    <n v="82319"/>
    <n v="89700"/>
  </r>
  <r>
    <x v="940"/>
    <x v="132"/>
    <x v="6"/>
    <x v="0"/>
    <x v="3"/>
    <x v="7"/>
    <s v="Revenue"/>
    <n v="117870"/>
    <n v="117900"/>
  </r>
  <r>
    <x v="941"/>
    <x v="133"/>
    <x v="2"/>
    <x v="0"/>
    <x v="2"/>
    <x v="6"/>
    <s v="Expense"/>
    <n v="12513"/>
    <n v="13500"/>
  </r>
  <r>
    <x v="942"/>
    <x v="133"/>
    <x v="3"/>
    <x v="0"/>
    <x v="2"/>
    <x v="10"/>
    <s v="Expense"/>
    <n v="34972"/>
    <n v="36100"/>
  </r>
  <r>
    <x v="943"/>
    <x v="133"/>
    <x v="3"/>
    <x v="0"/>
    <x v="2"/>
    <x v="9"/>
    <s v="Expense"/>
    <n v="73681"/>
    <n v="64800"/>
  </r>
  <r>
    <x v="944"/>
    <x v="133"/>
    <x v="3"/>
    <x v="0"/>
    <x v="2"/>
    <x v="7"/>
    <s v="Revenue"/>
    <n v="93647"/>
    <n v="100900"/>
  </r>
  <r>
    <x v="945"/>
    <x v="133"/>
    <x v="4"/>
    <x v="0"/>
    <x v="1"/>
    <x v="11"/>
    <s v="Revenue"/>
    <n v="153625"/>
    <n v="146000"/>
  </r>
  <r>
    <x v="946"/>
    <x v="134"/>
    <x v="0"/>
    <x v="0"/>
    <x v="0"/>
    <x v="1"/>
    <s v="Expense"/>
    <n v="44325"/>
    <n v="48400"/>
  </r>
  <r>
    <x v="947"/>
    <x v="134"/>
    <x v="0"/>
    <x v="0"/>
    <x v="0"/>
    <x v="6"/>
    <s v="Expense"/>
    <n v="108904"/>
    <n v="125800"/>
  </r>
  <r>
    <x v="948"/>
    <x v="134"/>
    <x v="6"/>
    <x v="0"/>
    <x v="3"/>
    <x v="10"/>
    <s v="Expense"/>
    <n v="61907"/>
    <n v="49400"/>
  </r>
  <r>
    <x v="949"/>
    <x v="135"/>
    <x v="7"/>
    <x v="0"/>
    <x v="2"/>
    <x v="1"/>
    <s v="Expense"/>
    <n v="92067"/>
    <n v="91800"/>
  </r>
  <r>
    <x v="950"/>
    <x v="135"/>
    <x v="7"/>
    <x v="0"/>
    <x v="2"/>
    <x v="4"/>
    <s v="Revenue"/>
    <n v="27893"/>
    <n v="27500"/>
  </r>
  <r>
    <x v="951"/>
    <x v="135"/>
    <x v="7"/>
    <x v="0"/>
    <x v="2"/>
    <x v="3"/>
    <s v="Revenue"/>
    <n v="25674"/>
    <n v="26800"/>
  </r>
  <r>
    <x v="952"/>
    <x v="135"/>
    <x v="7"/>
    <x v="0"/>
    <x v="2"/>
    <x v="7"/>
    <s v="Revenue"/>
    <n v="198499"/>
    <n v="182600"/>
  </r>
  <r>
    <x v="953"/>
    <x v="135"/>
    <x v="5"/>
    <x v="0"/>
    <x v="3"/>
    <x v="6"/>
    <s v="Expense"/>
    <n v="105206"/>
    <n v="95700"/>
  </r>
  <r>
    <x v="954"/>
    <x v="135"/>
    <x v="2"/>
    <x v="0"/>
    <x v="2"/>
    <x v="7"/>
    <s v="Revenue"/>
    <n v="142199"/>
    <n v="135100"/>
  </r>
  <r>
    <x v="955"/>
    <x v="135"/>
    <x v="4"/>
    <x v="0"/>
    <x v="1"/>
    <x v="9"/>
    <s v="Expense"/>
    <n v="45608"/>
    <n v="43200"/>
  </r>
  <r>
    <x v="956"/>
    <x v="135"/>
    <x v="4"/>
    <x v="0"/>
    <x v="1"/>
    <x v="4"/>
    <s v="Revenue"/>
    <n v="57376"/>
    <n v="65500"/>
  </r>
  <r>
    <x v="957"/>
    <x v="136"/>
    <x v="1"/>
    <x v="0"/>
    <x v="1"/>
    <x v="8"/>
    <s v="Expense"/>
    <n v="44977"/>
    <n v="45900"/>
  </r>
  <r>
    <x v="958"/>
    <x v="136"/>
    <x v="5"/>
    <x v="0"/>
    <x v="3"/>
    <x v="4"/>
    <s v="Revenue"/>
    <n v="59826"/>
    <n v="53600"/>
  </r>
  <r>
    <x v="959"/>
    <x v="136"/>
    <x v="5"/>
    <x v="0"/>
    <x v="3"/>
    <x v="3"/>
    <s v="Revenue"/>
    <n v="32994"/>
    <n v="31200"/>
  </r>
  <r>
    <x v="960"/>
    <x v="136"/>
    <x v="3"/>
    <x v="0"/>
    <x v="2"/>
    <x v="10"/>
    <s v="Expense"/>
    <n v="113452"/>
    <n v="143100"/>
  </r>
  <r>
    <x v="961"/>
    <x v="136"/>
    <x v="6"/>
    <x v="0"/>
    <x v="3"/>
    <x v="4"/>
    <s v="Revenue"/>
    <n v="100188"/>
    <n v="85400"/>
  </r>
  <r>
    <x v="962"/>
    <x v="137"/>
    <x v="7"/>
    <x v="0"/>
    <x v="2"/>
    <x v="10"/>
    <s v="Expense"/>
    <n v="46934"/>
    <n v="47300"/>
  </r>
  <r>
    <x v="963"/>
    <x v="137"/>
    <x v="7"/>
    <x v="0"/>
    <x v="2"/>
    <x v="7"/>
    <s v="Revenue"/>
    <n v="183217"/>
    <n v="196000"/>
  </r>
  <r>
    <x v="964"/>
    <x v="137"/>
    <x v="1"/>
    <x v="0"/>
    <x v="1"/>
    <x v="8"/>
    <s v="Expense"/>
    <n v="75908"/>
    <n v="76600"/>
  </r>
  <r>
    <x v="965"/>
    <x v="137"/>
    <x v="1"/>
    <x v="0"/>
    <x v="1"/>
    <x v="11"/>
    <s v="Revenue"/>
    <n v="210095"/>
    <n v="210400"/>
  </r>
  <r>
    <x v="966"/>
    <x v="137"/>
    <x v="1"/>
    <x v="0"/>
    <x v="1"/>
    <x v="2"/>
    <s v="Revenue"/>
    <n v="180440"/>
    <n v="198500"/>
  </r>
  <r>
    <x v="967"/>
    <x v="137"/>
    <x v="1"/>
    <x v="0"/>
    <x v="1"/>
    <x v="7"/>
    <s v="Revenue"/>
    <n v="229153"/>
    <n v="237700"/>
  </r>
  <r>
    <x v="968"/>
    <x v="137"/>
    <x v="2"/>
    <x v="0"/>
    <x v="2"/>
    <x v="1"/>
    <s v="Expense"/>
    <n v="24309"/>
    <n v="29300"/>
  </r>
  <r>
    <x v="969"/>
    <x v="137"/>
    <x v="3"/>
    <x v="0"/>
    <x v="2"/>
    <x v="9"/>
    <s v="Expense"/>
    <n v="66985"/>
    <n v="68800"/>
  </r>
  <r>
    <x v="970"/>
    <x v="137"/>
    <x v="4"/>
    <x v="0"/>
    <x v="1"/>
    <x v="5"/>
    <s v="Expense"/>
    <n v="64636"/>
    <n v="63000"/>
  </r>
  <r>
    <x v="971"/>
    <x v="138"/>
    <x v="0"/>
    <x v="0"/>
    <x v="0"/>
    <x v="2"/>
    <s v="Revenue"/>
    <n v="148075"/>
    <n v="141600"/>
  </r>
  <r>
    <x v="972"/>
    <x v="138"/>
    <x v="5"/>
    <x v="0"/>
    <x v="3"/>
    <x v="3"/>
    <s v="Revenue"/>
    <n v="115158"/>
    <n v="102600"/>
  </r>
  <r>
    <x v="973"/>
    <x v="138"/>
    <x v="2"/>
    <x v="0"/>
    <x v="2"/>
    <x v="7"/>
    <s v="Revenue"/>
    <n v="159316"/>
    <n v="181600"/>
  </r>
  <r>
    <x v="974"/>
    <x v="138"/>
    <x v="3"/>
    <x v="0"/>
    <x v="2"/>
    <x v="5"/>
    <s v="Expense"/>
    <n v="30396"/>
    <n v="33000"/>
  </r>
  <r>
    <x v="975"/>
    <x v="138"/>
    <x v="6"/>
    <x v="0"/>
    <x v="3"/>
    <x v="10"/>
    <s v="Expense"/>
    <n v="115116"/>
    <n v="116600"/>
  </r>
  <r>
    <x v="976"/>
    <x v="138"/>
    <x v="6"/>
    <x v="0"/>
    <x v="3"/>
    <x v="10"/>
    <s v="Expense"/>
    <n v="114772"/>
    <n v="126100"/>
  </r>
  <r>
    <x v="977"/>
    <x v="139"/>
    <x v="7"/>
    <x v="0"/>
    <x v="2"/>
    <x v="1"/>
    <s v="Expense"/>
    <n v="101123"/>
    <n v="92100"/>
  </r>
  <r>
    <x v="978"/>
    <x v="139"/>
    <x v="0"/>
    <x v="0"/>
    <x v="0"/>
    <x v="9"/>
    <s v="Expense"/>
    <n v="56864"/>
    <n v="59400"/>
  </r>
  <r>
    <x v="979"/>
    <x v="139"/>
    <x v="1"/>
    <x v="0"/>
    <x v="1"/>
    <x v="7"/>
    <s v="Revenue"/>
    <n v="56783"/>
    <n v="53700"/>
  </r>
  <r>
    <x v="980"/>
    <x v="139"/>
    <x v="1"/>
    <x v="0"/>
    <x v="1"/>
    <x v="11"/>
    <s v="Revenue"/>
    <n v="120353"/>
    <n v="115100"/>
  </r>
  <r>
    <x v="981"/>
    <x v="139"/>
    <x v="5"/>
    <x v="0"/>
    <x v="3"/>
    <x v="8"/>
    <s v="Expense"/>
    <n v="51922"/>
    <n v="57500"/>
  </r>
  <r>
    <x v="982"/>
    <x v="139"/>
    <x v="2"/>
    <x v="0"/>
    <x v="2"/>
    <x v="0"/>
    <s v="Revenue"/>
    <n v="205341"/>
    <n v="180800"/>
  </r>
  <r>
    <x v="983"/>
    <x v="140"/>
    <x v="7"/>
    <x v="0"/>
    <x v="2"/>
    <x v="0"/>
    <s v="Revenue"/>
    <n v="203579"/>
    <n v="184500"/>
  </r>
  <r>
    <x v="984"/>
    <x v="140"/>
    <x v="0"/>
    <x v="0"/>
    <x v="0"/>
    <x v="3"/>
    <s v="Revenue"/>
    <n v="78784"/>
    <n v="82100"/>
  </r>
  <r>
    <x v="985"/>
    <x v="140"/>
    <x v="6"/>
    <x v="0"/>
    <x v="3"/>
    <x v="4"/>
    <s v="Revenue"/>
    <n v="105769"/>
    <n v="104300"/>
  </r>
  <r>
    <x v="986"/>
    <x v="141"/>
    <x v="7"/>
    <x v="0"/>
    <x v="2"/>
    <x v="5"/>
    <s v="Expense"/>
    <n v="71675"/>
    <n v="79100"/>
  </r>
  <r>
    <x v="987"/>
    <x v="141"/>
    <x v="7"/>
    <x v="0"/>
    <x v="2"/>
    <x v="7"/>
    <s v="Revenue"/>
    <n v="143029"/>
    <n v="155800"/>
  </r>
  <r>
    <x v="988"/>
    <x v="141"/>
    <x v="1"/>
    <x v="0"/>
    <x v="1"/>
    <x v="8"/>
    <s v="Expense"/>
    <n v="68068"/>
    <n v="69200"/>
  </r>
  <r>
    <x v="989"/>
    <x v="141"/>
    <x v="5"/>
    <x v="0"/>
    <x v="3"/>
    <x v="3"/>
    <s v="Revenue"/>
    <n v="241650"/>
    <n v="250700"/>
  </r>
  <r>
    <x v="990"/>
    <x v="141"/>
    <x v="2"/>
    <x v="0"/>
    <x v="2"/>
    <x v="11"/>
    <s v="Revenue"/>
    <n v="104807"/>
    <n v="107600"/>
  </r>
  <r>
    <x v="991"/>
    <x v="141"/>
    <x v="4"/>
    <x v="0"/>
    <x v="1"/>
    <x v="8"/>
    <s v="Expense"/>
    <n v="20972"/>
    <n v="21000"/>
  </r>
  <r>
    <x v="992"/>
    <x v="142"/>
    <x v="7"/>
    <x v="0"/>
    <x v="2"/>
    <x v="6"/>
    <s v="Expense"/>
    <n v="57628"/>
    <n v="58500"/>
  </r>
  <r>
    <x v="993"/>
    <x v="142"/>
    <x v="7"/>
    <x v="0"/>
    <x v="2"/>
    <x v="4"/>
    <s v="Revenue"/>
    <n v="168331"/>
    <n v="152900"/>
  </r>
  <r>
    <x v="994"/>
    <x v="142"/>
    <x v="7"/>
    <x v="0"/>
    <x v="2"/>
    <x v="3"/>
    <s v="Revenue"/>
    <n v="186866"/>
    <n v="213700"/>
  </r>
  <r>
    <x v="995"/>
    <x v="142"/>
    <x v="5"/>
    <x v="0"/>
    <x v="3"/>
    <x v="7"/>
    <s v="Revenue"/>
    <n v="144024"/>
    <n v="156600"/>
  </r>
  <r>
    <x v="996"/>
    <x v="142"/>
    <x v="3"/>
    <x v="0"/>
    <x v="2"/>
    <x v="2"/>
    <s v="Revenue"/>
    <n v="221592"/>
    <n v="204900"/>
  </r>
  <r>
    <x v="997"/>
    <x v="142"/>
    <x v="3"/>
    <x v="0"/>
    <x v="2"/>
    <x v="4"/>
    <s v="Revenue"/>
    <n v="56535"/>
    <n v="58900"/>
  </r>
  <r>
    <x v="998"/>
    <x v="142"/>
    <x v="4"/>
    <x v="0"/>
    <x v="1"/>
    <x v="1"/>
    <s v="Expense"/>
    <n v="17135"/>
    <n v="16300"/>
  </r>
  <r>
    <x v="999"/>
    <x v="142"/>
    <x v="4"/>
    <x v="0"/>
    <x v="1"/>
    <x v="0"/>
    <s v="Revenue"/>
    <n v="80742"/>
    <n v="75600"/>
  </r>
  <r>
    <x v="1000"/>
    <x v="142"/>
    <x v="6"/>
    <x v="0"/>
    <x v="3"/>
    <x v="6"/>
    <s v="Expense"/>
    <n v="98374"/>
    <n v="100700"/>
  </r>
  <r>
    <x v="1001"/>
    <x v="142"/>
    <x v="6"/>
    <x v="0"/>
    <x v="3"/>
    <x v="8"/>
    <s v="Expense"/>
    <n v="27512"/>
    <n v="26200"/>
  </r>
  <r>
    <x v="1002"/>
    <x v="143"/>
    <x v="7"/>
    <x v="0"/>
    <x v="2"/>
    <x v="5"/>
    <s v="Expense"/>
    <n v="33091"/>
    <n v="33400"/>
  </r>
  <r>
    <x v="1003"/>
    <x v="143"/>
    <x v="7"/>
    <x v="0"/>
    <x v="2"/>
    <x v="10"/>
    <s v="Expense"/>
    <n v="104188"/>
    <n v="102200"/>
  </r>
  <r>
    <x v="1004"/>
    <x v="143"/>
    <x v="7"/>
    <x v="0"/>
    <x v="2"/>
    <x v="0"/>
    <s v="Revenue"/>
    <n v="160007"/>
    <n v="143900"/>
  </r>
  <r>
    <x v="1005"/>
    <x v="143"/>
    <x v="0"/>
    <x v="0"/>
    <x v="0"/>
    <x v="2"/>
    <s v="Revenue"/>
    <n v="129596"/>
    <n v="130500"/>
  </r>
  <r>
    <x v="1006"/>
    <x v="143"/>
    <x v="0"/>
    <x v="0"/>
    <x v="0"/>
    <x v="3"/>
    <s v="Revenue"/>
    <n v="150249"/>
    <n v="132700"/>
  </r>
  <r>
    <x v="1007"/>
    <x v="143"/>
    <x v="1"/>
    <x v="0"/>
    <x v="1"/>
    <x v="9"/>
    <s v="Expense"/>
    <n v="29185"/>
    <n v="37000"/>
  </r>
  <r>
    <x v="1008"/>
    <x v="143"/>
    <x v="1"/>
    <x v="0"/>
    <x v="1"/>
    <x v="11"/>
    <s v="Revenue"/>
    <n v="203515"/>
    <n v="220800"/>
  </r>
  <r>
    <x v="1009"/>
    <x v="143"/>
    <x v="3"/>
    <x v="0"/>
    <x v="2"/>
    <x v="2"/>
    <s v="Revenue"/>
    <n v="244772"/>
    <n v="272000"/>
  </r>
  <r>
    <x v="1010"/>
    <x v="143"/>
    <x v="4"/>
    <x v="0"/>
    <x v="1"/>
    <x v="5"/>
    <s v="Expense"/>
    <n v="82640"/>
    <n v="78800"/>
  </r>
  <r>
    <x v="1011"/>
    <x v="143"/>
    <x v="4"/>
    <x v="0"/>
    <x v="1"/>
    <x v="6"/>
    <s v="Expense"/>
    <n v="17480"/>
    <n v="17400"/>
  </r>
  <r>
    <x v="1012"/>
    <x v="143"/>
    <x v="6"/>
    <x v="0"/>
    <x v="3"/>
    <x v="3"/>
    <s v="Revenue"/>
    <n v="50061"/>
    <n v="49700"/>
  </r>
  <r>
    <x v="1013"/>
    <x v="144"/>
    <x v="0"/>
    <x v="0"/>
    <x v="0"/>
    <x v="10"/>
    <s v="Expense"/>
    <n v="107458"/>
    <n v="105500"/>
  </r>
  <r>
    <x v="1014"/>
    <x v="144"/>
    <x v="1"/>
    <x v="0"/>
    <x v="1"/>
    <x v="1"/>
    <s v="Expense"/>
    <n v="14227"/>
    <n v="13700"/>
  </r>
  <r>
    <x v="1015"/>
    <x v="144"/>
    <x v="1"/>
    <x v="0"/>
    <x v="1"/>
    <x v="2"/>
    <s v="Revenue"/>
    <n v="75744"/>
    <n v="71900"/>
  </r>
  <r>
    <x v="1016"/>
    <x v="144"/>
    <x v="1"/>
    <x v="0"/>
    <x v="1"/>
    <x v="7"/>
    <s v="Revenue"/>
    <n v="50697"/>
    <n v="56700"/>
  </r>
  <r>
    <x v="1017"/>
    <x v="144"/>
    <x v="2"/>
    <x v="0"/>
    <x v="2"/>
    <x v="8"/>
    <s v="Expense"/>
    <n v="119081"/>
    <n v="128700"/>
  </r>
  <r>
    <x v="1018"/>
    <x v="145"/>
    <x v="7"/>
    <x v="0"/>
    <x v="2"/>
    <x v="6"/>
    <s v="Expense"/>
    <n v="70441"/>
    <n v="74200"/>
  </r>
  <r>
    <x v="1019"/>
    <x v="145"/>
    <x v="0"/>
    <x v="0"/>
    <x v="0"/>
    <x v="1"/>
    <s v="Expense"/>
    <n v="70917"/>
    <n v="68700"/>
  </r>
  <r>
    <x v="1020"/>
    <x v="145"/>
    <x v="1"/>
    <x v="0"/>
    <x v="1"/>
    <x v="3"/>
    <s v="Revenue"/>
    <n v="66905"/>
    <n v="69000"/>
  </r>
  <r>
    <x v="1021"/>
    <x v="145"/>
    <x v="5"/>
    <x v="0"/>
    <x v="3"/>
    <x v="4"/>
    <s v="Revenue"/>
    <n v="144267"/>
    <n v="157400"/>
  </r>
  <r>
    <x v="1022"/>
    <x v="145"/>
    <x v="3"/>
    <x v="0"/>
    <x v="2"/>
    <x v="8"/>
    <s v="Expense"/>
    <n v="113018"/>
    <n v="107100"/>
  </r>
  <r>
    <x v="1023"/>
    <x v="145"/>
    <x v="4"/>
    <x v="0"/>
    <x v="1"/>
    <x v="2"/>
    <s v="Revenue"/>
    <n v="172464"/>
    <n v="181400"/>
  </r>
  <r>
    <x v="1024"/>
    <x v="145"/>
    <x v="6"/>
    <x v="0"/>
    <x v="3"/>
    <x v="9"/>
    <s v="Expense"/>
    <n v="40782"/>
    <n v="43700"/>
  </r>
  <r>
    <x v="1025"/>
    <x v="146"/>
    <x v="0"/>
    <x v="0"/>
    <x v="0"/>
    <x v="8"/>
    <s v="Expense"/>
    <n v="59453"/>
    <n v="57700"/>
  </r>
  <r>
    <x v="1026"/>
    <x v="146"/>
    <x v="0"/>
    <x v="0"/>
    <x v="0"/>
    <x v="6"/>
    <s v="Expense"/>
    <n v="85654"/>
    <n v="72700"/>
  </r>
  <r>
    <x v="1027"/>
    <x v="146"/>
    <x v="1"/>
    <x v="0"/>
    <x v="1"/>
    <x v="7"/>
    <s v="Revenue"/>
    <n v="145237"/>
    <n v="144400"/>
  </r>
  <r>
    <x v="1028"/>
    <x v="146"/>
    <x v="4"/>
    <x v="0"/>
    <x v="1"/>
    <x v="10"/>
    <s v="Expense"/>
    <n v="116403"/>
    <n v="114300"/>
  </r>
  <r>
    <x v="1029"/>
    <x v="146"/>
    <x v="4"/>
    <x v="0"/>
    <x v="1"/>
    <x v="4"/>
    <s v="Revenue"/>
    <n v="199876"/>
    <n v="210200"/>
  </r>
  <r>
    <x v="1030"/>
    <x v="147"/>
    <x v="7"/>
    <x v="0"/>
    <x v="2"/>
    <x v="4"/>
    <s v="Revenue"/>
    <n v="194246"/>
    <n v="202300"/>
  </r>
  <r>
    <x v="1031"/>
    <x v="147"/>
    <x v="5"/>
    <x v="0"/>
    <x v="3"/>
    <x v="0"/>
    <s v="Revenue"/>
    <n v="179568"/>
    <n v="180700"/>
  </r>
  <r>
    <x v="1032"/>
    <x v="147"/>
    <x v="3"/>
    <x v="0"/>
    <x v="2"/>
    <x v="0"/>
    <s v="Revenue"/>
    <n v="66111"/>
    <n v="63700"/>
  </r>
  <r>
    <x v="1033"/>
    <x v="148"/>
    <x v="0"/>
    <x v="0"/>
    <x v="0"/>
    <x v="3"/>
    <s v="Revenue"/>
    <n v="183334"/>
    <n v="192500"/>
  </r>
  <r>
    <x v="1034"/>
    <x v="148"/>
    <x v="0"/>
    <x v="0"/>
    <x v="0"/>
    <x v="0"/>
    <s v="Revenue"/>
    <n v="35290"/>
    <n v="36700"/>
  </r>
  <r>
    <x v="1035"/>
    <x v="148"/>
    <x v="2"/>
    <x v="0"/>
    <x v="2"/>
    <x v="2"/>
    <s v="Revenue"/>
    <n v="169109"/>
    <n v="162600"/>
  </r>
  <r>
    <x v="1036"/>
    <x v="148"/>
    <x v="2"/>
    <x v="0"/>
    <x v="2"/>
    <x v="0"/>
    <s v="Revenue"/>
    <n v="182358"/>
    <n v="172700"/>
  </r>
  <r>
    <x v="1037"/>
    <x v="148"/>
    <x v="6"/>
    <x v="0"/>
    <x v="3"/>
    <x v="10"/>
    <s v="Expense"/>
    <n v="13982"/>
    <n v="13500"/>
  </r>
  <r>
    <x v="1038"/>
    <x v="149"/>
    <x v="7"/>
    <x v="0"/>
    <x v="2"/>
    <x v="2"/>
    <s v="Revenue"/>
    <n v="248633"/>
    <n v="239000"/>
  </r>
  <r>
    <x v="1039"/>
    <x v="149"/>
    <x v="0"/>
    <x v="0"/>
    <x v="0"/>
    <x v="10"/>
    <s v="Expense"/>
    <n v="55116"/>
    <n v="41600"/>
  </r>
  <r>
    <x v="1040"/>
    <x v="149"/>
    <x v="0"/>
    <x v="0"/>
    <x v="0"/>
    <x v="6"/>
    <s v="Expense"/>
    <n v="14760"/>
    <n v="14800"/>
  </r>
  <r>
    <x v="1041"/>
    <x v="149"/>
    <x v="5"/>
    <x v="0"/>
    <x v="3"/>
    <x v="5"/>
    <s v="Expense"/>
    <n v="97550"/>
    <n v="92900"/>
  </r>
  <r>
    <x v="1042"/>
    <x v="149"/>
    <x v="2"/>
    <x v="0"/>
    <x v="2"/>
    <x v="6"/>
    <s v="Expense"/>
    <n v="75071"/>
    <n v="61000"/>
  </r>
  <r>
    <x v="1043"/>
    <x v="149"/>
    <x v="2"/>
    <x v="0"/>
    <x v="2"/>
    <x v="7"/>
    <s v="Revenue"/>
    <n v="28890"/>
    <n v="26400"/>
  </r>
  <r>
    <x v="1044"/>
    <x v="149"/>
    <x v="3"/>
    <x v="0"/>
    <x v="2"/>
    <x v="10"/>
    <s v="Expense"/>
    <n v="25769"/>
    <n v="27500"/>
  </r>
  <r>
    <x v="1045"/>
    <x v="150"/>
    <x v="7"/>
    <x v="0"/>
    <x v="2"/>
    <x v="5"/>
    <s v="Expense"/>
    <n v="44174"/>
    <n v="35100"/>
  </r>
  <r>
    <x v="1046"/>
    <x v="150"/>
    <x v="0"/>
    <x v="0"/>
    <x v="0"/>
    <x v="8"/>
    <s v="Expense"/>
    <n v="119801"/>
    <n v="96700"/>
  </r>
  <r>
    <x v="1047"/>
    <x v="150"/>
    <x v="2"/>
    <x v="0"/>
    <x v="2"/>
    <x v="5"/>
    <s v="Expense"/>
    <n v="110363"/>
    <n v="122500"/>
  </r>
  <r>
    <x v="1048"/>
    <x v="150"/>
    <x v="6"/>
    <x v="0"/>
    <x v="3"/>
    <x v="10"/>
    <s v="Expense"/>
    <n v="98921"/>
    <n v="92200"/>
  </r>
  <r>
    <x v="1049"/>
    <x v="150"/>
    <x v="6"/>
    <x v="0"/>
    <x v="3"/>
    <x v="11"/>
    <s v="Revenue"/>
    <n v="187842"/>
    <n v="175600"/>
  </r>
  <r>
    <x v="1050"/>
    <x v="151"/>
    <x v="7"/>
    <x v="0"/>
    <x v="2"/>
    <x v="2"/>
    <s v="Revenue"/>
    <n v="217348"/>
    <n v="276900"/>
  </r>
  <r>
    <x v="1051"/>
    <x v="151"/>
    <x v="0"/>
    <x v="0"/>
    <x v="0"/>
    <x v="1"/>
    <s v="Expense"/>
    <n v="92605"/>
    <n v="96200"/>
  </r>
  <r>
    <x v="1052"/>
    <x v="151"/>
    <x v="0"/>
    <x v="0"/>
    <x v="0"/>
    <x v="1"/>
    <s v="Expense"/>
    <n v="51182"/>
    <n v="50700"/>
  </r>
  <r>
    <x v="1053"/>
    <x v="151"/>
    <x v="5"/>
    <x v="0"/>
    <x v="3"/>
    <x v="6"/>
    <s v="Expense"/>
    <n v="80807"/>
    <n v="76800"/>
  </r>
  <r>
    <x v="1054"/>
    <x v="151"/>
    <x v="5"/>
    <x v="0"/>
    <x v="3"/>
    <x v="0"/>
    <s v="Revenue"/>
    <n v="45444"/>
    <n v="42000"/>
  </r>
  <r>
    <x v="1055"/>
    <x v="151"/>
    <x v="3"/>
    <x v="0"/>
    <x v="2"/>
    <x v="3"/>
    <s v="Revenue"/>
    <n v="162897"/>
    <n v="140300"/>
  </r>
  <r>
    <x v="1056"/>
    <x v="151"/>
    <x v="4"/>
    <x v="0"/>
    <x v="1"/>
    <x v="10"/>
    <s v="Expense"/>
    <n v="96820"/>
    <n v="93300"/>
  </r>
  <r>
    <x v="1057"/>
    <x v="151"/>
    <x v="4"/>
    <x v="0"/>
    <x v="1"/>
    <x v="4"/>
    <s v="Revenue"/>
    <n v="29114"/>
    <n v="26500"/>
  </r>
  <r>
    <x v="1058"/>
    <x v="152"/>
    <x v="7"/>
    <x v="0"/>
    <x v="2"/>
    <x v="9"/>
    <s v="Expense"/>
    <n v="39098"/>
    <n v="36300"/>
  </r>
  <r>
    <x v="1059"/>
    <x v="152"/>
    <x v="0"/>
    <x v="0"/>
    <x v="0"/>
    <x v="5"/>
    <s v="Expense"/>
    <n v="52027"/>
    <n v="60100"/>
  </r>
  <r>
    <x v="1060"/>
    <x v="152"/>
    <x v="5"/>
    <x v="0"/>
    <x v="3"/>
    <x v="4"/>
    <s v="Revenue"/>
    <n v="135470"/>
    <n v="139800"/>
  </r>
  <r>
    <x v="1061"/>
    <x v="152"/>
    <x v="6"/>
    <x v="0"/>
    <x v="3"/>
    <x v="10"/>
    <s v="Expense"/>
    <n v="77331"/>
    <n v="70000"/>
  </r>
  <r>
    <x v="1062"/>
    <x v="153"/>
    <x v="7"/>
    <x v="0"/>
    <x v="2"/>
    <x v="11"/>
    <s v="Revenue"/>
    <n v="172724"/>
    <n v="167100"/>
  </r>
  <r>
    <x v="1063"/>
    <x v="153"/>
    <x v="5"/>
    <x v="0"/>
    <x v="3"/>
    <x v="6"/>
    <s v="Expense"/>
    <n v="70879"/>
    <n v="71100"/>
  </r>
  <r>
    <x v="1064"/>
    <x v="153"/>
    <x v="2"/>
    <x v="0"/>
    <x v="2"/>
    <x v="3"/>
    <s v="Revenue"/>
    <n v="230862"/>
    <n v="239500"/>
  </r>
  <r>
    <x v="1065"/>
    <x v="153"/>
    <x v="3"/>
    <x v="0"/>
    <x v="2"/>
    <x v="9"/>
    <s v="Expense"/>
    <n v="44947"/>
    <n v="42300"/>
  </r>
  <r>
    <x v="1066"/>
    <x v="153"/>
    <x v="3"/>
    <x v="0"/>
    <x v="2"/>
    <x v="10"/>
    <s v="Expense"/>
    <n v="104899"/>
    <n v="95400"/>
  </r>
  <r>
    <x v="1067"/>
    <x v="153"/>
    <x v="4"/>
    <x v="0"/>
    <x v="1"/>
    <x v="9"/>
    <s v="Expense"/>
    <n v="36024"/>
    <n v="28200"/>
  </r>
  <r>
    <x v="1068"/>
    <x v="153"/>
    <x v="4"/>
    <x v="0"/>
    <x v="1"/>
    <x v="9"/>
    <s v="Expense"/>
    <n v="65721"/>
    <n v="54300"/>
  </r>
  <r>
    <x v="1069"/>
    <x v="154"/>
    <x v="7"/>
    <x v="0"/>
    <x v="2"/>
    <x v="8"/>
    <s v="Expense"/>
    <n v="61359"/>
    <n v="49500"/>
  </r>
  <r>
    <x v="1070"/>
    <x v="154"/>
    <x v="1"/>
    <x v="0"/>
    <x v="1"/>
    <x v="11"/>
    <s v="Revenue"/>
    <n v="154701"/>
    <n v="162800"/>
  </r>
  <r>
    <x v="1071"/>
    <x v="154"/>
    <x v="2"/>
    <x v="0"/>
    <x v="2"/>
    <x v="10"/>
    <s v="Expense"/>
    <n v="64888"/>
    <n v="54700"/>
  </r>
  <r>
    <x v="1072"/>
    <x v="154"/>
    <x v="3"/>
    <x v="0"/>
    <x v="2"/>
    <x v="9"/>
    <s v="Expense"/>
    <n v="17964"/>
    <n v="20200"/>
  </r>
  <r>
    <x v="1073"/>
    <x v="154"/>
    <x v="4"/>
    <x v="0"/>
    <x v="1"/>
    <x v="5"/>
    <s v="Expense"/>
    <n v="80569"/>
    <n v="86000"/>
  </r>
  <r>
    <x v="1074"/>
    <x v="155"/>
    <x v="1"/>
    <x v="0"/>
    <x v="1"/>
    <x v="2"/>
    <s v="Revenue"/>
    <n v="171192"/>
    <n v="148600"/>
  </r>
  <r>
    <x v="1075"/>
    <x v="155"/>
    <x v="5"/>
    <x v="0"/>
    <x v="3"/>
    <x v="8"/>
    <s v="Expense"/>
    <n v="95903"/>
    <n v="78600"/>
  </r>
  <r>
    <x v="1076"/>
    <x v="156"/>
    <x v="7"/>
    <x v="0"/>
    <x v="2"/>
    <x v="0"/>
    <s v="Revenue"/>
    <n v="229743"/>
    <n v="249500"/>
  </r>
  <r>
    <x v="1077"/>
    <x v="156"/>
    <x v="1"/>
    <x v="0"/>
    <x v="1"/>
    <x v="9"/>
    <s v="Expense"/>
    <n v="61273"/>
    <n v="72900"/>
  </r>
  <r>
    <x v="1078"/>
    <x v="156"/>
    <x v="5"/>
    <x v="0"/>
    <x v="3"/>
    <x v="10"/>
    <s v="Expense"/>
    <n v="54377"/>
    <n v="62200"/>
  </r>
  <r>
    <x v="1079"/>
    <x v="156"/>
    <x v="2"/>
    <x v="0"/>
    <x v="2"/>
    <x v="11"/>
    <s v="Revenue"/>
    <n v="25580"/>
    <n v="24500"/>
  </r>
  <r>
    <x v="1080"/>
    <x v="156"/>
    <x v="2"/>
    <x v="0"/>
    <x v="2"/>
    <x v="4"/>
    <s v="Revenue"/>
    <n v="204427"/>
    <n v="196200"/>
  </r>
  <r>
    <x v="1081"/>
    <x v="156"/>
    <x v="4"/>
    <x v="0"/>
    <x v="1"/>
    <x v="4"/>
    <s v="Revenue"/>
    <n v="155244"/>
    <n v="151500"/>
  </r>
  <r>
    <x v="1082"/>
    <x v="156"/>
    <x v="4"/>
    <x v="0"/>
    <x v="1"/>
    <x v="7"/>
    <s v="Revenue"/>
    <n v="160236"/>
    <n v="162900"/>
  </r>
  <r>
    <x v="1083"/>
    <x v="156"/>
    <x v="6"/>
    <x v="0"/>
    <x v="3"/>
    <x v="5"/>
    <s v="Expense"/>
    <n v="24191"/>
    <n v="24900"/>
  </r>
  <r>
    <x v="1084"/>
    <x v="157"/>
    <x v="7"/>
    <x v="0"/>
    <x v="2"/>
    <x v="2"/>
    <s v="Revenue"/>
    <n v="77142"/>
    <n v="73700"/>
  </r>
  <r>
    <x v="1085"/>
    <x v="157"/>
    <x v="1"/>
    <x v="0"/>
    <x v="1"/>
    <x v="3"/>
    <s v="Revenue"/>
    <n v="212650"/>
    <n v="197400"/>
  </r>
  <r>
    <x v="1086"/>
    <x v="157"/>
    <x v="2"/>
    <x v="0"/>
    <x v="2"/>
    <x v="0"/>
    <s v="Revenue"/>
    <n v="79501"/>
    <n v="74300"/>
  </r>
  <r>
    <x v="1087"/>
    <x v="157"/>
    <x v="2"/>
    <x v="0"/>
    <x v="2"/>
    <x v="7"/>
    <s v="Revenue"/>
    <n v="193908"/>
    <n v="224600"/>
  </r>
  <r>
    <x v="1088"/>
    <x v="157"/>
    <x v="3"/>
    <x v="0"/>
    <x v="2"/>
    <x v="0"/>
    <s v="Revenue"/>
    <n v="27965"/>
    <n v="31700"/>
  </r>
  <r>
    <x v="1089"/>
    <x v="157"/>
    <x v="6"/>
    <x v="0"/>
    <x v="3"/>
    <x v="6"/>
    <s v="Expense"/>
    <n v="102695"/>
    <n v="101200"/>
  </r>
  <r>
    <x v="1090"/>
    <x v="158"/>
    <x v="7"/>
    <x v="0"/>
    <x v="2"/>
    <x v="7"/>
    <s v="Revenue"/>
    <n v="53118"/>
    <n v="52400"/>
  </r>
  <r>
    <x v="1091"/>
    <x v="158"/>
    <x v="2"/>
    <x v="0"/>
    <x v="2"/>
    <x v="10"/>
    <s v="Expense"/>
    <n v="117064"/>
    <n v="112300"/>
  </r>
  <r>
    <x v="1092"/>
    <x v="158"/>
    <x v="3"/>
    <x v="0"/>
    <x v="2"/>
    <x v="1"/>
    <s v="Expense"/>
    <n v="38977"/>
    <n v="41800"/>
  </r>
  <r>
    <x v="1093"/>
    <x v="158"/>
    <x v="3"/>
    <x v="0"/>
    <x v="2"/>
    <x v="3"/>
    <s v="Revenue"/>
    <n v="85486"/>
    <n v="79200"/>
  </r>
  <r>
    <x v="1094"/>
    <x v="158"/>
    <x v="3"/>
    <x v="0"/>
    <x v="2"/>
    <x v="7"/>
    <s v="Revenue"/>
    <n v="172405"/>
    <n v="176700"/>
  </r>
  <r>
    <x v="1095"/>
    <x v="158"/>
    <x v="4"/>
    <x v="0"/>
    <x v="1"/>
    <x v="2"/>
    <s v="Revenue"/>
    <n v="215317"/>
    <n v="202000"/>
  </r>
  <r>
    <x v="1096"/>
    <x v="158"/>
    <x v="4"/>
    <x v="0"/>
    <x v="1"/>
    <x v="0"/>
    <s v="Revenue"/>
    <n v="147437"/>
    <n v="131500"/>
  </r>
  <r>
    <x v="1097"/>
    <x v="159"/>
    <x v="7"/>
    <x v="0"/>
    <x v="2"/>
    <x v="10"/>
    <s v="Expense"/>
    <n v="87876"/>
    <n v="81800"/>
  </r>
  <r>
    <x v="1098"/>
    <x v="159"/>
    <x v="7"/>
    <x v="0"/>
    <x v="2"/>
    <x v="0"/>
    <s v="Revenue"/>
    <n v="154824"/>
    <n v="165300"/>
  </r>
  <r>
    <x v="1099"/>
    <x v="159"/>
    <x v="0"/>
    <x v="0"/>
    <x v="0"/>
    <x v="8"/>
    <s v="Expense"/>
    <n v="102655"/>
    <n v="96500"/>
  </r>
  <r>
    <x v="1100"/>
    <x v="159"/>
    <x v="1"/>
    <x v="0"/>
    <x v="1"/>
    <x v="7"/>
    <s v="Revenue"/>
    <n v="40719"/>
    <n v="39200"/>
  </r>
  <r>
    <x v="1101"/>
    <x v="159"/>
    <x v="2"/>
    <x v="0"/>
    <x v="2"/>
    <x v="7"/>
    <s v="Revenue"/>
    <n v="247159"/>
    <n v="237200"/>
  </r>
  <r>
    <x v="1102"/>
    <x v="159"/>
    <x v="4"/>
    <x v="0"/>
    <x v="1"/>
    <x v="1"/>
    <s v="Expense"/>
    <n v="15864"/>
    <n v="14700"/>
  </r>
  <r>
    <x v="1103"/>
    <x v="159"/>
    <x v="4"/>
    <x v="0"/>
    <x v="1"/>
    <x v="11"/>
    <s v="Revenue"/>
    <n v="111299"/>
    <n v="99400"/>
  </r>
  <r>
    <x v="1104"/>
    <x v="159"/>
    <x v="6"/>
    <x v="0"/>
    <x v="3"/>
    <x v="6"/>
    <s v="Expense"/>
    <n v="56334"/>
    <n v="59700"/>
  </r>
  <r>
    <x v="1105"/>
    <x v="160"/>
    <x v="7"/>
    <x v="0"/>
    <x v="2"/>
    <x v="0"/>
    <s v="Revenue"/>
    <n v="125827"/>
    <n v="145400"/>
  </r>
  <r>
    <x v="1106"/>
    <x v="160"/>
    <x v="5"/>
    <x v="0"/>
    <x v="3"/>
    <x v="11"/>
    <s v="Revenue"/>
    <n v="195984"/>
    <n v="187300"/>
  </r>
  <r>
    <x v="1107"/>
    <x v="160"/>
    <x v="2"/>
    <x v="0"/>
    <x v="2"/>
    <x v="1"/>
    <s v="Expense"/>
    <n v="36933"/>
    <n v="37200"/>
  </r>
  <r>
    <x v="1108"/>
    <x v="160"/>
    <x v="2"/>
    <x v="0"/>
    <x v="2"/>
    <x v="3"/>
    <s v="Revenue"/>
    <n v="121611"/>
    <n v="117800"/>
  </r>
  <r>
    <x v="1109"/>
    <x v="160"/>
    <x v="2"/>
    <x v="0"/>
    <x v="2"/>
    <x v="11"/>
    <s v="Revenue"/>
    <n v="71180"/>
    <n v="65300"/>
  </r>
  <r>
    <x v="1110"/>
    <x v="160"/>
    <x v="3"/>
    <x v="0"/>
    <x v="2"/>
    <x v="4"/>
    <s v="Revenue"/>
    <n v="68387"/>
    <n v="74700"/>
  </r>
  <r>
    <x v="1111"/>
    <x v="160"/>
    <x v="4"/>
    <x v="0"/>
    <x v="1"/>
    <x v="6"/>
    <s v="Expense"/>
    <n v="15829"/>
    <n v="15600"/>
  </r>
  <r>
    <x v="1112"/>
    <x v="160"/>
    <x v="6"/>
    <x v="0"/>
    <x v="3"/>
    <x v="10"/>
    <s v="Expense"/>
    <n v="24641"/>
    <n v="23700"/>
  </r>
  <r>
    <x v="1113"/>
    <x v="160"/>
    <x v="6"/>
    <x v="0"/>
    <x v="3"/>
    <x v="6"/>
    <s v="Expense"/>
    <n v="85187"/>
    <n v="98800"/>
  </r>
  <r>
    <x v="1114"/>
    <x v="160"/>
    <x v="6"/>
    <x v="0"/>
    <x v="3"/>
    <x v="0"/>
    <s v="Revenue"/>
    <n v="116975"/>
    <n v="123300"/>
  </r>
  <r>
    <x v="1115"/>
    <x v="160"/>
    <x v="6"/>
    <x v="0"/>
    <x v="3"/>
    <x v="2"/>
    <s v="Revenue"/>
    <n v="128932"/>
    <n v="128200"/>
  </r>
  <r>
    <x v="1116"/>
    <x v="161"/>
    <x v="7"/>
    <x v="0"/>
    <x v="2"/>
    <x v="10"/>
    <s v="Expense"/>
    <n v="55091"/>
    <n v="43500"/>
  </r>
  <r>
    <x v="1117"/>
    <x v="161"/>
    <x v="1"/>
    <x v="0"/>
    <x v="1"/>
    <x v="0"/>
    <s v="Revenue"/>
    <n v="77434"/>
    <n v="84100"/>
  </r>
  <r>
    <x v="1118"/>
    <x v="161"/>
    <x v="1"/>
    <x v="0"/>
    <x v="1"/>
    <x v="0"/>
    <s v="Revenue"/>
    <n v="29323"/>
    <n v="31200"/>
  </r>
  <r>
    <x v="1119"/>
    <x v="161"/>
    <x v="4"/>
    <x v="0"/>
    <x v="1"/>
    <x v="6"/>
    <s v="Expense"/>
    <n v="81070"/>
    <n v="95100"/>
  </r>
  <r>
    <x v="1120"/>
    <x v="162"/>
    <x v="7"/>
    <x v="0"/>
    <x v="2"/>
    <x v="8"/>
    <s v="Expense"/>
    <n v="90576"/>
    <n v="86300"/>
  </r>
  <r>
    <x v="1121"/>
    <x v="162"/>
    <x v="7"/>
    <x v="0"/>
    <x v="2"/>
    <x v="10"/>
    <s v="Expense"/>
    <n v="107450"/>
    <n v="114500"/>
  </r>
  <r>
    <x v="1122"/>
    <x v="162"/>
    <x v="0"/>
    <x v="0"/>
    <x v="0"/>
    <x v="10"/>
    <s v="Expense"/>
    <n v="99177"/>
    <n v="101000"/>
  </r>
  <r>
    <x v="1123"/>
    <x v="162"/>
    <x v="0"/>
    <x v="0"/>
    <x v="0"/>
    <x v="6"/>
    <s v="Expense"/>
    <n v="14483"/>
    <n v="13400"/>
  </r>
  <r>
    <x v="1124"/>
    <x v="162"/>
    <x v="0"/>
    <x v="0"/>
    <x v="0"/>
    <x v="11"/>
    <s v="Revenue"/>
    <n v="85991"/>
    <n v="87900"/>
  </r>
  <r>
    <x v="1125"/>
    <x v="162"/>
    <x v="0"/>
    <x v="0"/>
    <x v="0"/>
    <x v="4"/>
    <s v="Revenue"/>
    <n v="236398"/>
    <n v="240300"/>
  </r>
  <r>
    <x v="1126"/>
    <x v="162"/>
    <x v="1"/>
    <x v="0"/>
    <x v="1"/>
    <x v="9"/>
    <s v="Expense"/>
    <n v="28912"/>
    <n v="27500"/>
  </r>
  <r>
    <x v="1127"/>
    <x v="162"/>
    <x v="5"/>
    <x v="0"/>
    <x v="3"/>
    <x v="5"/>
    <s v="Expense"/>
    <n v="52758"/>
    <n v="58600"/>
  </r>
  <r>
    <x v="1128"/>
    <x v="162"/>
    <x v="5"/>
    <x v="0"/>
    <x v="3"/>
    <x v="1"/>
    <s v="Expense"/>
    <n v="55222"/>
    <n v="52200"/>
  </r>
  <r>
    <x v="1129"/>
    <x v="162"/>
    <x v="6"/>
    <x v="0"/>
    <x v="3"/>
    <x v="8"/>
    <s v="Expense"/>
    <n v="73822"/>
    <n v="71300"/>
  </r>
  <r>
    <x v="1130"/>
    <x v="163"/>
    <x v="7"/>
    <x v="0"/>
    <x v="2"/>
    <x v="10"/>
    <s v="Expense"/>
    <n v="61441"/>
    <n v="70800"/>
  </r>
  <r>
    <x v="1131"/>
    <x v="163"/>
    <x v="7"/>
    <x v="0"/>
    <x v="2"/>
    <x v="0"/>
    <s v="Revenue"/>
    <n v="246895"/>
    <n v="251100"/>
  </r>
  <r>
    <x v="1132"/>
    <x v="163"/>
    <x v="0"/>
    <x v="0"/>
    <x v="0"/>
    <x v="1"/>
    <s v="Expense"/>
    <n v="117887"/>
    <n v="130000"/>
  </r>
  <r>
    <x v="1133"/>
    <x v="163"/>
    <x v="5"/>
    <x v="0"/>
    <x v="3"/>
    <x v="0"/>
    <s v="Revenue"/>
    <n v="205421"/>
    <n v="226200"/>
  </r>
  <r>
    <x v="1134"/>
    <x v="163"/>
    <x v="5"/>
    <x v="0"/>
    <x v="3"/>
    <x v="3"/>
    <s v="Revenue"/>
    <n v="243446"/>
    <n v="253900"/>
  </r>
  <r>
    <x v="1135"/>
    <x v="163"/>
    <x v="2"/>
    <x v="0"/>
    <x v="2"/>
    <x v="10"/>
    <s v="Expense"/>
    <n v="30778"/>
    <n v="29300"/>
  </r>
  <r>
    <x v="1136"/>
    <x v="163"/>
    <x v="2"/>
    <x v="0"/>
    <x v="2"/>
    <x v="2"/>
    <s v="Revenue"/>
    <n v="157965"/>
    <n v="146000"/>
  </r>
  <r>
    <x v="1137"/>
    <x v="163"/>
    <x v="4"/>
    <x v="0"/>
    <x v="1"/>
    <x v="1"/>
    <s v="Expense"/>
    <n v="22916"/>
    <n v="24800"/>
  </r>
  <r>
    <x v="1138"/>
    <x v="163"/>
    <x v="4"/>
    <x v="0"/>
    <x v="1"/>
    <x v="5"/>
    <s v="Expense"/>
    <n v="60248"/>
    <n v="57300"/>
  </r>
  <r>
    <x v="1139"/>
    <x v="164"/>
    <x v="7"/>
    <x v="0"/>
    <x v="2"/>
    <x v="6"/>
    <s v="Expense"/>
    <n v="34718"/>
    <n v="35600"/>
  </r>
  <r>
    <x v="1140"/>
    <x v="164"/>
    <x v="0"/>
    <x v="0"/>
    <x v="0"/>
    <x v="1"/>
    <s v="Expense"/>
    <n v="87262"/>
    <n v="88000"/>
  </r>
  <r>
    <x v="1141"/>
    <x v="164"/>
    <x v="0"/>
    <x v="0"/>
    <x v="0"/>
    <x v="4"/>
    <s v="Revenue"/>
    <n v="53545"/>
    <n v="56100"/>
  </r>
  <r>
    <x v="1142"/>
    <x v="164"/>
    <x v="5"/>
    <x v="0"/>
    <x v="3"/>
    <x v="6"/>
    <s v="Expense"/>
    <n v="78743"/>
    <n v="95000"/>
  </r>
  <r>
    <x v="1143"/>
    <x v="164"/>
    <x v="5"/>
    <x v="0"/>
    <x v="3"/>
    <x v="4"/>
    <s v="Revenue"/>
    <n v="231828"/>
    <n v="238300"/>
  </r>
  <r>
    <x v="1144"/>
    <x v="164"/>
    <x v="2"/>
    <x v="0"/>
    <x v="2"/>
    <x v="4"/>
    <s v="Revenue"/>
    <n v="179347"/>
    <n v="197800"/>
  </r>
  <r>
    <x v="1145"/>
    <x v="164"/>
    <x v="2"/>
    <x v="0"/>
    <x v="2"/>
    <x v="11"/>
    <s v="Revenue"/>
    <n v="63674"/>
    <n v="62700"/>
  </r>
  <r>
    <x v="1146"/>
    <x v="164"/>
    <x v="3"/>
    <x v="0"/>
    <x v="2"/>
    <x v="4"/>
    <s v="Revenue"/>
    <n v="69129"/>
    <n v="69700"/>
  </r>
  <r>
    <x v="1147"/>
    <x v="165"/>
    <x v="5"/>
    <x v="0"/>
    <x v="3"/>
    <x v="1"/>
    <s v="Expense"/>
    <n v="118310"/>
    <n v="111400"/>
  </r>
  <r>
    <x v="1148"/>
    <x v="165"/>
    <x v="5"/>
    <x v="0"/>
    <x v="3"/>
    <x v="0"/>
    <s v="Revenue"/>
    <n v="73207"/>
    <n v="69700"/>
  </r>
  <r>
    <x v="1149"/>
    <x v="165"/>
    <x v="3"/>
    <x v="0"/>
    <x v="2"/>
    <x v="10"/>
    <s v="Expense"/>
    <n v="30682"/>
    <n v="30800"/>
  </r>
  <r>
    <x v="1150"/>
    <x v="165"/>
    <x v="4"/>
    <x v="0"/>
    <x v="1"/>
    <x v="7"/>
    <s v="Revenue"/>
    <n v="68959"/>
    <n v="73500"/>
  </r>
  <r>
    <x v="1151"/>
    <x v="166"/>
    <x v="7"/>
    <x v="0"/>
    <x v="2"/>
    <x v="0"/>
    <s v="Revenue"/>
    <n v="227609"/>
    <n v="231300"/>
  </r>
  <r>
    <x v="1152"/>
    <x v="166"/>
    <x v="1"/>
    <x v="0"/>
    <x v="1"/>
    <x v="3"/>
    <s v="Revenue"/>
    <n v="140339"/>
    <n v="112700"/>
  </r>
  <r>
    <x v="1153"/>
    <x v="166"/>
    <x v="4"/>
    <x v="0"/>
    <x v="1"/>
    <x v="1"/>
    <s v="Expense"/>
    <n v="56187"/>
    <n v="62600"/>
  </r>
  <r>
    <x v="1154"/>
    <x v="167"/>
    <x v="7"/>
    <x v="0"/>
    <x v="2"/>
    <x v="11"/>
    <s v="Revenue"/>
    <n v="114252"/>
    <n v="112200"/>
  </r>
  <r>
    <x v="1155"/>
    <x v="167"/>
    <x v="7"/>
    <x v="0"/>
    <x v="2"/>
    <x v="0"/>
    <s v="Revenue"/>
    <n v="34749"/>
    <n v="31500"/>
  </r>
  <r>
    <x v="1156"/>
    <x v="167"/>
    <x v="0"/>
    <x v="0"/>
    <x v="0"/>
    <x v="1"/>
    <s v="Expense"/>
    <n v="26338"/>
    <n v="26700"/>
  </r>
  <r>
    <x v="1157"/>
    <x v="167"/>
    <x v="0"/>
    <x v="0"/>
    <x v="0"/>
    <x v="9"/>
    <s v="Expense"/>
    <n v="48252"/>
    <n v="49500"/>
  </r>
  <r>
    <x v="1158"/>
    <x v="167"/>
    <x v="5"/>
    <x v="0"/>
    <x v="3"/>
    <x v="6"/>
    <s v="Expense"/>
    <n v="104279"/>
    <n v="109900"/>
  </r>
  <r>
    <x v="1159"/>
    <x v="167"/>
    <x v="2"/>
    <x v="0"/>
    <x v="2"/>
    <x v="6"/>
    <s v="Expense"/>
    <n v="92049"/>
    <n v="80400"/>
  </r>
  <r>
    <x v="1160"/>
    <x v="168"/>
    <x v="0"/>
    <x v="0"/>
    <x v="0"/>
    <x v="11"/>
    <s v="Revenue"/>
    <n v="160717"/>
    <n v="147800"/>
  </r>
  <r>
    <x v="1161"/>
    <x v="168"/>
    <x v="5"/>
    <x v="0"/>
    <x v="3"/>
    <x v="8"/>
    <s v="Expense"/>
    <n v="21732"/>
    <n v="20900"/>
  </r>
  <r>
    <x v="1162"/>
    <x v="168"/>
    <x v="3"/>
    <x v="0"/>
    <x v="2"/>
    <x v="8"/>
    <s v="Expense"/>
    <n v="15675"/>
    <n v="15000"/>
  </r>
  <r>
    <x v="1163"/>
    <x v="168"/>
    <x v="4"/>
    <x v="0"/>
    <x v="1"/>
    <x v="3"/>
    <s v="Revenue"/>
    <n v="185928"/>
    <n v="177300"/>
  </r>
  <r>
    <x v="1164"/>
    <x v="168"/>
    <x v="6"/>
    <x v="0"/>
    <x v="3"/>
    <x v="7"/>
    <s v="Revenue"/>
    <n v="180123"/>
    <n v="181000"/>
  </r>
  <r>
    <x v="1165"/>
    <x v="169"/>
    <x v="0"/>
    <x v="0"/>
    <x v="0"/>
    <x v="9"/>
    <s v="Expense"/>
    <n v="65668"/>
    <n v="58300"/>
  </r>
  <r>
    <x v="1166"/>
    <x v="169"/>
    <x v="5"/>
    <x v="0"/>
    <x v="3"/>
    <x v="6"/>
    <s v="Expense"/>
    <n v="118010"/>
    <n v="100600"/>
  </r>
  <r>
    <x v="1167"/>
    <x v="169"/>
    <x v="5"/>
    <x v="0"/>
    <x v="3"/>
    <x v="7"/>
    <s v="Revenue"/>
    <n v="188767"/>
    <n v="213000"/>
  </r>
  <r>
    <x v="1168"/>
    <x v="169"/>
    <x v="2"/>
    <x v="0"/>
    <x v="2"/>
    <x v="10"/>
    <s v="Expense"/>
    <n v="16817"/>
    <n v="16900"/>
  </r>
  <r>
    <x v="1169"/>
    <x v="169"/>
    <x v="3"/>
    <x v="0"/>
    <x v="2"/>
    <x v="5"/>
    <s v="Expense"/>
    <n v="104258"/>
    <n v="107000"/>
  </r>
  <r>
    <x v="1170"/>
    <x v="169"/>
    <x v="3"/>
    <x v="0"/>
    <x v="2"/>
    <x v="10"/>
    <s v="Expense"/>
    <n v="45965"/>
    <n v="45700"/>
  </r>
  <r>
    <x v="1171"/>
    <x v="169"/>
    <x v="3"/>
    <x v="0"/>
    <x v="2"/>
    <x v="5"/>
    <s v="Expense"/>
    <n v="67607"/>
    <n v="63200"/>
  </r>
  <r>
    <x v="1172"/>
    <x v="169"/>
    <x v="3"/>
    <x v="0"/>
    <x v="2"/>
    <x v="7"/>
    <s v="Revenue"/>
    <n v="202812"/>
    <n v="232700"/>
  </r>
  <r>
    <x v="1173"/>
    <x v="169"/>
    <x v="4"/>
    <x v="0"/>
    <x v="1"/>
    <x v="9"/>
    <s v="Expense"/>
    <n v="34891"/>
    <n v="36300"/>
  </r>
  <r>
    <x v="1174"/>
    <x v="170"/>
    <x v="7"/>
    <x v="0"/>
    <x v="2"/>
    <x v="3"/>
    <s v="Revenue"/>
    <n v="203327"/>
    <n v="211100"/>
  </r>
  <r>
    <x v="1175"/>
    <x v="170"/>
    <x v="0"/>
    <x v="0"/>
    <x v="0"/>
    <x v="6"/>
    <s v="Expense"/>
    <n v="114657"/>
    <n v="106200"/>
  </r>
  <r>
    <x v="1176"/>
    <x v="170"/>
    <x v="1"/>
    <x v="0"/>
    <x v="1"/>
    <x v="1"/>
    <s v="Expense"/>
    <n v="49117"/>
    <n v="42800"/>
  </r>
  <r>
    <x v="1177"/>
    <x v="170"/>
    <x v="2"/>
    <x v="0"/>
    <x v="2"/>
    <x v="8"/>
    <s v="Expense"/>
    <n v="67264"/>
    <n v="76800"/>
  </r>
  <r>
    <x v="1178"/>
    <x v="170"/>
    <x v="2"/>
    <x v="0"/>
    <x v="2"/>
    <x v="11"/>
    <s v="Revenue"/>
    <n v="60241"/>
    <n v="66300"/>
  </r>
  <r>
    <x v="1179"/>
    <x v="170"/>
    <x v="3"/>
    <x v="0"/>
    <x v="2"/>
    <x v="8"/>
    <s v="Expense"/>
    <n v="67023"/>
    <n v="56900"/>
  </r>
  <r>
    <x v="1180"/>
    <x v="170"/>
    <x v="3"/>
    <x v="0"/>
    <x v="2"/>
    <x v="10"/>
    <s v="Expense"/>
    <n v="40330"/>
    <n v="40600"/>
  </r>
  <r>
    <x v="1181"/>
    <x v="171"/>
    <x v="0"/>
    <x v="0"/>
    <x v="0"/>
    <x v="6"/>
    <s v="Expense"/>
    <n v="15680"/>
    <n v="16300"/>
  </r>
  <r>
    <x v="1182"/>
    <x v="171"/>
    <x v="1"/>
    <x v="0"/>
    <x v="1"/>
    <x v="9"/>
    <s v="Expense"/>
    <n v="13776"/>
    <n v="15000"/>
  </r>
  <r>
    <x v="1183"/>
    <x v="171"/>
    <x v="5"/>
    <x v="0"/>
    <x v="3"/>
    <x v="0"/>
    <s v="Revenue"/>
    <n v="44532"/>
    <n v="40400"/>
  </r>
  <r>
    <x v="1184"/>
    <x v="171"/>
    <x v="2"/>
    <x v="0"/>
    <x v="2"/>
    <x v="5"/>
    <s v="Expense"/>
    <n v="80795"/>
    <n v="84600"/>
  </r>
  <r>
    <x v="1185"/>
    <x v="171"/>
    <x v="2"/>
    <x v="0"/>
    <x v="2"/>
    <x v="9"/>
    <s v="Expense"/>
    <n v="50544"/>
    <n v="41000"/>
  </r>
  <r>
    <x v="1186"/>
    <x v="171"/>
    <x v="3"/>
    <x v="0"/>
    <x v="2"/>
    <x v="1"/>
    <s v="Expense"/>
    <n v="66465"/>
    <n v="62000"/>
  </r>
  <r>
    <x v="1187"/>
    <x v="172"/>
    <x v="0"/>
    <x v="0"/>
    <x v="0"/>
    <x v="7"/>
    <s v="Revenue"/>
    <n v="93774"/>
    <n v="85300"/>
  </r>
  <r>
    <x v="1188"/>
    <x v="172"/>
    <x v="1"/>
    <x v="0"/>
    <x v="1"/>
    <x v="3"/>
    <s v="Revenue"/>
    <n v="115353"/>
    <n v="122800"/>
  </r>
  <r>
    <x v="1189"/>
    <x v="172"/>
    <x v="5"/>
    <x v="0"/>
    <x v="3"/>
    <x v="6"/>
    <s v="Expense"/>
    <n v="87248"/>
    <n v="93200"/>
  </r>
  <r>
    <x v="1190"/>
    <x v="172"/>
    <x v="5"/>
    <x v="0"/>
    <x v="3"/>
    <x v="8"/>
    <s v="Expense"/>
    <n v="17648"/>
    <n v="21000"/>
  </r>
  <r>
    <x v="1191"/>
    <x v="172"/>
    <x v="5"/>
    <x v="0"/>
    <x v="3"/>
    <x v="6"/>
    <s v="Expense"/>
    <n v="44367"/>
    <n v="38900"/>
  </r>
  <r>
    <x v="1192"/>
    <x v="172"/>
    <x v="5"/>
    <x v="0"/>
    <x v="3"/>
    <x v="6"/>
    <s v="Expense"/>
    <n v="33264"/>
    <n v="32900"/>
  </r>
  <r>
    <x v="1193"/>
    <x v="172"/>
    <x v="2"/>
    <x v="0"/>
    <x v="2"/>
    <x v="6"/>
    <s v="Expense"/>
    <n v="48623"/>
    <n v="55700"/>
  </r>
  <r>
    <x v="1194"/>
    <x v="172"/>
    <x v="3"/>
    <x v="0"/>
    <x v="2"/>
    <x v="6"/>
    <s v="Expense"/>
    <n v="40659"/>
    <n v="45400"/>
  </r>
  <r>
    <x v="1195"/>
    <x v="172"/>
    <x v="3"/>
    <x v="0"/>
    <x v="2"/>
    <x v="11"/>
    <s v="Revenue"/>
    <n v="131881"/>
    <n v="140200"/>
  </r>
  <r>
    <x v="1196"/>
    <x v="172"/>
    <x v="4"/>
    <x v="0"/>
    <x v="1"/>
    <x v="11"/>
    <s v="Revenue"/>
    <n v="168047"/>
    <n v="154400"/>
  </r>
  <r>
    <x v="1197"/>
    <x v="172"/>
    <x v="6"/>
    <x v="0"/>
    <x v="3"/>
    <x v="10"/>
    <s v="Expense"/>
    <n v="61860"/>
    <n v="61100"/>
  </r>
  <r>
    <x v="1198"/>
    <x v="173"/>
    <x v="0"/>
    <x v="0"/>
    <x v="0"/>
    <x v="0"/>
    <s v="Revenue"/>
    <n v="191417"/>
    <n v="187700"/>
  </r>
  <r>
    <x v="1199"/>
    <x v="173"/>
    <x v="1"/>
    <x v="0"/>
    <x v="1"/>
    <x v="1"/>
    <s v="Expense"/>
    <n v="70866"/>
    <n v="85900"/>
  </r>
  <r>
    <x v="1200"/>
    <x v="173"/>
    <x v="1"/>
    <x v="0"/>
    <x v="1"/>
    <x v="10"/>
    <s v="Expense"/>
    <n v="16279"/>
    <n v="14900"/>
  </r>
  <r>
    <x v="1201"/>
    <x v="173"/>
    <x v="1"/>
    <x v="0"/>
    <x v="1"/>
    <x v="0"/>
    <s v="Revenue"/>
    <n v="42401"/>
    <n v="39200"/>
  </r>
  <r>
    <x v="1202"/>
    <x v="173"/>
    <x v="1"/>
    <x v="0"/>
    <x v="1"/>
    <x v="11"/>
    <s v="Revenue"/>
    <n v="194475"/>
    <n v="214300"/>
  </r>
  <r>
    <x v="1203"/>
    <x v="173"/>
    <x v="5"/>
    <x v="0"/>
    <x v="3"/>
    <x v="10"/>
    <s v="Expense"/>
    <n v="35687"/>
    <n v="33000"/>
  </r>
  <r>
    <x v="1204"/>
    <x v="173"/>
    <x v="2"/>
    <x v="0"/>
    <x v="2"/>
    <x v="7"/>
    <s v="Revenue"/>
    <n v="238167"/>
    <n v="249100"/>
  </r>
  <r>
    <x v="1205"/>
    <x v="173"/>
    <x v="3"/>
    <x v="0"/>
    <x v="2"/>
    <x v="10"/>
    <s v="Expense"/>
    <n v="18974"/>
    <n v="19300"/>
  </r>
  <r>
    <x v="1206"/>
    <x v="173"/>
    <x v="3"/>
    <x v="0"/>
    <x v="2"/>
    <x v="0"/>
    <s v="Revenue"/>
    <n v="73335"/>
    <n v="67100"/>
  </r>
  <r>
    <x v="1207"/>
    <x v="173"/>
    <x v="6"/>
    <x v="0"/>
    <x v="3"/>
    <x v="6"/>
    <s v="Expense"/>
    <n v="113206"/>
    <n v="84200"/>
  </r>
  <r>
    <x v="1208"/>
    <x v="173"/>
    <x v="6"/>
    <x v="0"/>
    <x v="3"/>
    <x v="9"/>
    <s v="Expense"/>
    <n v="27947"/>
    <n v="27500"/>
  </r>
  <r>
    <x v="1209"/>
    <x v="173"/>
    <x v="6"/>
    <x v="0"/>
    <x v="3"/>
    <x v="3"/>
    <s v="Revenue"/>
    <n v="96595"/>
    <n v="112200"/>
  </r>
  <r>
    <x v="1210"/>
    <x v="174"/>
    <x v="5"/>
    <x v="0"/>
    <x v="3"/>
    <x v="4"/>
    <s v="Revenue"/>
    <n v="68593"/>
    <n v="64700"/>
  </r>
  <r>
    <x v="1211"/>
    <x v="174"/>
    <x v="5"/>
    <x v="0"/>
    <x v="3"/>
    <x v="3"/>
    <s v="Revenue"/>
    <n v="232949"/>
    <n v="247000"/>
  </r>
  <r>
    <x v="1212"/>
    <x v="174"/>
    <x v="6"/>
    <x v="0"/>
    <x v="3"/>
    <x v="9"/>
    <s v="Expense"/>
    <n v="107558"/>
    <n v="123000"/>
  </r>
  <r>
    <x v="1213"/>
    <x v="174"/>
    <x v="6"/>
    <x v="0"/>
    <x v="3"/>
    <x v="3"/>
    <s v="Revenue"/>
    <n v="236422"/>
    <n v="239300"/>
  </r>
  <r>
    <x v="1214"/>
    <x v="174"/>
    <x v="6"/>
    <x v="0"/>
    <x v="3"/>
    <x v="4"/>
    <s v="Revenue"/>
    <n v="25541"/>
    <n v="27500"/>
  </r>
  <r>
    <x v="1215"/>
    <x v="175"/>
    <x v="1"/>
    <x v="0"/>
    <x v="1"/>
    <x v="3"/>
    <s v="Revenue"/>
    <n v="192836"/>
    <n v="223600"/>
  </r>
  <r>
    <x v="1216"/>
    <x v="175"/>
    <x v="5"/>
    <x v="0"/>
    <x v="3"/>
    <x v="10"/>
    <s v="Expense"/>
    <n v="24476"/>
    <n v="22800"/>
  </r>
  <r>
    <x v="1217"/>
    <x v="176"/>
    <x v="7"/>
    <x v="0"/>
    <x v="2"/>
    <x v="9"/>
    <s v="Expense"/>
    <n v="66045"/>
    <n v="63800"/>
  </r>
  <r>
    <x v="1218"/>
    <x v="176"/>
    <x v="7"/>
    <x v="0"/>
    <x v="2"/>
    <x v="1"/>
    <s v="Expense"/>
    <n v="61165"/>
    <n v="60800"/>
  </r>
  <r>
    <x v="1219"/>
    <x v="176"/>
    <x v="7"/>
    <x v="0"/>
    <x v="2"/>
    <x v="3"/>
    <s v="Revenue"/>
    <n v="172500"/>
    <n v="168100"/>
  </r>
  <r>
    <x v="1220"/>
    <x v="176"/>
    <x v="7"/>
    <x v="0"/>
    <x v="2"/>
    <x v="11"/>
    <s v="Revenue"/>
    <n v="85076"/>
    <n v="74300"/>
  </r>
  <r>
    <x v="1221"/>
    <x v="176"/>
    <x v="7"/>
    <x v="0"/>
    <x v="2"/>
    <x v="11"/>
    <s v="Revenue"/>
    <n v="179746"/>
    <n v="184200"/>
  </r>
  <r>
    <x v="1222"/>
    <x v="176"/>
    <x v="1"/>
    <x v="0"/>
    <x v="1"/>
    <x v="6"/>
    <s v="Expense"/>
    <n v="76602"/>
    <n v="75900"/>
  </r>
  <r>
    <x v="1223"/>
    <x v="176"/>
    <x v="5"/>
    <x v="0"/>
    <x v="3"/>
    <x v="4"/>
    <s v="Revenue"/>
    <n v="145176"/>
    <n v="119800"/>
  </r>
  <r>
    <x v="1224"/>
    <x v="176"/>
    <x v="2"/>
    <x v="0"/>
    <x v="2"/>
    <x v="5"/>
    <s v="Expense"/>
    <n v="59295"/>
    <n v="61300"/>
  </r>
  <r>
    <x v="1225"/>
    <x v="176"/>
    <x v="2"/>
    <x v="0"/>
    <x v="2"/>
    <x v="4"/>
    <s v="Revenue"/>
    <n v="96228"/>
    <n v="100500"/>
  </r>
  <r>
    <x v="1226"/>
    <x v="176"/>
    <x v="3"/>
    <x v="0"/>
    <x v="2"/>
    <x v="9"/>
    <s v="Expense"/>
    <n v="21612"/>
    <n v="21100"/>
  </r>
  <r>
    <x v="1227"/>
    <x v="176"/>
    <x v="3"/>
    <x v="0"/>
    <x v="2"/>
    <x v="4"/>
    <s v="Revenue"/>
    <n v="120059"/>
    <n v="116200"/>
  </r>
  <r>
    <x v="1228"/>
    <x v="176"/>
    <x v="6"/>
    <x v="0"/>
    <x v="3"/>
    <x v="3"/>
    <s v="Revenue"/>
    <n v="84561"/>
    <n v="81800"/>
  </r>
  <r>
    <x v="1229"/>
    <x v="177"/>
    <x v="7"/>
    <x v="0"/>
    <x v="2"/>
    <x v="9"/>
    <s v="Expense"/>
    <n v="79903"/>
    <n v="68800"/>
  </r>
  <r>
    <x v="1230"/>
    <x v="177"/>
    <x v="7"/>
    <x v="0"/>
    <x v="2"/>
    <x v="2"/>
    <s v="Revenue"/>
    <n v="219742"/>
    <n v="227100"/>
  </r>
  <r>
    <x v="1231"/>
    <x v="177"/>
    <x v="5"/>
    <x v="0"/>
    <x v="3"/>
    <x v="0"/>
    <s v="Revenue"/>
    <n v="116429"/>
    <n v="125800"/>
  </r>
  <r>
    <x v="1232"/>
    <x v="177"/>
    <x v="2"/>
    <x v="0"/>
    <x v="2"/>
    <x v="2"/>
    <s v="Revenue"/>
    <n v="139258"/>
    <n v="152800"/>
  </r>
  <r>
    <x v="1233"/>
    <x v="177"/>
    <x v="3"/>
    <x v="0"/>
    <x v="2"/>
    <x v="11"/>
    <s v="Revenue"/>
    <n v="179834"/>
    <n v="161300"/>
  </r>
  <r>
    <x v="1234"/>
    <x v="178"/>
    <x v="7"/>
    <x v="0"/>
    <x v="2"/>
    <x v="10"/>
    <s v="Expense"/>
    <n v="21308"/>
    <n v="22500"/>
  </r>
  <r>
    <x v="1235"/>
    <x v="178"/>
    <x v="5"/>
    <x v="0"/>
    <x v="3"/>
    <x v="9"/>
    <s v="Expense"/>
    <n v="53529"/>
    <n v="47300"/>
  </r>
  <r>
    <x v="1236"/>
    <x v="178"/>
    <x v="4"/>
    <x v="0"/>
    <x v="1"/>
    <x v="4"/>
    <s v="Revenue"/>
    <n v="212507"/>
    <n v="208900"/>
  </r>
  <r>
    <x v="1237"/>
    <x v="179"/>
    <x v="7"/>
    <x v="0"/>
    <x v="2"/>
    <x v="9"/>
    <s v="Expense"/>
    <n v="98851"/>
    <n v="90500"/>
  </r>
  <r>
    <x v="1238"/>
    <x v="179"/>
    <x v="7"/>
    <x v="0"/>
    <x v="2"/>
    <x v="3"/>
    <s v="Revenue"/>
    <n v="122553"/>
    <n v="144300"/>
  </r>
  <r>
    <x v="1239"/>
    <x v="179"/>
    <x v="0"/>
    <x v="0"/>
    <x v="0"/>
    <x v="10"/>
    <s v="Expense"/>
    <n v="67033"/>
    <n v="65600"/>
  </r>
  <r>
    <x v="1240"/>
    <x v="179"/>
    <x v="2"/>
    <x v="0"/>
    <x v="2"/>
    <x v="10"/>
    <s v="Expense"/>
    <n v="84136"/>
    <n v="84100"/>
  </r>
  <r>
    <x v="1241"/>
    <x v="179"/>
    <x v="4"/>
    <x v="0"/>
    <x v="1"/>
    <x v="4"/>
    <s v="Revenue"/>
    <n v="57703"/>
    <n v="60600"/>
  </r>
  <r>
    <x v="1242"/>
    <x v="179"/>
    <x v="6"/>
    <x v="0"/>
    <x v="3"/>
    <x v="9"/>
    <s v="Expense"/>
    <n v="12929"/>
    <n v="12800"/>
  </r>
  <r>
    <x v="1243"/>
    <x v="179"/>
    <x v="6"/>
    <x v="0"/>
    <x v="3"/>
    <x v="11"/>
    <s v="Revenue"/>
    <n v="106637"/>
    <n v="112700"/>
  </r>
  <r>
    <x v="1244"/>
    <x v="180"/>
    <x v="7"/>
    <x v="0"/>
    <x v="2"/>
    <x v="0"/>
    <s v="Revenue"/>
    <n v="143228"/>
    <n v="156200"/>
  </r>
  <r>
    <x v="1245"/>
    <x v="180"/>
    <x v="0"/>
    <x v="0"/>
    <x v="0"/>
    <x v="3"/>
    <s v="Revenue"/>
    <n v="157447"/>
    <n v="124400"/>
  </r>
  <r>
    <x v="1246"/>
    <x v="180"/>
    <x v="1"/>
    <x v="0"/>
    <x v="1"/>
    <x v="6"/>
    <s v="Expense"/>
    <n v="39616"/>
    <n v="40200"/>
  </r>
  <r>
    <x v="1247"/>
    <x v="180"/>
    <x v="4"/>
    <x v="0"/>
    <x v="1"/>
    <x v="7"/>
    <s v="Revenue"/>
    <n v="207010"/>
    <n v="174800"/>
  </r>
  <r>
    <x v="1248"/>
    <x v="181"/>
    <x v="7"/>
    <x v="0"/>
    <x v="2"/>
    <x v="5"/>
    <s v="Expense"/>
    <n v="43085"/>
    <n v="47900"/>
  </r>
  <r>
    <x v="1249"/>
    <x v="181"/>
    <x v="7"/>
    <x v="0"/>
    <x v="2"/>
    <x v="9"/>
    <s v="Expense"/>
    <n v="41993"/>
    <n v="42900"/>
  </r>
  <r>
    <x v="1250"/>
    <x v="181"/>
    <x v="7"/>
    <x v="0"/>
    <x v="2"/>
    <x v="11"/>
    <s v="Revenue"/>
    <n v="182942"/>
    <n v="178600"/>
  </r>
  <r>
    <x v="1251"/>
    <x v="181"/>
    <x v="0"/>
    <x v="0"/>
    <x v="0"/>
    <x v="7"/>
    <s v="Revenue"/>
    <n v="153096"/>
    <n v="145500"/>
  </r>
  <r>
    <x v="1252"/>
    <x v="181"/>
    <x v="1"/>
    <x v="0"/>
    <x v="1"/>
    <x v="5"/>
    <s v="Expense"/>
    <n v="77738"/>
    <n v="76500"/>
  </r>
  <r>
    <x v="1253"/>
    <x v="181"/>
    <x v="2"/>
    <x v="0"/>
    <x v="2"/>
    <x v="11"/>
    <s v="Revenue"/>
    <n v="174493"/>
    <n v="186900"/>
  </r>
  <r>
    <x v="1254"/>
    <x v="181"/>
    <x v="3"/>
    <x v="0"/>
    <x v="2"/>
    <x v="9"/>
    <s v="Expense"/>
    <n v="51616"/>
    <n v="52600"/>
  </r>
  <r>
    <x v="1255"/>
    <x v="181"/>
    <x v="3"/>
    <x v="0"/>
    <x v="2"/>
    <x v="2"/>
    <s v="Revenue"/>
    <n v="208485"/>
    <n v="220400"/>
  </r>
  <r>
    <x v="1256"/>
    <x v="181"/>
    <x v="3"/>
    <x v="0"/>
    <x v="2"/>
    <x v="11"/>
    <s v="Revenue"/>
    <n v="142044"/>
    <n v="131900"/>
  </r>
  <r>
    <x v="1257"/>
    <x v="181"/>
    <x v="3"/>
    <x v="0"/>
    <x v="2"/>
    <x v="11"/>
    <s v="Revenue"/>
    <n v="184473"/>
    <n v="166800"/>
  </r>
  <r>
    <x v="1258"/>
    <x v="181"/>
    <x v="6"/>
    <x v="0"/>
    <x v="3"/>
    <x v="6"/>
    <s v="Expense"/>
    <n v="85189"/>
    <n v="100000"/>
  </r>
  <r>
    <x v="1259"/>
    <x v="181"/>
    <x v="6"/>
    <x v="0"/>
    <x v="3"/>
    <x v="11"/>
    <s v="Revenue"/>
    <n v="113417"/>
    <n v="103300"/>
  </r>
  <r>
    <x v="1260"/>
    <x v="182"/>
    <x v="0"/>
    <x v="0"/>
    <x v="0"/>
    <x v="10"/>
    <s v="Expense"/>
    <n v="77858"/>
    <n v="90000"/>
  </r>
  <r>
    <x v="1261"/>
    <x v="182"/>
    <x v="1"/>
    <x v="0"/>
    <x v="1"/>
    <x v="1"/>
    <s v="Expense"/>
    <n v="44287"/>
    <n v="46900"/>
  </r>
  <r>
    <x v="1262"/>
    <x v="182"/>
    <x v="1"/>
    <x v="0"/>
    <x v="1"/>
    <x v="0"/>
    <s v="Revenue"/>
    <n v="28462"/>
    <n v="24300"/>
  </r>
  <r>
    <x v="1263"/>
    <x v="182"/>
    <x v="4"/>
    <x v="0"/>
    <x v="1"/>
    <x v="5"/>
    <s v="Expense"/>
    <n v="84498"/>
    <n v="88700"/>
  </r>
  <r>
    <x v="1264"/>
    <x v="182"/>
    <x v="4"/>
    <x v="0"/>
    <x v="1"/>
    <x v="8"/>
    <s v="Expense"/>
    <n v="116364"/>
    <n v="123500"/>
  </r>
  <r>
    <x v="1265"/>
    <x v="182"/>
    <x v="6"/>
    <x v="0"/>
    <x v="3"/>
    <x v="2"/>
    <s v="Revenue"/>
    <n v="143935"/>
    <n v="160400"/>
  </r>
  <r>
    <x v="1266"/>
    <x v="183"/>
    <x v="1"/>
    <x v="0"/>
    <x v="1"/>
    <x v="7"/>
    <s v="Revenue"/>
    <n v="76554"/>
    <n v="77300"/>
  </r>
  <r>
    <x v="1267"/>
    <x v="183"/>
    <x v="2"/>
    <x v="0"/>
    <x v="2"/>
    <x v="3"/>
    <s v="Revenue"/>
    <n v="212196"/>
    <n v="231500"/>
  </r>
  <r>
    <x v="1268"/>
    <x v="183"/>
    <x v="2"/>
    <x v="0"/>
    <x v="2"/>
    <x v="0"/>
    <s v="Revenue"/>
    <n v="79862"/>
    <n v="76600"/>
  </r>
  <r>
    <x v="1269"/>
    <x v="183"/>
    <x v="2"/>
    <x v="0"/>
    <x v="2"/>
    <x v="2"/>
    <s v="Revenue"/>
    <n v="58947"/>
    <n v="59600"/>
  </r>
  <r>
    <x v="1270"/>
    <x v="183"/>
    <x v="4"/>
    <x v="0"/>
    <x v="1"/>
    <x v="9"/>
    <s v="Expense"/>
    <n v="70311"/>
    <n v="71600"/>
  </r>
  <r>
    <x v="1271"/>
    <x v="184"/>
    <x v="7"/>
    <x v="0"/>
    <x v="2"/>
    <x v="7"/>
    <s v="Revenue"/>
    <n v="44314"/>
    <n v="48400"/>
  </r>
  <r>
    <x v="1272"/>
    <x v="184"/>
    <x v="0"/>
    <x v="0"/>
    <x v="0"/>
    <x v="8"/>
    <s v="Expense"/>
    <n v="19151"/>
    <n v="20100"/>
  </r>
  <r>
    <x v="1273"/>
    <x v="184"/>
    <x v="0"/>
    <x v="0"/>
    <x v="0"/>
    <x v="5"/>
    <s v="Expense"/>
    <n v="31555"/>
    <n v="31500"/>
  </r>
  <r>
    <x v="1274"/>
    <x v="184"/>
    <x v="1"/>
    <x v="0"/>
    <x v="1"/>
    <x v="4"/>
    <s v="Revenue"/>
    <n v="213362"/>
    <n v="192700"/>
  </r>
  <r>
    <x v="1275"/>
    <x v="184"/>
    <x v="5"/>
    <x v="0"/>
    <x v="3"/>
    <x v="7"/>
    <s v="Revenue"/>
    <n v="200484"/>
    <n v="202500"/>
  </r>
  <r>
    <x v="1276"/>
    <x v="184"/>
    <x v="2"/>
    <x v="0"/>
    <x v="2"/>
    <x v="6"/>
    <s v="Expense"/>
    <n v="98547"/>
    <n v="107700"/>
  </r>
  <r>
    <x v="1277"/>
    <x v="184"/>
    <x v="2"/>
    <x v="0"/>
    <x v="2"/>
    <x v="0"/>
    <s v="Revenue"/>
    <n v="223035"/>
    <n v="206900"/>
  </r>
  <r>
    <x v="1278"/>
    <x v="184"/>
    <x v="4"/>
    <x v="0"/>
    <x v="1"/>
    <x v="11"/>
    <s v="Revenue"/>
    <n v="152669"/>
    <n v="148900"/>
  </r>
  <r>
    <x v="1279"/>
    <x v="184"/>
    <x v="4"/>
    <x v="0"/>
    <x v="1"/>
    <x v="3"/>
    <s v="Revenue"/>
    <n v="55642"/>
    <n v="58500"/>
  </r>
  <r>
    <x v="1280"/>
    <x v="185"/>
    <x v="1"/>
    <x v="0"/>
    <x v="1"/>
    <x v="3"/>
    <s v="Revenue"/>
    <n v="237973"/>
    <n v="254400"/>
  </r>
  <r>
    <x v="1281"/>
    <x v="185"/>
    <x v="5"/>
    <x v="0"/>
    <x v="3"/>
    <x v="3"/>
    <s v="Revenue"/>
    <n v="68829"/>
    <n v="56000"/>
  </r>
  <r>
    <x v="1282"/>
    <x v="185"/>
    <x v="5"/>
    <x v="0"/>
    <x v="3"/>
    <x v="11"/>
    <s v="Revenue"/>
    <n v="113181"/>
    <n v="116900"/>
  </r>
  <r>
    <x v="1283"/>
    <x v="185"/>
    <x v="3"/>
    <x v="0"/>
    <x v="2"/>
    <x v="0"/>
    <s v="Revenue"/>
    <n v="168027"/>
    <n v="164100"/>
  </r>
  <r>
    <x v="1284"/>
    <x v="185"/>
    <x v="6"/>
    <x v="0"/>
    <x v="3"/>
    <x v="0"/>
    <s v="Revenue"/>
    <n v="144204"/>
    <n v="142700"/>
  </r>
  <r>
    <x v="1285"/>
    <x v="186"/>
    <x v="7"/>
    <x v="0"/>
    <x v="2"/>
    <x v="4"/>
    <s v="Revenue"/>
    <n v="168320"/>
    <n v="168100"/>
  </r>
  <r>
    <x v="1286"/>
    <x v="186"/>
    <x v="0"/>
    <x v="0"/>
    <x v="0"/>
    <x v="10"/>
    <s v="Expense"/>
    <n v="51811"/>
    <n v="53300"/>
  </r>
  <r>
    <x v="1287"/>
    <x v="186"/>
    <x v="1"/>
    <x v="0"/>
    <x v="1"/>
    <x v="1"/>
    <s v="Expense"/>
    <n v="40952"/>
    <n v="44000"/>
  </r>
  <r>
    <x v="1288"/>
    <x v="186"/>
    <x v="5"/>
    <x v="0"/>
    <x v="3"/>
    <x v="3"/>
    <s v="Revenue"/>
    <n v="131132"/>
    <n v="134000"/>
  </r>
  <r>
    <x v="1289"/>
    <x v="186"/>
    <x v="3"/>
    <x v="0"/>
    <x v="2"/>
    <x v="2"/>
    <s v="Revenue"/>
    <n v="54193"/>
    <n v="59300"/>
  </r>
  <r>
    <x v="1290"/>
    <x v="186"/>
    <x v="6"/>
    <x v="0"/>
    <x v="3"/>
    <x v="6"/>
    <s v="Expense"/>
    <n v="90243"/>
    <n v="95000"/>
  </r>
  <r>
    <x v="1291"/>
    <x v="186"/>
    <x v="6"/>
    <x v="0"/>
    <x v="3"/>
    <x v="7"/>
    <s v="Revenue"/>
    <n v="69127"/>
    <n v="77100"/>
  </r>
  <r>
    <x v="1292"/>
    <x v="187"/>
    <x v="7"/>
    <x v="0"/>
    <x v="2"/>
    <x v="2"/>
    <s v="Revenue"/>
    <n v="221569"/>
    <n v="220600"/>
  </r>
  <r>
    <x v="1293"/>
    <x v="187"/>
    <x v="5"/>
    <x v="0"/>
    <x v="3"/>
    <x v="10"/>
    <s v="Expense"/>
    <n v="97784"/>
    <n v="86100"/>
  </r>
  <r>
    <x v="1294"/>
    <x v="187"/>
    <x v="2"/>
    <x v="0"/>
    <x v="2"/>
    <x v="7"/>
    <s v="Revenue"/>
    <n v="221780"/>
    <n v="173000"/>
  </r>
  <r>
    <x v="1295"/>
    <x v="187"/>
    <x v="3"/>
    <x v="0"/>
    <x v="2"/>
    <x v="1"/>
    <s v="Expense"/>
    <n v="110893"/>
    <n v="114900"/>
  </r>
  <r>
    <x v="1296"/>
    <x v="187"/>
    <x v="4"/>
    <x v="0"/>
    <x v="1"/>
    <x v="8"/>
    <s v="Expense"/>
    <n v="35347"/>
    <n v="34200"/>
  </r>
  <r>
    <x v="1297"/>
    <x v="187"/>
    <x v="4"/>
    <x v="0"/>
    <x v="1"/>
    <x v="8"/>
    <s v="Expense"/>
    <n v="65240"/>
    <n v="65200"/>
  </r>
  <r>
    <x v="1298"/>
    <x v="188"/>
    <x v="7"/>
    <x v="0"/>
    <x v="2"/>
    <x v="8"/>
    <s v="Expense"/>
    <n v="57963"/>
    <n v="59900"/>
  </r>
  <r>
    <x v="1299"/>
    <x v="188"/>
    <x v="7"/>
    <x v="0"/>
    <x v="2"/>
    <x v="10"/>
    <s v="Expense"/>
    <n v="52949"/>
    <n v="49300"/>
  </r>
  <r>
    <x v="1300"/>
    <x v="188"/>
    <x v="0"/>
    <x v="0"/>
    <x v="0"/>
    <x v="8"/>
    <s v="Expense"/>
    <n v="87977"/>
    <n v="93300"/>
  </r>
  <r>
    <x v="1301"/>
    <x v="188"/>
    <x v="0"/>
    <x v="0"/>
    <x v="0"/>
    <x v="2"/>
    <s v="Revenue"/>
    <n v="123999"/>
    <n v="124900"/>
  </r>
  <r>
    <x v="1302"/>
    <x v="188"/>
    <x v="5"/>
    <x v="0"/>
    <x v="3"/>
    <x v="9"/>
    <s v="Expense"/>
    <n v="87202"/>
    <n v="81900"/>
  </r>
  <r>
    <x v="1303"/>
    <x v="188"/>
    <x v="2"/>
    <x v="0"/>
    <x v="2"/>
    <x v="2"/>
    <s v="Revenue"/>
    <n v="158885"/>
    <n v="155200"/>
  </r>
  <r>
    <x v="1304"/>
    <x v="188"/>
    <x v="2"/>
    <x v="0"/>
    <x v="2"/>
    <x v="11"/>
    <s v="Revenue"/>
    <n v="67518"/>
    <n v="67000"/>
  </r>
  <r>
    <x v="1305"/>
    <x v="188"/>
    <x v="4"/>
    <x v="0"/>
    <x v="1"/>
    <x v="5"/>
    <s v="Expense"/>
    <n v="51512"/>
    <n v="52000"/>
  </r>
  <r>
    <x v="1306"/>
    <x v="189"/>
    <x v="1"/>
    <x v="0"/>
    <x v="1"/>
    <x v="5"/>
    <s v="Expense"/>
    <n v="88701"/>
    <n v="95300"/>
  </r>
  <r>
    <x v="1307"/>
    <x v="189"/>
    <x v="5"/>
    <x v="0"/>
    <x v="3"/>
    <x v="8"/>
    <s v="Expense"/>
    <n v="47659"/>
    <n v="37700"/>
  </r>
  <r>
    <x v="1308"/>
    <x v="189"/>
    <x v="2"/>
    <x v="0"/>
    <x v="2"/>
    <x v="7"/>
    <s v="Revenue"/>
    <n v="213478"/>
    <n v="237500"/>
  </r>
  <r>
    <x v="1309"/>
    <x v="189"/>
    <x v="3"/>
    <x v="0"/>
    <x v="2"/>
    <x v="11"/>
    <s v="Revenue"/>
    <n v="72592"/>
    <n v="71400"/>
  </r>
  <r>
    <x v="1310"/>
    <x v="189"/>
    <x v="4"/>
    <x v="0"/>
    <x v="1"/>
    <x v="9"/>
    <s v="Expense"/>
    <n v="111779"/>
    <n v="119500"/>
  </r>
  <r>
    <x v="1311"/>
    <x v="190"/>
    <x v="7"/>
    <x v="0"/>
    <x v="2"/>
    <x v="2"/>
    <s v="Revenue"/>
    <n v="32959"/>
    <n v="32900"/>
  </r>
  <r>
    <x v="1312"/>
    <x v="190"/>
    <x v="1"/>
    <x v="0"/>
    <x v="1"/>
    <x v="9"/>
    <s v="Expense"/>
    <n v="91221"/>
    <n v="90800"/>
  </r>
  <r>
    <x v="1313"/>
    <x v="190"/>
    <x v="1"/>
    <x v="0"/>
    <x v="1"/>
    <x v="0"/>
    <s v="Revenue"/>
    <n v="226786"/>
    <n v="214800"/>
  </r>
  <r>
    <x v="1314"/>
    <x v="190"/>
    <x v="5"/>
    <x v="0"/>
    <x v="3"/>
    <x v="6"/>
    <s v="Expense"/>
    <n v="74328"/>
    <n v="72300"/>
  </r>
  <r>
    <x v="1315"/>
    <x v="190"/>
    <x v="2"/>
    <x v="0"/>
    <x v="2"/>
    <x v="1"/>
    <s v="Expense"/>
    <n v="48432"/>
    <n v="46600"/>
  </r>
  <r>
    <x v="1316"/>
    <x v="190"/>
    <x v="2"/>
    <x v="0"/>
    <x v="2"/>
    <x v="3"/>
    <s v="Revenue"/>
    <n v="27259"/>
    <n v="27100"/>
  </r>
  <r>
    <x v="1317"/>
    <x v="190"/>
    <x v="3"/>
    <x v="0"/>
    <x v="2"/>
    <x v="9"/>
    <s v="Expense"/>
    <n v="73076"/>
    <n v="72800"/>
  </r>
  <r>
    <x v="1318"/>
    <x v="190"/>
    <x v="6"/>
    <x v="0"/>
    <x v="3"/>
    <x v="1"/>
    <s v="Expense"/>
    <n v="78690"/>
    <n v="83500"/>
  </r>
  <r>
    <x v="1319"/>
    <x v="190"/>
    <x v="6"/>
    <x v="0"/>
    <x v="3"/>
    <x v="0"/>
    <s v="Revenue"/>
    <n v="51173"/>
    <n v="53600"/>
  </r>
  <r>
    <x v="1320"/>
    <x v="191"/>
    <x v="7"/>
    <x v="0"/>
    <x v="2"/>
    <x v="9"/>
    <s v="Expense"/>
    <n v="16203"/>
    <n v="16100"/>
  </r>
  <r>
    <x v="1321"/>
    <x v="191"/>
    <x v="7"/>
    <x v="0"/>
    <x v="2"/>
    <x v="3"/>
    <s v="Revenue"/>
    <n v="211310"/>
    <n v="176400"/>
  </r>
  <r>
    <x v="1322"/>
    <x v="191"/>
    <x v="0"/>
    <x v="0"/>
    <x v="0"/>
    <x v="11"/>
    <s v="Revenue"/>
    <n v="75277"/>
    <n v="61700"/>
  </r>
  <r>
    <x v="1323"/>
    <x v="191"/>
    <x v="1"/>
    <x v="0"/>
    <x v="1"/>
    <x v="5"/>
    <s v="Expense"/>
    <n v="57971"/>
    <n v="56200"/>
  </r>
  <r>
    <x v="1324"/>
    <x v="191"/>
    <x v="1"/>
    <x v="0"/>
    <x v="1"/>
    <x v="2"/>
    <s v="Revenue"/>
    <n v="226827"/>
    <n v="225300"/>
  </r>
  <r>
    <x v="1325"/>
    <x v="191"/>
    <x v="5"/>
    <x v="0"/>
    <x v="3"/>
    <x v="1"/>
    <s v="Expense"/>
    <n v="75532"/>
    <n v="76500"/>
  </r>
  <r>
    <x v="1326"/>
    <x v="191"/>
    <x v="4"/>
    <x v="0"/>
    <x v="1"/>
    <x v="5"/>
    <s v="Expense"/>
    <n v="109911"/>
    <n v="117800"/>
  </r>
  <r>
    <x v="1327"/>
    <x v="191"/>
    <x v="4"/>
    <x v="0"/>
    <x v="1"/>
    <x v="3"/>
    <s v="Revenue"/>
    <n v="90205"/>
    <n v="97400"/>
  </r>
  <r>
    <x v="1328"/>
    <x v="191"/>
    <x v="6"/>
    <x v="0"/>
    <x v="3"/>
    <x v="10"/>
    <s v="Expense"/>
    <n v="73067"/>
    <n v="80000"/>
  </r>
  <r>
    <x v="1329"/>
    <x v="191"/>
    <x v="6"/>
    <x v="0"/>
    <x v="3"/>
    <x v="3"/>
    <s v="Revenue"/>
    <n v="117183"/>
    <n v="117500"/>
  </r>
  <r>
    <x v="1330"/>
    <x v="192"/>
    <x v="7"/>
    <x v="0"/>
    <x v="2"/>
    <x v="6"/>
    <s v="Expense"/>
    <n v="71559"/>
    <n v="68300"/>
  </r>
  <r>
    <x v="1331"/>
    <x v="192"/>
    <x v="7"/>
    <x v="0"/>
    <x v="2"/>
    <x v="11"/>
    <s v="Revenue"/>
    <n v="47350"/>
    <n v="45200"/>
  </r>
  <r>
    <x v="1332"/>
    <x v="192"/>
    <x v="0"/>
    <x v="0"/>
    <x v="0"/>
    <x v="9"/>
    <s v="Expense"/>
    <n v="68866"/>
    <n v="64200"/>
  </r>
  <r>
    <x v="1333"/>
    <x v="192"/>
    <x v="1"/>
    <x v="0"/>
    <x v="1"/>
    <x v="11"/>
    <s v="Revenue"/>
    <n v="37634"/>
    <n v="36300"/>
  </r>
  <r>
    <x v="1334"/>
    <x v="192"/>
    <x v="5"/>
    <x v="0"/>
    <x v="3"/>
    <x v="0"/>
    <s v="Revenue"/>
    <n v="131964"/>
    <n v="147600"/>
  </r>
  <r>
    <x v="1335"/>
    <x v="192"/>
    <x v="2"/>
    <x v="0"/>
    <x v="2"/>
    <x v="4"/>
    <s v="Revenue"/>
    <n v="118583"/>
    <n v="132300"/>
  </r>
  <r>
    <x v="1336"/>
    <x v="192"/>
    <x v="2"/>
    <x v="0"/>
    <x v="2"/>
    <x v="11"/>
    <s v="Revenue"/>
    <n v="120411"/>
    <n v="127600"/>
  </r>
  <r>
    <x v="1337"/>
    <x v="192"/>
    <x v="3"/>
    <x v="0"/>
    <x v="2"/>
    <x v="6"/>
    <s v="Expense"/>
    <n v="71485"/>
    <n v="78200"/>
  </r>
  <r>
    <x v="1338"/>
    <x v="192"/>
    <x v="3"/>
    <x v="0"/>
    <x v="2"/>
    <x v="10"/>
    <s v="Expense"/>
    <n v="36027"/>
    <n v="35200"/>
  </r>
  <r>
    <x v="1339"/>
    <x v="192"/>
    <x v="3"/>
    <x v="0"/>
    <x v="2"/>
    <x v="2"/>
    <s v="Revenue"/>
    <n v="163610"/>
    <n v="149200"/>
  </r>
  <r>
    <x v="1340"/>
    <x v="192"/>
    <x v="4"/>
    <x v="0"/>
    <x v="1"/>
    <x v="5"/>
    <s v="Expense"/>
    <n v="87003"/>
    <n v="104100"/>
  </r>
  <r>
    <x v="1341"/>
    <x v="193"/>
    <x v="1"/>
    <x v="0"/>
    <x v="1"/>
    <x v="3"/>
    <s v="Revenue"/>
    <n v="25831"/>
    <n v="28400"/>
  </r>
  <r>
    <x v="1342"/>
    <x v="193"/>
    <x v="5"/>
    <x v="0"/>
    <x v="3"/>
    <x v="4"/>
    <s v="Revenue"/>
    <n v="124080"/>
    <n v="117700"/>
  </r>
  <r>
    <x v="1343"/>
    <x v="193"/>
    <x v="2"/>
    <x v="0"/>
    <x v="2"/>
    <x v="9"/>
    <s v="Expense"/>
    <n v="116816"/>
    <n v="106900"/>
  </r>
  <r>
    <x v="1344"/>
    <x v="193"/>
    <x v="4"/>
    <x v="0"/>
    <x v="1"/>
    <x v="1"/>
    <s v="Expense"/>
    <n v="33409"/>
    <n v="34400"/>
  </r>
  <r>
    <x v="1345"/>
    <x v="193"/>
    <x v="6"/>
    <x v="0"/>
    <x v="3"/>
    <x v="2"/>
    <s v="Revenue"/>
    <n v="97773"/>
    <n v="98100"/>
  </r>
  <r>
    <x v="1346"/>
    <x v="194"/>
    <x v="7"/>
    <x v="0"/>
    <x v="2"/>
    <x v="0"/>
    <s v="Revenue"/>
    <n v="157725"/>
    <n v="163300"/>
  </r>
  <r>
    <x v="1347"/>
    <x v="194"/>
    <x v="1"/>
    <x v="0"/>
    <x v="1"/>
    <x v="9"/>
    <s v="Expense"/>
    <n v="92734"/>
    <n v="88000"/>
  </r>
  <r>
    <x v="1348"/>
    <x v="194"/>
    <x v="5"/>
    <x v="0"/>
    <x v="3"/>
    <x v="9"/>
    <s v="Expense"/>
    <n v="33055"/>
    <n v="34300"/>
  </r>
  <r>
    <x v="1349"/>
    <x v="194"/>
    <x v="5"/>
    <x v="0"/>
    <x v="3"/>
    <x v="6"/>
    <s v="Expense"/>
    <n v="17004"/>
    <n v="17800"/>
  </r>
  <r>
    <x v="1350"/>
    <x v="194"/>
    <x v="2"/>
    <x v="0"/>
    <x v="2"/>
    <x v="2"/>
    <s v="Revenue"/>
    <n v="117459"/>
    <n v="131000"/>
  </r>
  <r>
    <x v="1351"/>
    <x v="194"/>
    <x v="3"/>
    <x v="0"/>
    <x v="2"/>
    <x v="7"/>
    <s v="Revenue"/>
    <n v="164842"/>
    <n v="181200"/>
  </r>
  <r>
    <x v="1352"/>
    <x v="194"/>
    <x v="4"/>
    <x v="0"/>
    <x v="1"/>
    <x v="0"/>
    <s v="Revenue"/>
    <n v="143854"/>
    <n v="139100"/>
  </r>
  <r>
    <x v="1353"/>
    <x v="194"/>
    <x v="4"/>
    <x v="0"/>
    <x v="1"/>
    <x v="0"/>
    <s v="Revenue"/>
    <n v="74125"/>
    <n v="71400"/>
  </r>
  <r>
    <x v="1354"/>
    <x v="195"/>
    <x v="7"/>
    <x v="0"/>
    <x v="2"/>
    <x v="3"/>
    <s v="Revenue"/>
    <n v="34137"/>
    <n v="36100"/>
  </r>
  <r>
    <x v="1355"/>
    <x v="195"/>
    <x v="2"/>
    <x v="0"/>
    <x v="2"/>
    <x v="9"/>
    <s v="Expense"/>
    <n v="13562"/>
    <n v="14400"/>
  </r>
  <r>
    <x v="1356"/>
    <x v="195"/>
    <x v="3"/>
    <x v="0"/>
    <x v="2"/>
    <x v="10"/>
    <s v="Expense"/>
    <n v="102974"/>
    <n v="96600"/>
  </r>
  <r>
    <x v="1357"/>
    <x v="195"/>
    <x v="6"/>
    <x v="0"/>
    <x v="3"/>
    <x v="3"/>
    <s v="Revenue"/>
    <n v="221548"/>
    <n v="231600"/>
  </r>
  <r>
    <x v="1358"/>
    <x v="196"/>
    <x v="7"/>
    <x v="0"/>
    <x v="2"/>
    <x v="9"/>
    <s v="Expense"/>
    <n v="51178"/>
    <n v="46400"/>
  </r>
  <r>
    <x v="1359"/>
    <x v="196"/>
    <x v="7"/>
    <x v="0"/>
    <x v="2"/>
    <x v="11"/>
    <s v="Revenue"/>
    <n v="238466"/>
    <n v="255500"/>
  </r>
  <r>
    <x v="1360"/>
    <x v="196"/>
    <x v="7"/>
    <x v="0"/>
    <x v="2"/>
    <x v="3"/>
    <s v="Revenue"/>
    <n v="101807"/>
    <n v="112600"/>
  </r>
  <r>
    <x v="1361"/>
    <x v="196"/>
    <x v="0"/>
    <x v="0"/>
    <x v="0"/>
    <x v="5"/>
    <s v="Expense"/>
    <n v="80670"/>
    <n v="83600"/>
  </r>
  <r>
    <x v="1362"/>
    <x v="196"/>
    <x v="1"/>
    <x v="0"/>
    <x v="1"/>
    <x v="5"/>
    <s v="Expense"/>
    <n v="87576"/>
    <n v="96700"/>
  </r>
  <r>
    <x v="1363"/>
    <x v="196"/>
    <x v="1"/>
    <x v="0"/>
    <x v="1"/>
    <x v="10"/>
    <s v="Expense"/>
    <n v="103435"/>
    <n v="95800"/>
  </r>
  <r>
    <x v="1364"/>
    <x v="196"/>
    <x v="2"/>
    <x v="0"/>
    <x v="2"/>
    <x v="5"/>
    <s v="Expense"/>
    <n v="52000"/>
    <n v="54700"/>
  </r>
  <r>
    <x v="1365"/>
    <x v="196"/>
    <x v="3"/>
    <x v="0"/>
    <x v="2"/>
    <x v="5"/>
    <s v="Expense"/>
    <n v="13266"/>
    <n v="14500"/>
  </r>
  <r>
    <x v="1366"/>
    <x v="196"/>
    <x v="3"/>
    <x v="0"/>
    <x v="2"/>
    <x v="7"/>
    <s v="Revenue"/>
    <n v="63232"/>
    <n v="71900"/>
  </r>
  <r>
    <x v="1367"/>
    <x v="196"/>
    <x v="4"/>
    <x v="0"/>
    <x v="1"/>
    <x v="11"/>
    <s v="Revenue"/>
    <n v="146218"/>
    <n v="154700"/>
  </r>
  <r>
    <x v="1368"/>
    <x v="196"/>
    <x v="6"/>
    <x v="0"/>
    <x v="3"/>
    <x v="7"/>
    <s v="Revenue"/>
    <n v="144860"/>
    <n v="149900"/>
  </r>
  <r>
    <x v="1369"/>
    <x v="196"/>
    <x v="6"/>
    <x v="0"/>
    <x v="3"/>
    <x v="11"/>
    <s v="Revenue"/>
    <n v="98433"/>
    <n v="100900"/>
  </r>
  <r>
    <x v="1370"/>
    <x v="197"/>
    <x v="7"/>
    <x v="0"/>
    <x v="2"/>
    <x v="8"/>
    <s v="Expense"/>
    <n v="56658"/>
    <n v="62000"/>
  </r>
  <r>
    <x v="1371"/>
    <x v="197"/>
    <x v="1"/>
    <x v="0"/>
    <x v="1"/>
    <x v="6"/>
    <s v="Expense"/>
    <n v="43044"/>
    <n v="38400"/>
  </r>
  <r>
    <x v="1372"/>
    <x v="197"/>
    <x v="5"/>
    <x v="0"/>
    <x v="3"/>
    <x v="2"/>
    <s v="Revenue"/>
    <n v="227465"/>
    <n v="269600"/>
  </r>
  <r>
    <x v="1373"/>
    <x v="197"/>
    <x v="2"/>
    <x v="0"/>
    <x v="2"/>
    <x v="6"/>
    <s v="Expense"/>
    <n v="57292"/>
    <n v="57400"/>
  </r>
  <r>
    <x v="1374"/>
    <x v="197"/>
    <x v="2"/>
    <x v="0"/>
    <x v="2"/>
    <x v="5"/>
    <s v="Expense"/>
    <n v="13800"/>
    <n v="14100"/>
  </r>
  <r>
    <x v="1375"/>
    <x v="197"/>
    <x v="3"/>
    <x v="0"/>
    <x v="2"/>
    <x v="9"/>
    <s v="Expense"/>
    <n v="50737"/>
    <n v="58000"/>
  </r>
  <r>
    <x v="1376"/>
    <x v="198"/>
    <x v="7"/>
    <x v="0"/>
    <x v="2"/>
    <x v="10"/>
    <s v="Expense"/>
    <n v="23927"/>
    <n v="24400"/>
  </r>
  <r>
    <x v="1377"/>
    <x v="198"/>
    <x v="7"/>
    <x v="0"/>
    <x v="2"/>
    <x v="11"/>
    <s v="Revenue"/>
    <n v="208180"/>
    <n v="203200"/>
  </r>
  <r>
    <x v="1378"/>
    <x v="198"/>
    <x v="1"/>
    <x v="0"/>
    <x v="1"/>
    <x v="5"/>
    <s v="Expense"/>
    <n v="89288"/>
    <n v="80000"/>
  </r>
  <r>
    <x v="1379"/>
    <x v="198"/>
    <x v="5"/>
    <x v="0"/>
    <x v="3"/>
    <x v="11"/>
    <s v="Revenue"/>
    <n v="148859"/>
    <n v="159200"/>
  </r>
  <r>
    <x v="1380"/>
    <x v="198"/>
    <x v="2"/>
    <x v="0"/>
    <x v="2"/>
    <x v="8"/>
    <s v="Expense"/>
    <n v="110180"/>
    <n v="111700"/>
  </r>
  <r>
    <x v="1381"/>
    <x v="198"/>
    <x v="2"/>
    <x v="0"/>
    <x v="2"/>
    <x v="4"/>
    <s v="Revenue"/>
    <n v="26960"/>
    <n v="25900"/>
  </r>
  <r>
    <x v="1382"/>
    <x v="198"/>
    <x v="2"/>
    <x v="0"/>
    <x v="2"/>
    <x v="2"/>
    <s v="Revenue"/>
    <n v="32948"/>
    <n v="35100"/>
  </r>
  <r>
    <x v="1383"/>
    <x v="198"/>
    <x v="3"/>
    <x v="0"/>
    <x v="2"/>
    <x v="9"/>
    <s v="Expense"/>
    <n v="107495"/>
    <n v="104300"/>
  </r>
  <r>
    <x v="1384"/>
    <x v="198"/>
    <x v="3"/>
    <x v="0"/>
    <x v="2"/>
    <x v="7"/>
    <s v="Revenue"/>
    <n v="165645"/>
    <n v="157900"/>
  </r>
  <r>
    <x v="1385"/>
    <x v="198"/>
    <x v="4"/>
    <x v="0"/>
    <x v="1"/>
    <x v="4"/>
    <s v="Revenue"/>
    <n v="175936"/>
    <n v="197300"/>
  </r>
  <r>
    <x v="1386"/>
    <x v="198"/>
    <x v="6"/>
    <x v="0"/>
    <x v="3"/>
    <x v="0"/>
    <s v="Revenue"/>
    <n v="26679"/>
    <n v="26300"/>
  </r>
  <r>
    <x v="1387"/>
    <x v="199"/>
    <x v="7"/>
    <x v="0"/>
    <x v="2"/>
    <x v="3"/>
    <s v="Revenue"/>
    <n v="109744"/>
    <n v="114700"/>
  </r>
  <r>
    <x v="1388"/>
    <x v="199"/>
    <x v="3"/>
    <x v="0"/>
    <x v="2"/>
    <x v="4"/>
    <s v="Revenue"/>
    <n v="106145"/>
    <n v="75000"/>
  </r>
  <r>
    <x v="1389"/>
    <x v="199"/>
    <x v="4"/>
    <x v="0"/>
    <x v="1"/>
    <x v="11"/>
    <s v="Revenue"/>
    <n v="129110"/>
    <n v="119600"/>
  </r>
  <r>
    <x v="1390"/>
    <x v="199"/>
    <x v="6"/>
    <x v="0"/>
    <x v="3"/>
    <x v="9"/>
    <s v="Expense"/>
    <n v="15357"/>
    <n v="14900"/>
  </r>
  <r>
    <x v="1391"/>
    <x v="199"/>
    <x v="6"/>
    <x v="0"/>
    <x v="3"/>
    <x v="7"/>
    <s v="Revenue"/>
    <n v="192532"/>
    <n v="201700"/>
  </r>
  <r>
    <x v="1392"/>
    <x v="200"/>
    <x v="7"/>
    <x v="0"/>
    <x v="2"/>
    <x v="2"/>
    <s v="Revenue"/>
    <n v="106599"/>
    <n v="109500"/>
  </r>
  <r>
    <x v="1393"/>
    <x v="200"/>
    <x v="7"/>
    <x v="0"/>
    <x v="2"/>
    <x v="2"/>
    <s v="Revenue"/>
    <n v="219392"/>
    <n v="188900"/>
  </r>
  <r>
    <x v="1394"/>
    <x v="200"/>
    <x v="2"/>
    <x v="0"/>
    <x v="2"/>
    <x v="8"/>
    <s v="Expense"/>
    <n v="18458"/>
    <n v="18100"/>
  </r>
  <r>
    <x v="1395"/>
    <x v="200"/>
    <x v="3"/>
    <x v="0"/>
    <x v="2"/>
    <x v="10"/>
    <s v="Expense"/>
    <n v="114292"/>
    <n v="110100"/>
  </r>
  <r>
    <x v="1396"/>
    <x v="200"/>
    <x v="3"/>
    <x v="0"/>
    <x v="2"/>
    <x v="11"/>
    <s v="Revenue"/>
    <n v="99118"/>
    <n v="87500"/>
  </r>
  <r>
    <x v="1397"/>
    <x v="200"/>
    <x v="4"/>
    <x v="0"/>
    <x v="1"/>
    <x v="8"/>
    <s v="Expense"/>
    <n v="46181"/>
    <n v="48300"/>
  </r>
  <r>
    <x v="1398"/>
    <x v="200"/>
    <x v="4"/>
    <x v="0"/>
    <x v="1"/>
    <x v="11"/>
    <s v="Revenue"/>
    <n v="222132"/>
    <n v="198200"/>
  </r>
  <r>
    <x v="1399"/>
    <x v="200"/>
    <x v="6"/>
    <x v="0"/>
    <x v="3"/>
    <x v="9"/>
    <s v="Expense"/>
    <n v="64528"/>
    <n v="62100"/>
  </r>
  <r>
    <x v="1400"/>
    <x v="200"/>
    <x v="6"/>
    <x v="0"/>
    <x v="3"/>
    <x v="6"/>
    <s v="Expense"/>
    <n v="117123"/>
    <n v="117900"/>
  </r>
  <r>
    <x v="1401"/>
    <x v="201"/>
    <x v="7"/>
    <x v="0"/>
    <x v="2"/>
    <x v="10"/>
    <s v="Expense"/>
    <n v="42566"/>
    <n v="41900"/>
  </r>
  <r>
    <x v="1402"/>
    <x v="201"/>
    <x v="0"/>
    <x v="0"/>
    <x v="0"/>
    <x v="2"/>
    <s v="Revenue"/>
    <n v="40909"/>
    <n v="39500"/>
  </r>
  <r>
    <x v="1403"/>
    <x v="201"/>
    <x v="5"/>
    <x v="0"/>
    <x v="3"/>
    <x v="11"/>
    <s v="Revenue"/>
    <n v="56137"/>
    <n v="46800"/>
  </r>
  <r>
    <x v="1404"/>
    <x v="201"/>
    <x v="3"/>
    <x v="0"/>
    <x v="2"/>
    <x v="10"/>
    <s v="Expense"/>
    <n v="56983"/>
    <n v="54900"/>
  </r>
  <r>
    <x v="1405"/>
    <x v="201"/>
    <x v="3"/>
    <x v="0"/>
    <x v="2"/>
    <x v="10"/>
    <s v="Expense"/>
    <n v="82162"/>
    <n v="77500"/>
  </r>
  <r>
    <x v="1406"/>
    <x v="202"/>
    <x v="7"/>
    <x v="0"/>
    <x v="2"/>
    <x v="0"/>
    <s v="Revenue"/>
    <n v="121189"/>
    <n v="116300"/>
  </r>
  <r>
    <x v="1407"/>
    <x v="202"/>
    <x v="0"/>
    <x v="0"/>
    <x v="0"/>
    <x v="3"/>
    <s v="Revenue"/>
    <n v="165567"/>
    <n v="177300"/>
  </r>
  <r>
    <x v="1408"/>
    <x v="202"/>
    <x v="1"/>
    <x v="0"/>
    <x v="1"/>
    <x v="4"/>
    <s v="Revenue"/>
    <n v="50643"/>
    <n v="51200"/>
  </r>
  <r>
    <x v="1409"/>
    <x v="202"/>
    <x v="1"/>
    <x v="0"/>
    <x v="1"/>
    <x v="0"/>
    <s v="Revenue"/>
    <n v="173849"/>
    <n v="186000"/>
  </r>
  <r>
    <x v="1410"/>
    <x v="202"/>
    <x v="2"/>
    <x v="0"/>
    <x v="2"/>
    <x v="1"/>
    <s v="Expense"/>
    <n v="48114"/>
    <n v="40800"/>
  </r>
  <r>
    <x v="1411"/>
    <x v="202"/>
    <x v="6"/>
    <x v="0"/>
    <x v="3"/>
    <x v="9"/>
    <s v="Expense"/>
    <n v="84873"/>
    <n v="86900"/>
  </r>
  <r>
    <x v="1412"/>
    <x v="203"/>
    <x v="1"/>
    <x v="0"/>
    <x v="1"/>
    <x v="5"/>
    <s v="Expense"/>
    <n v="114592"/>
    <n v="108800"/>
  </r>
  <r>
    <x v="1413"/>
    <x v="203"/>
    <x v="1"/>
    <x v="0"/>
    <x v="1"/>
    <x v="2"/>
    <s v="Revenue"/>
    <n v="101285"/>
    <n v="100500"/>
  </r>
  <r>
    <x v="1414"/>
    <x v="203"/>
    <x v="2"/>
    <x v="0"/>
    <x v="2"/>
    <x v="7"/>
    <s v="Revenue"/>
    <n v="66027"/>
    <n v="65600"/>
  </r>
  <r>
    <x v="1415"/>
    <x v="203"/>
    <x v="2"/>
    <x v="0"/>
    <x v="2"/>
    <x v="7"/>
    <s v="Revenue"/>
    <n v="95343"/>
    <n v="89700"/>
  </r>
  <r>
    <x v="1416"/>
    <x v="203"/>
    <x v="3"/>
    <x v="0"/>
    <x v="2"/>
    <x v="8"/>
    <s v="Expense"/>
    <n v="46386"/>
    <n v="47400"/>
  </r>
  <r>
    <x v="1417"/>
    <x v="203"/>
    <x v="3"/>
    <x v="0"/>
    <x v="2"/>
    <x v="1"/>
    <s v="Expense"/>
    <n v="31901"/>
    <n v="31400"/>
  </r>
  <r>
    <x v="1418"/>
    <x v="203"/>
    <x v="3"/>
    <x v="0"/>
    <x v="2"/>
    <x v="1"/>
    <s v="Expense"/>
    <n v="30114"/>
    <n v="25700"/>
  </r>
  <r>
    <x v="1419"/>
    <x v="203"/>
    <x v="4"/>
    <x v="0"/>
    <x v="1"/>
    <x v="1"/>
    <s v="Expense"/>
    <n v="59281"/>
    <n v="60400"/>
  </r>
  <r>
    <x v="1420"/>
    <x v="203"/>
    <x v="6"/>
    <x v="0"/>
    <x v="3"/>
    <x v="5"/>
    <s v="Expense"/>
    <n v="14716"/>
    <n v="14900"/>
  </r>
  <r>
    <x v="1421"/>
    <x v="204"/>
    <x v="7"/>
    <x v="0"/>
    <x v="2"/>
    <x v="6"/>
    <s v="Expense"/>
    <n v="17323"/>
    <n v="15400"/>
  </r>
  <r>
    <x v="1422"/>
    <x v="204"/>
    <x v="2"/>
    <x v="0"/>
    <x v="2"/>
    <x v="0"/>
    <s v="Revenue"/>
    <n v="238233"/>
    <n v="263100"/>
  </r>
  <r>
    <x v="1423"/>
    <x v="204"/>
    <x v="3"/>
    <x v="0"/>
    <x v="2"/>
    <x v="7"/>
    <s v="Revenue"/>
    <n v="45460"/>
    <n v="42500"/>
  </r>
  <r>
    <x v="1424"/>
    <x v="204"/>
    <x v="4"/>
    <x v="0"/>
    <x v="1"/>
    <x v="0"/>
    <s v="Revenue"/>
    <n v="32110"/>
    <n v="28200"/>
  </r>
  <r>
    <x v="1425"/>
    <x v="204"/>
    <x v="6"/>
    <x v="0"/>
    <x v="3"/>
    <x v="10"/>
    <s v="Expense"/>
    <n v="84864"/>
    <n v="100100"/>
  </r>
  <r>
    <x v="1426"/>
    <x v="204"/>
    <x v="6"/>
    <x v="0"/>
    <x v="3"/>
    <x v="7"/>
    <s v="Revenue"/>
    <n v="66472"/>
    <n v="66600"/>
  </r>
  <r>
    <x v="1427"/>
    <x v="205"/>
    <x v="0"/>
    <x v="0"/>
    <x v="0"/>
    <x v="9"/>
    <s v="Expense"/>
    <n v="51933"/>
    <n v="54100"/>
  </r>
  <r>
    <x v="1428"/>
    <x v="205"/>
    <x v="0"/>
    <x v="0"/>
    <x v="0"/>
    <x v="5"/>
    <s v="Expense"/>
    <n v="71470"/>
    <n v="74700"/>
  </r>
  <r>
    <x v="1429"/>
    <x v="205"/>
    <x v="1"/>
    <x v="0"/>
    <x v="1"/>
    <x v="6"/>
    <s v="Expense"/>
    <n v="17994"/>
    <n v="14700"/>
  </r>
  <r>
    <x v="1430"/>
    <x v="205"/>
    <x v="1"/>
    <x v="0"/>
    <x v="1"/>
    <x v="1"/>
    <s v="Expense"/>
    <n v="99556"/>
    <n v="97100"/>
  </r>
  <r>
    <x v="1431"/>
    <x v="205"/>
    <x v="1"/>
    <x v="0"/>
    <x v="1"/>
    <x v="3"/>
    <s v="Revenue"/>
    <n v="43454"/>
    <n v="42400"/>
  </r>
  <r>
    <x v="1432"/>
    <x v="205"/>
    <x v="5"/>
    <x v="0"/>
    <x v="3"/>
    <x v="2"/>
    <s v="Revenue"/>
    <n v="118366"/>
    <n v="103500"/>
  </r>
  <r>
    <x v="1433"/>
    <x v="205"/>
    <x v="2"/>
    <x v="0"/>
    <x v="2"/>
    <x v="0"/>
    <s v="Revenue"/>
    <n v="104154"/>
    <n v="97500"/>
  </r>
  <r>
    <x v="1434"/>
    <x v="205"/>
    <x v="3"/>
    <x v="0"/>
    <x v="2"/>
    <x v="1"/>
    <s v="Expense"/>
    <n v="77444"/>
    <n v="76600"/>
  </r>
  <r>
    <x v="1435"/>
    <x v="205"/>
    <x v="3"/>
    <x v="0"/>
    <x v="2"/>
    <x v="10"/>
    <s v="Expense"/>
    <n v="19560"/>
    <n v="16900"/>
  </r>
  <r>
    <x v="1436"/>
    <x v="205"/>
    <x v="3"/>
    <x v="0"/>
    <x v="2"/>
    <x v="7"/>
    <s v="Revenue"/>
    <n v="201404"/>
    <n v="171500"/>
  </r>
  <r>
    <x v="1437"/>
    <x v="205"/>
    <x v="4"/>
    <x v="0"/>
    <x v="1"/>
    <x v="5"/>
    <s v="Expense"/>
    <n v="48645"/>
    <n v="44200"/>
  </r>
  <r>
    <x v="1438"/>
    <x v="205"/>
    <x v="4"/>
    <x v="0"/>
    <x v="1"/>
    <x v="5"/>
    <s v="Expense"/>
    <n v="23838"/>
    <n v="24000"/>
  </r>
  <r>
    <x v="1439"/>
    <x v="205"/>
    <x v="4"/>
    <x v="0"/>
    <x v="1"/>
    <x v="0"/>
    <s v="Revenue"/>
    <n v="240544"/>
    <n v="206100"/>
  </r>
  <r>
    <x v="1440"/>
    <x v="205"/>
    <x v="6"/>
    <x v="0"/>
    <x v="3"/>
    <x v="9"/>
    <s v="Expense"/>
    <n v="105088"/>
    <n v="103100"/>
  </r>
  <r>
    <x v="1441"/>
    <x v="205"/>
    <x v="6"/>
    <x v="0"/>
    <x v="3"/>
    <x v="9"/>
    <s v="Expense"/>
    <n v="12852"/>
    <n v="12400"/>
  </r>
  <r>
    <x v="1442"/>
    <x v="206"/>
    <x v="7"/>
    <x v="0"/>
    <x v="2"/>
    <x v="1"/>
    <s v="Expense"/>
    <n v="24165"/>
    <n v="23800"/>
  </r>
  <r>
    <x v="1443"/>
    <x v="206"/>
    <x v="0"/>
    <x v="0"/>
    <x v="0"/>
    <x v="1"/>
    <s v="Expense"/>
    <n v="61362"/>
    <n v="64500"/>
  </r>
  <r>
    <x v="1444"/>
    <x v="206"/>
    <x v="0"/>
    <x v="0"/>
    <x v="0"/>
    <x v="2"/>
    <s v="Revenue"/>
    <n v="87857"/>
    <n v="80500"/>
  </r>
  <r>
    <x v="1445"/>
    <x v="206"/>
    <x v="1"/>
    <x v="0"/>
    <x v="1"/>
    <x v="5"/>
    <s v="Expense"/>
    <n v="87110"/>
    <n v="98400"/>
  </r>
  <r>
    <x v="1446"/>
    <x v="206"/>
    <x v="5"/>
    <x v="0"/>
    <x v="3"/>
    <x v="10"/>
    <s v="Expense"/>
    <n v="39403"/>
    <n v="38800"/>
  </r>
  <r>
    <x v="1447"/>
    <x v="206"/>
    <x v="5"/>
    <x v="0"/>
    <x v="3"/>
    <x v="6"/>
    <s v="Expense"/>
    <n v="94025"/>
    <n v="87300"/>
  </r>
  <r>
    <x v="1448"/>
    <x v="206"/>
    <x v="5"/>
    <x v="0"/>
    <x v="3"/>
    <x v="0"/>
    <s v="Revenue"/>
    <n v="199691"/>
    <n v="178500"/>
  </r>
  <r>
    <x v="1449"/>
    <x v="206"/>
    <x v="5"/>
    <x v="0"/>
    <x v="3"/>
    <x v="11"/>
    <s v="Revenue"/>
    <n v="127229"/>
    <n v="132100"/>
  </r>
  <r>
    <x v="1450"/>
    <x v="206"/>
    <x v="2"/>
    <x v="0"/>
    <x v="2"/>
    <x v="11"/>
    <s v="Revenue"/>
    <n v="90419"/>
    <n v="105700"/>
  </r>
  <r>
    <x v="1451"/>
    <x v="206"/>
    <x v="3"/>
    <x v="0"/>
    <x v="2"/>
    <x v="2"/>
    <s v="Revenue"/>
    <n v="211276"/>
    <n v="204200"/>
  </r>
  <r>
    <x v="1452"/>
    <x v="207"/>
    <x v="7"/>
    <x v="0"/>
    <x v="2"/>
    <x v="5"/>
    <s v="Expense"/>
    <n v="82102"/>
    <n v="75300"/>
  </r>
  <r>
    <x v="1453"/>
    <x v="207"/>
    <x v="0"/>
    <x v="0"/>
    <x v="0"/>
    <x v="1"/>
    <s v="Expense"/>
    <n v="111591"/>
    <n v="102100"/>
  </r>
  <r>
    <x v="1454"/>
    <x v="207"/>
    <x v="0"/>
    <x v="0"/>
    <x v="0"/>
    <x v="1"/>
    <s v="Expense"/>
    <n v="113507"/>
    <n v="100000"/>
  </r>
  <r>
    <x v="1455"/>
    <x v="207"/>
    <x v="1"/>
    <x v="0"/>
    <x v="1"/>
    <x v="10"/>
    <s v="Expense"/>
    <n v="57736"/>
    <n v="48100"/>
  </r>
  <r>
    <x v="1456"/>
    <x v="207"/>
    <x v="1"/>
    <x v="0"/>
    <x v="1"/>
    <x v="7"/>
    <s v="Revenue"/>
    <n v="106489"/>
    <n v="100100"/>
  </r>
  <r>
    <x v="1457"/>
    <x v="207"/>
    <x v="5"/>
    <x v="0"/>
    <x v="3"/>
    <x v="3"/>
    <s v="Revenue"/>
    <n v="115640"/>
    <n v="99800"/>
  </r>
  <r>
    <x v="1458"/>
    <x v="207"/>
    <x v="2"/>
    <x v="0"/>
    <x v="2"/>
    <x v="6"/>
    <s v="Expense"/>
    <n v="118182"/>
    <n v="119800"/>
  </r>
  <r>
    <x v="1459"/>
    <x v="207"/>
    <x v="3"/>
    <x v="0"/>
    <x v="2"/>
    <x v="4"/>
    <s v="Revenue"/>
    <n v="226522"/>
    <n v="230700"/>
  </r>
  <r>
    <x v="1460"/>
    <x v="208"/>
    <x v="0"/>
    <x v="0"/>
    <x v="0"/>
    <x v="6"/>
    <s v="Expense"/>
    <n v="84606"/>
    <n v="78700"/>
  </r>
  <r>
    <x v="1461"/>
    <x v="208"/>
    <x v="5"/>
    <x v="0"/>
    <x v="3"/>
    <x v="11"/>
    <s v="Revenue"/>
    <n v="93169"/>
    <n v="98200"/>
  </r>
  <r>
    <x v="1462"/>
    <x v="208"/>
    <x v="2"/>
    <x v="0"/>
    <x v="2"/>
    <x v="0"/>
    <s v="Revenue"/>
    <n v="118901"/>
    <n v="122700"/>
  </r>
  <r>
    <x v="1463"/>
    <x v="208"/>
    <x v="4"/>
    <x v="0"/>
    <x v="1"/>
    <x v="1"/>
    <s v="Expense"/>
    <n v="56623"/>
    <n v="53000"/>
  </r>
  <r>
    <x v="1464"/>
    <x v="208"/>
    <x v="6"/>
    <x v="0"/>
    <x v="3"/>
    <x v="10"/>
    <s v="Expense"/>
    <n v="95985"/>
    <n v="102300"/>
  </r>
  <r>
    <x v="1465"/>
    <x v="208"/>
    <x v="6"/>
    <x v="0"/>
    <x v="3"/>
    <x v="3"/>
    <s v="Revenue"/>
    <n v="180534"/>
    <n v="170400"/>
  </r>
  <r>
    <x v="1466"/>
    <x v="208"/>
    <x v="6"/>
    <x v="0"/>
    <x v="3"/>
    <x v="3"/>
    <s v="Revenue"/>
    <n v="166427"/>
    <n v="168400"/>
  </r>
  <r>
    <x v="1467"/>
    <x v="209"/>
    <x v="7"/>
    <x v="0"/>
    <x v="2"/>
    <x v="7"/>
    <s v="Revenue"/>
    <n v="72251"/>
    <n v="72700"/>
  </r>
  <r>
    <x v="1468"/>
    <x v="209"/>
    <x v="1"/>
    <x v="0"/>
    <x v="1"/>
    <x v="1"/>
    <s v="Expense"/>
    <n v="80311"/>
    <n v="79800"/>
  </r>
  <r>
    <x v="1469"/>
    <x v="209"/>
    <x v="1"/>
    <x v="0"/>
    <x v="1"/>
    <x v="2"/>
    <s v="Revenue"/>
    <n v="240025"/>
    <n v="243600"/>
  </r>
  <r>
    <x v="1470"/>
    <x v="209"/>
    <x v="2"/>
    <x v="0"/>
    <x v="2"/>
    <x v="10"/>
    <s v="Expense"/>
    <n v="52866"/>
    <n v="54400"/>
  </r>
  <r>
    <x v="1471"/>
    <x v="209"/>
    <x v="3"/>
    <x v="0"/>
    <x v="2"/>
    <x v="11"/>
    <s v="Revenue"/>
    <n v="124114"/>
    <n v="129000"/>
  </r>
  <r>
    <x v="1472"/>
    <x v="209"/>
    <x v="4"/>
    <x v="0"/>
    <x v="1"/>
    <x v="0"/>
    <s v="Revenue"/>
    <n v="98610"/>
    <n v="104700"/>
  </r>
  <r>
    <x v="1473"/>
    <x v="209"/>
    <x v="4"/>
    <x v="0"/>
    <x v="1"/>
    <x v="4"/>
    <s v="Revenue"/>
    <n v="44639"/>
    <n v="42200"/>
  </r>
  <r>
    <x v="1474"/>
    <x v="210"/>
    <x v="0"/>
    <x v="0"/>
    <x v="0"/>
    <x v="1"/>
    <s v="Expense"/>
    <n v="56974"/>
    <n v="52200"/>
  </r>
  <r>
    <x v="1475"/>
    <x v="210"/>
    <x v="5"/>
    <x v="0"/>
    <x v="3"/>
    <x v="9"/>
    <s v="Expense"/>
    <n v="35104"/>
    <n v="35300"/>
  </r>
  <r>
    <x v="1476"/>
    <x v="210"/>
    <x v="6"/>
    <x v="0"/>
    <x v="3"/>
    <x v="6"/>
    <s v="Expense"/>
    <n v="19910"/>
    <n v="19500"/>
  </r>
  <r>
    <x v="1477"/>
    <x v="210"/>
    <x v="6"/>
    <x v="0"/>
    <x v="3"/>
    <x v="2"/>
    <s v="Revenue"/>
    <n v="225082"/>
    <n v="206500"/>
  </r>
  <r>
    <x v="1478"/>
    <x v="210"/>
    <x v="6"/>
    <x v="0"/>
    <x v="3"/>
    <x v="4"/>
    <s v="Revenue"/>
    <n v="45321"/>
    <n v="42500"/>
  </r>
  <r>
    <x v="1479"/>
    <x v="211"/>
    <x v="7"/>
    <x v="0"/>
    <x v="2"/>
    <x v="6"/>
    <s v="Expense"/>
    <n v="85577"/>
    <n v="88600"/>
  </r>
  <r>
    <x v="1480"/>
    <x v="211"/>
    <x v="7"/>
    <x v="0"/>
    <x v="2"/>
    <x v="11"/>
    <s v="Revenue"/>
    <n v="190450"/>
    <n v="187400"/>
  </r>
  <r>
    <x v="1481"/>
    <x v="211"/>
    <x v="1"/>
    <x v="0"/>
    <x v="1"/>
    <x v="5"/>
    <s v="Expense"/>
    <n v="97588"/>
    <n v="106000"/>
  </r>
  <r>
    <x v="1482"/>
    <x v="211"/>
    <x v="5"/>
    <x v="0"/>
    <x v="3"/>
    <x v="6"/>
    <s v="Expense"/>
    <n v="61585"/>
    <n v="69200"/>
  </r>
  <r>
    <x v="1483"/>
    <x v="211"/>
    <x v="2"/>
    <x v="0"/>
    <x v="2"/>
    <x v="0"/>
    <s v="Revenue"/>
    <n v="198538"/>
    <n v="188600"/>
  </r>
  <r>
    <x v="1484"/>
    <x v="211"/>
    <x v="3"/>
    <x v="0"/>
    <x v="2"/>
    <x v="1"/>
    <s v="Expense"/>
    <n v="95919"/>
    <n v="94200"/>
  </r>
  <r>
    <x v="1485"/>
    <x v="211"/>
    <x v="4"/>
    <x v="0"/>
    <x v="1"/>
    <x v="8"/>
    <s v="Expense"/>
    <n v="94284"/>
    <n v="87500"/>
  </r>
  <r>
    <x v="1486"/>
    <x v="211"/>
    <x v="6"/>
    <x v="0"/>
    <x v="3"/>
    <x v="8"/>
    <s v="Expense"/>
    <n v="63889"/>
    <n v="69500"/>
  </r>
  <r>
    <x v="1487"/>
    <x v="212"/>
    <x v="0"/>
    <x v="0"/>
    <x v="0"/>
    <x v="2"/>
    <s v="Revenue"/>
    <n v="130298"/>
    <n v="138600"/>
  </r>
  <r>
    <x v="1488"/>
    <x v="212"/>
    <x v="5"/>
    <x v="0"/>
    <x v="3"/>
    <x v="1"/>
    <s v="Expense"/>
    <n v="103880"/>
    <n v="89400"/>
  </r>
  <r>
    <x v="1489"/>
    <x v="212"/>
    <x v="5"/>
    <x v="0"/>
    <x v="3"/>
    <x v="4"/>
    <s v="Revenue"/>
    <n v="173492"/>
    <n v="189100"/>
  </r>
  <r>
    <x v="1490"/>
    <x v="212"/>
    <x v="3"/>
    <x v="0"/>
    <x v="2"/>
    <x v="7"/>
    <s v="Revenue"/>
    <n v="91832"/>
    <n v="83200"/>
  </r>
  <r>
    <x v="1491"/>
    <x v="213"/>
    <x v="7"/>
    <x v="0"/>
    <x v="2"/>
    <x v="9"/>
    <s v="Expense"/>
    <n v="85186"/>
    <n v="73200"/>
  </r>
  <r>
    <x v="1492"/>
    <x v="213"/>
    <x v="7"/>
    <x v="0"/>
    <x v="2"/>
    <x v="3"/>
    <s v="Revenue"/>
    <n v="134039"/>
    <n v="141700"/>
  </r>
  <r>
    <x v="1493"/>
    <x v="213"/>
    <x v="1"/>
    <x v="0"/>
    <x v="1"/>
    <x v="4"/>
    <s v="Revenue"/>
    <n v="241345"/>
    <n v="234200"/>
  </r>
  <r>
    <x v="1494"/>
    <x v="214"/>
    <x v="7"/>
    <x v="0"/>
    <x v="2"/>
    <x v="1"/>
    <s v="Expense"/>
    <n v="111307"/>
    <n v="109700"/>
  </r>
  <r>
    <x v="1495"/>
    <x v="214"/>
    <x v="0"/>
    <x v="0"/>
    <x v="0"/>
    <x v="6"/>
    <s v="Expense"/>
    <n v="23644"/>
    <n v="28200"/>
  </r>
  <r>
    <x v="1496"/>
    <x v="214"/>
    <x v="0"/>
    <x v="0"/>
    <x v="0"/>
    <x v="2"/>
    <s v="Revenue"/>
    <n v="153272"/>
    <n v="142900"/>
  </r>
  <r>
    <x v="1497"/>
    <x v="214"/>
    <x v="0"/>
    <x v="0"/>
    <x v="0"/>
    <x v="4"/>
    <s v="Revenue"/>
    <n v="71580"/>
    <n v="75900"/>
  </r>
  <r>
    <x v="1498"/>
    <x v="214"/>
    <x v="1"/>
    <x v="0"/>
    <x v="1"/>
    <x v="0"/>
    <s v="Revenue"/>
    <n v="248636"/>
    <n v="244600"/>
  </r>
  <r>
    <x v="1499"/>
    <x v="214"/>
    <x v="3"/>
    <x v="0"/>
    <x v="2"/>
    <x v="5"/>
    <s v="Expense"/>
    <n v="41879"/>
    <n v="41900"/>
  </r>
  <r>
    <x v="1500"/>
    <x v="214"/>
    <x v="3"/>
    <x v="0"/>
    <x v="2"/>
    <x v="10"/>
    <s v="Expense"/>
    <n v="105514"/>
    <n v="122500"/>
  </r>
  <r>
    <x v="1501"/>
    <x v="214"/>
    <x v="3"/>
    <x v="0"/>
    <x v="2"/>
    <x v="11"/>
    <s v="Revenue"/>
    <n v="124085"/>
    <n v="123900"/>
  </r>
  <r>
    <x v="1502"/>
    <x v="214"/>
    <x v="4"/>
    <x v="0"/>
    <x v="1"/>
    <x v="9"/>
    <s v="Expense"/>
    <n v="85195"/>
    <n v="91500"/>
  </r>
  <r>
    <x v="1503"/>
    <x v="215"/>
    <x v="7"/>
    <x v="0"/>
    <x v="2"/>
    <x v="6"/>
    <s v="Expense"/>
    <n v="43668"/>
    <n v="41400"/>
  </r>
  <r>
    <x v="1504"/>
    <x v="215"/>
    <x v="7"/>
    <x v="0"/>
    <x v="2"/>
    <x v="7"/>
    <s v="Revenue"/>
    <n v="161606"/>
    <n v="177400"/>
  </r>
  <r>
    <x v="1505"/>
    <x v="215"/>
    <x v="0"/>
    <x v="0"/>
    <x v="0"/>
    <x v="2"/>
    <s v="Revenue"/>
    <n v="68598"/>
    <n v="69400"/>
  </r>
  <r>
    <x v="1506"/>
    <x v="215"/>
    <x v="1"/>
    <x v="0"/>
    <x v="1"/>
    <x v="8"/>
    <s v="Expense"/>
    <n v="70913"/>
    <n v="70000"/>
  </r>
  <r>
    <x v="1507"/>
    <x v="215"/>
    <x v="5"/>
    <x v="0"/>
    <x v="3"/>
    <x v="9"/>
    <s v="Expense"/>
    <n v="44464"/>
    <n v="45200"/>
  </r>
  <r>
    <x v="1508"/>
    <x v="215"/>
    <x v="3"/>
    <x v="0"/>
    <x v="2"/>
    <x v="5"/>
    <s v="Expense"/>
    <n v="27214"/>
    <n v="29000"/>
  </r>
  <r>
    <x v="1509"/>
    <x v="216"/>
    <x v="7"/>
    <x v="0"/>
    <x v="2"/>
    <x v="10"/>
    <s v="Expense"/>
    <n v="88697"/>
    <n v="80400"/>
  </r>
  <r>
    <x v="1510"/>
    <x v="216"/>
    <x v="1"/>
    <x v="0"/>
    <x v="1"/>
    <x v="5"/>
    <s v="Expense"/>
    <n v="62382"/>
    <n v="65100"/>
  </r>
  <r>
    <x v="1511"/>
    <x v="216"/>
    <x v="2"/>
    <x v="0"/>
    <x v="2"/>
    <x v="6"/>
    <s v="Expense"/>
    <n v="114484"/>
    <n v="117500"/>
  </r>
  <r>
    <x v="1512"/>
    <x v="216"/>
    <x v="2"/>
    <x v="0"/>
    <x v="2"/>
    <x v="3"/>
    <s v="Revenue"/>
    <n v="144370"/>
    <n v="163600"/>
  </r>
  <r>
    <x v="1513"/>
    <x v="216"/>
    <x v="2"/>
    <x v="0"/>
    <x v="2"/>
    <x v="3"/>
    <s v="Revenue"/>
    <n v="239507"/>
    <n v="247900"/>
  </r>
  <r>
    <x v="1514"/>
    <x v="216"/>
    <x v="3"/>
    <x v="0"/>
    <x v="2"/>
    <x v="10"/>
    <s v="Expense"/>
    <n v="43974"/>
    <n v="36800"/>
  </r>
  <r>
    <x v="1515"/>
    <x v="216"/>
    <x v="3"/>
    <x v="0"/>
    <x v="2"/>
    <x v="11"/>
    <s v="Revenue"/>
    <n v="87307"/>
    <n v="87700"/>
  </r>
  <r>
    <x v="1516"/>
    <x v="216"/>
    <x v="4"/>
    <x v="0"/>
    <x v="1"/>
    <x v="0"/>
    <s v="Revenue"/>
    <n v="226990"/>
    <n v="193300"/>
  </r>
  <r>
    <x v="1517"/>
    <x v="217"/>
    <x v="7"/>
    <x v="0"/>
    <x v="2"/>
    <x v="10"/>
    <s v="Expense"/>
    <n v="32154"/>
    <n v="28900"/>
  </r>
  <r>
    <x v="1518"/>
    <x v="217"/>
    <x v="7"/>
    <x v="0"/>
    <x v="2"/>
    <x v="7"/>
    <s v="Revenue"/>
    <n v="92224"/>
    <n v="81100"/>
  </r>
  <r>
    <x v="1519"/>
    <x v="217"/>
    <x v="0"/>
    <x v="0"/>
    <x v="0"/>
    <x v="4"/>
    <s v="Revenue"/>
    <n v="173349"/>
    <n v="189100"/>
  </r>
  <r>
    <x v="1520"/>
    <x v="217"/>
    <x v="1"/>
    <x v="0"/>
    <x v="1"/>
    <x v="11"/>
    <s v="Revenue"/>
    <n v="135489"/>
    <n v="113900"/>
  </r>
  <r>
    <x v="1521"/>
    <x v="217"/>
    <x v="3"/>
    <x v="0"/>
    <x v="2"/>
    <x v="10"/>
    <s v="Expense"/>
    <n v="30594"/>
    <n v="33400"/>
  </r>
  <r>
    <x v="1522"/>
    <x v="217"/>
    <x v="3"/>
    <x v="0"/>
    <x v="2"/>
    <x v="2"/>
    <s v="Revenue"/>
    <n v="133765"/>
    <n v="131600"/>
  </r>
  <r>
    <x v="1523"/>
    <x v="217"/>
    <x v="4"/>
    <x v="0"/>
    <x v="1"/>
    <x v="10"/>
    <s v="Expense"/>
    <n v="52272"/>
    <n v="50200"/>
  </r>
  <r>
    <x v="1524"/>
    <x v="217"/>
    <x v="4"/>
    <x v="0"/>
    <x v="1"/>
    <x v="2"/>
    <s v="Revenue"/>
    <n v="62329"/>
    <n v="68700"/>
  </r>
  <r>
    <x v="1525"/>
    <x v="217"/>
    <x v="6"/>
    <x v="0"/>
    <x v="3"/>
    <x v="11"/>
    <s v="Revenue"/>
    <n v="60317"/>
    <n v="59900"/>
  </r>
  <r>
    <x v="1526"/>
    <x v="217"/>
    <x v="6"/>
    <x v="0"/>
    <x v="3"/>
    <x v="11"/>
    <s v="Revenue"/>
    <n v="116195"/>
    <n v="114900"/>
  </r>
  <r>
    <x v="1527"/>
    <x v="218"/>
    <x v="7"/>
    <x v="0"/>
    <x v="2"/>
    <x v="1"/>
    <s v="Expense"/>
    <n v="51122"/>
    <n v="49500"/>
  </r>
  <r>
    <x v="1528"/>
    <x v="218"/>
    <x v="7"/>
    <x v="0"/>
    <x v="2"/>
    <x v="4"/>
    <s v="Revenue"/>
    <n v="142126"/>
    <n v="139700"/>
  </r>
  <r>
    <x v="1529"/>
    <x v="218"/>
    <x v="7"/>
    <x v="0"/>
    <x v="2"/>
    <x v="11"/>
    <s v="Revenue"/>
    <n v="26173"/>
    <n v="26500"/>
  </r>
  <r>
    <x v="1530"/>
    <x v="218"/>
    <x v="5"/>
    <x v="0"/>
    <x v="3"/>
    <x v="10"/>
    <s v="Expense"/>
    <n v="52040"/>
    <n v="48700"/>
  </r>
  <r>
    <x v="1531"/>
    <x v="218"/>
    <x v="5"/>
    <x v="0"/>
    <x v="3"/>
    <x v="10"/>
    <s v="Expense"/>
    <n v="34143"/>
    <n v="34100"/>
  </r>
  <r>
    <x v="1532"/>
    <x v="218"/>
    <x v="2"/>
    <x v="0"/>
    <x v="2"/>
    <x v="0"/>
    <s v="Revenue"/>
    <n v="170421"/>
    <n v="174600"/>
  </r>
  <r>
    <x v="1533"/>
    <x v="219"/>
    <x v="1"/>
    <x v="0"/>
    <x v="1"/>
    <x v="7"/>
    <s v="Revenue"/>
    <n v="241477"/>
    <n v="255800"/>
  </r>
  <r>
    <x v="1534"/>
    <x v="219"/>
    <x v="2"/>
    <x v="0"/>
    <x v="2"/>
    <x v="11"/>
    <s v="Revenue"/>
    <n v="241885"/>
    <n v="225800"/>
  </r>
  <r>
    <x v="1535"/>
    <x v="219"/>
    <x v="2"/>
    <x v="0"/>
    <x v="2"/>
    <x v="7"/>
    <s v="Revenue"/>
    <n v="88584"/>
    <n v="87200"/>
  </r>
  <r>
    <x v="1536"/>
    <x v="219"/>
    <x v="3"/>
    <x v="0"/>
    <x v="2"/>
    <x v="3"/>
    <s v="Revenue"/>
    <n v="98492"/>
    <n v="94800"/>
  </r>
  <r>
    <x v="1537"/>
    <x v="219"/>
    <x v="4"/>
    <x v="0"/>
    <x v="1"/>
    <x v="2"/>
    <s v="Revenue"/>
    <n v="222802"/>
    <n v="211800"/>
  </r>
  <r>
    <x v="1538"/>
    <x v="219"/>
    <x v="6"/>
    <x v="0"/>
    <x v="3"/>
    <x v="9"/>
    <s v="Expense"/>
    <n v="24424"/>
    <n v="24300"/>
  </r>
  <r>
    <x v="1539"/>
    <x v="219"/>
    <x v="6"/>
    <x v="0"/>
    <x v="3"/>
    <x v="3"/>
    <s v="Revenue"/>
    <n v="110813"/>
    <n v="105900"/>
  </r>
  <r>
    <x v="1540"/>
    <x v="220"/>
    <x v="7"/>
    <x v="0"/>
    <x v="2"/>
    <x v="8"/>
    <s v="Expense"/>
    <n v="105629"/>
    <n v="109900"/>
  </r>
  <r>
    <x v="1541"/>
    <x v="220"/>
    <x v="7"/>
    <x v="0"/>
    <x v="2"/>
    <x v="4"/>
    <s v="Revenue"/>
    <n v="123195"/>
    <n v="114400"/>
  </r>
  <r>
    <x v="1542"/>
    <x v="220"/>
    <x v="3"/>
    <x v="0"/>
    <x v="2"/>
    <x v="9"/>
    <s v="Expense"/>
    <n v="32033"/>
    <n v="31400"/>
  </r>
  <r>
    <x v="1543"/>
    <x v="220"/>
    <x v="3"/>
    <x v="0"/>
    <x v="2"/>
    <x v="4"/>
    <s v="Revenue"/>
    <n v="42428"/>
    <n v="36600"/>
  </r>
  <r>
    <x v="1544"/>
    <x v="220"/>
    <x v="3"/>
    <x v="0"/>
    <x v="2"/>
    <x v="4"/>
    <s v="Revenue"/>
    <n v="113393"/>
    <n v="111100"/>
  </r>
  <r>
    <x v="1545"/>
    <x v="220"/>
    <x v="4"/>
    <x v="0"/>
    <x v="1"/>
    <x v="8"/>
    <s v="Expense"/>
    <n v="43942"/>
    <n v="48400"/>
  </r>
  <r>
    <x v="1546"/>
    <x v="221"/>
    <x v="7"/>
    <x v="0"/>
    <x v="2"/>
    <x v="6"/>
    <s v="Expense"/>
    <n v="95023"/>
    <n v="101300"/>
  </r>
  <r>
    <x v="1547"/>
    <x v="221"/>
    <x v="1"/>
    <x v="0"/>
    <x v="1"/>
    <x v="0"/>
    <s v="Revenue"/>
    <n v="131074"/>
    <n v="125600"/>
  </r>
  <r>
    <x v="1548"/>
    <x v="221"/>
    <x v="1"/>
    <x v="0"/>
    <x v="1"/>
    <x v="3"/>
    <s v="Revenue"/>
    <n v="243889"/>
    <n v="220700"/>
  </r>
  <r>
    <x v="1549"/>
    <x v="221"/>
    <x v="2"/>
    <x v="0"/>
    <x v="2"/>
    <x v="1"/>
    <s v="Expense"/>
    <n v="118178"/>
    <n v="114400"/>
  </r>
  <r>
    <x v="1550"/>
    <x v="221"/>
    <x v="2"/>
    <x v="0"/>
    <x v="2"/>
    <x v="6"/>
    <s v="Expense"/>
    <n v="29987"/>
    <n v="32000"/>
  </r>
  <r>
    <x v="1551"/>
    <x v="221"/>
    <x v="2"/>
    <x v="0"/>
    <x v="2"/>
    <x v="5"/>
    <s v="Expense"/>
    <n v="84942"/>
    <n v="83200"/>
  </r>
  <r>
    <x v="1552"/>
    <x v="221"/>
    <x v="4"/>
    <x v="0"/>
    <x v="1"/>
    <x v="8"/>
    <s v="Expense"/>
    <n v="23592"/>
    <n v="21300"/>
  </r>
  <r>
    <x v="1553"/>
    <x v="221"/>
    <x v="6"/>
    <x v="0"/>
    <x v="3"/>
    <x v="7"/>
    <s v="Revenue"/>
    <n v="207876"/>
    <n v="184600"/>
  </r>
  <r>
    <x v="1554"/>
    <x v="222"/>
    <x v="7"/>
    <x v="0"/>
    <x v="2"/>
    <x v="10"/>
    <s v="Expense"/>
    <n v="38320"/>
    <n v="35400"/>
  </r>
  <r>
    <x v="1555"/>
    <x v="222"/>
    <x v="7"/>
    <x v="0"/>
    <x v="2"/>
    <x v="4"/>
    <s v="Revenue"/>
    <n v="245153"/>
    <n v="276200"/>
  </r>
  <r>
    <x v="1556"/>
    <x v="222"/>
    <x v="7"/>
    <x v="0"/>
    <x v="2"/>
    <x v="11"/>
    <s v="Revenue"/>
    <n v="61882"/>
    <n v="61800"/>
  </r>
  <r>
    <x v="1557"/>
    <x v="222"/>
    <x v="0"/>
    <x v="0"/>
    <x v="0"/>
    <x v="6"/>
    <s v="Expense"/>
    <n v="107146"/>
    <n v="107900"/>
  </r>
  <r>
    <x v="1558"/>
    <x v="222"/>
    <x v="1"/>
    <x v="0"/>
    <x v="1"/>
    <x v="11"/>
    <s v="Revenue"/>
    <n v="79568"/>
    <n v="91900"/>
  </r>
  <r>
    <x v="1559"/>
    <x v="222"/>
    <x v="1"/>
    <x v="0"/>
    <x v="1"/>
    <x v="0"/>
    <s v="Revenue"/>
    <n v="103659"/>
    <n v="87700"/>
  </r>
  <r>
    <x v="1560"/>
    <x v="222"/>
    <x v="5"/>
    <x v="0"/>
    <x v="3"/>
    <x v="7"/>
    <s v="Revenue"/>
    <n v="58680"/>
    <n v="54400"/>
  </r>
  <r>
    <x v="1561"/>
    <x v="222"/>
    <x v="5"/>
    <x v="0"/>
    <x v="3"/>
    <x v="0"/>
    <s v="Revenue"/>
    <n v="233959"/>
    <n v="245000"/>
  </r>
  <r>
    <x v="1562"/>
    <x v="222"/>
    <x v="3"/>
    <x v="0"/>
    <x v="2"/>
    <x v="1"/>
    <s v="Expense"/>
    <n v="112643"/>
    <n v="109900"/>
  </r>
  <r>
    <x v="1563"/>
    <x v="222"/>
    <x v="4"/>
    <x v="0"/>
    <x v="1"/>
    <x v="0"/>
    <s v="Revenue"/>
    <n v="217888"/>
    <n v="230400"/>
  </r>
  <r>
    <x v="1564"/>
    <x v="222"/>
    <x v="6"/>
    <x v="0"/>
    <x v="3"/>
    <x v="8"/>
    <s v="Expense"/>
    <n v="107862"/>
    <n v="103900"/>
  </r>
  <r>
    <x v="1565"/>
    <x v="223"/>
    <x v="7"/>
    <x v="0"/>
    <x v="2"/>
    <x v="1"/>
    <s v="Expense"/>
    <n v="35923"/>
    <n v="34700"/>
  </r>
  <r>
    <x v="1566"/>
    <x v="223"/>
    <x v="1"/>
    <x v="0"/>
    <x v="1"/>
    <x v="1"/>
    <s v="Expense"/>
    <n v="65916"/>
    <n v="73300"/>
  </r>
  <r>
    <x v="1567"/>
    <x v="223"/>
    <x v="5"/>
    <x v="0"/>
    <x v="3"/>
    <x v="2"/>
    <s v="Revenue"/>
    <n v="172106"/>
    <n v="180700"/>
  </r>
  <r>
    <x v="1568"/>
    <x v="223"/>
    <x v="2"/>
    <x v="0"/>
    <x v="2"/>
    <x v="6"/>
    <s v="Expense"/>
    <n v="54320"/>
    <n v="48300"/>
  </r>
  <r>
    <x v="1569"/>
    <x v="223"/>
    <x v="2"/>
    <x v="0"/>
    <x v="2"/>
    <x v="5"/>
    <s v="Expense"/>
    <n v="107158"/>
    <n v="98000"/>
  </r>
  <r>
    <x v="1570"/>
    <x v="223"/>
    <x v="2"/>
    <x v="0"/>
    <x v="2"/>
    <x v="3"/>
    <s v="Revenue"/>
    <n v="193417"/>
    <n v="164400"/>
  </r>
  <r>
    <x v="1571"/>
    <x v="223"/>
    <x v="2"/>
    <x v="0"/>
    <x v="2"/>
    <x v="0"/>
    <s v="Revenue"/>
    <n v="94988"/>
    <n v="96800"/>
  </r>
  <r>
    <x v="1572"/>
    <x v="223"/>
    <x v="2"/>
    <x v="0"/>
    <x v="2"/>
    <x v="3"/>
    <s v="Revenue"/>
    <n v="114628"/>
    <n v="124300"/>
  </r>
  <r>
    <x v="1573"/>
    <x v="223"/>
    <x v="3"/>
    <x v="0"/>
    <x v="2"/>
    <x v="7"/>
    <s v="Revenue"/>
    <n v="237388"/>
    <n v="193200"/>
  </r>
  <r>
    <x v="1574"/>
    <x v="223"/>
    <x v="3"/>
    <x v="0"/>
    <x v="2"/>
    <x v="11"/>
    <s v="Revenue"/>
    <n v="80262"/>
    <n v="76100"/>
  </r>
  <r>
    <x v="1575"/>
    <x v="224"/>
    <x v="7"/>
    <x v="0"/>
    <x v="2"/>
    <x v="9"/>
    <s v="Expense"/>
    <n v="15448"/>
    <n v="15800"/>
  </r>
  <r>
    <x v="1576"/>
    <x v="224"/>
    <x v="7"/>
    <x v="0"/>
    <x v="2"/>
    <x v="0"/>
    <s v="Revenue"/>
    <n v="41545"/>
    <n v="40600"/>
  </r>
  <r>
    <x v="1577"/>
    <x v="224"/>
    <x v="5"/>
    <x v="0"/>
    <x v="3"/>
    <x v="6"/>
    <s v="Expense"/>
    <n v="96940"/>
    <n v="95400"/>
  </r>
  <r>
    <x v="1578"/>
    <x v="224"/>
    <x v="5"/>
    <x v="0"/>
    <x v="3"/>
    <x v="5"/>
    <s v="Expense"/>
    <n v="119129"/>
    <n v="138400"/>
  </r>
  <r>
    <x v="1579"/>
    <x v="224"/>
    <x v="2"/>
    <x v="0"/>
    <x v="2"/>
    <x v="11"/>
    <s v="Revenue"/>
    <n v="169632"/>
    <n v="175000"/>
  </r>
  <r>
    <x v="1580"/>
    <x v="224"/>
    <x v="3"/>
    <x v="0"/>
    <x v="2"/>
    <x v="9"/>
    <s v="Expense"/>
    <n v="96090"/>
    <n v="106600"/>
  </r>
  <r>
    <x v="1581"/>
    <x v="224"/>
    <x v="3"/>
    <x v="0"/>
    <x v="2"/>
    <x v="11"/>
    <s v="Revenue"/>
    <n v="235584"/>
    <n v="250600"/>
  </r>
  <r>
    <x v="1582"/>
    <x v="224"/>
    <x v="6"/>
    <x v="0"/>
    <x v="3"/>
    <x v="3"/>
    <s v="Revenue"/>
    <n v="88843"/>
    <n v="95900"/>
  </r>
  <r>
    <x v="1583"/>
    <x v="225"/>
    <x v="7"/>
    <x v="0"/>
    <x v="2"/>
    <x v="0"/>
    <s v="Revenue"/>
    <n v="48206"/>
    <n v="48900"/>
  </r>
  <r>
    <x v="1584"/>
    <x v="225"/>
    <x v="0"/>
    <x v="0"/>
    <x v="0"/>
    <x v="5"/>
    <s v="Expense"/>
    <n v="24536"/>
    <n v="25400"/>
  </r>
  <r>
    <x v="1585"/>
    <x v="225"/>
    <x v="1"/>
    <x v="0"/>
    <x v="1"/>
    <x v="8"/>
    <s v="Expense"/>
    <n v="94684"/>
    <n v="110100"/>
  </r>
  <r>
    <x v="1586"/>
    <x v="225"/>
    <x v="1"/>
    <x v="0"/>
    <x v="1"/>
    <x v="4"/>
    <s v="Revenue"/>
    <n v="103695"/>
    <n v="120600"/>
  </r>
  <r>
    <x v="1587"/>
    <x v="225"/>
    <x v="5"/>
    <x v="0"/>
    <x v="3"/>
    <x v="10"/>
    <s v="Expense"/>
    <n v="74331"/>
    <n v="80000"/>
  </r>
  <r>
    <x v="1588"/>
    <x v="225"/>
    <x v="2"/>
    <x v="0"/>
    <x v="2"/>
    <x v="6"/>
    <s v="Expense"/>
    <n v="110716"/>
    <n v="84800"/>
  </r>
  <r>
    <x v="1589"/>
    <x v="225"/>
    <x v="6"/>
    <x v="0"/>
    <x v="3"/>
    <x v="5"/>
    <s v="Expense"/>
    <n v="58380"/>
    <n v="59600"/>
  </r>
  <r>
    <x v="1590"/>
    <x v="225"/>
    <x v="6"/>
    <x v="0"/>
    <x v="3"/>
    <x v="2"/>
    <s v="Revenue"/>
    <n v="94368"/>
    <n v="93900"/>
  </r>
  <r>
    <x v="1591"/>
    <x v="225"/>
    <x v="6"/>
    <x v="0"/>
    <x v="3"/>
    <x v="2"/>
    <s v="Revenue"/>
    <n v="90981"/>
    <n v="108900"/>
  </r>
  <r>
    <x v="1592"/>
    <x v="226"/>
    <x v="7"/>
    <x v="0"/>
    <x v="2"/>
    <x v="3"/>
    <s v="Revenue"/>
    <n v="49954"/>
    <n v="45000"/>
  </r>
  <r>
    <x v="1593"/>
    <x v="226"/>
    <x v="1"/>
    <x v="0"/>
    <x v="1"/>
    <x v="8"/>
    <s v="Expense"/>
    <n v="54090"/>
    <n v="62200"/>
  </r>
  <r>
    <x v="1594"/>
    <x v="226"/>
    <x v="5"/>
    <x v="0"/>
    <x v="3"/>
    <x v="9"/>
    <s v="Expense"/>
    <n v="117968"/>
    <n v="124800"/>
  </r>
  <r>
    <x v="1595"/>
    <x v="226"/>
    <x v="5"/>
    <x v="0"/>
    <x v="3"/>
    <x v="3"/>
    <s v="Revenue"/>
    <n v="32521"/>
    <n v="33000"/>
  </r>
  <r>
    <x v="1596"/>
    <x v="226"/>
    <x v="2"/>
    <x v="0"/>
    <x v="2"/>
    <x v="0"/>
    <s v="Revenue"/>
    <n v="249213"/>
    <n v="236700"/>
  </r>
  <r>
    <x v="1597"/>
    <x v="226"/>
    <x v="2"/>
    <x v="0"/>
    <x v="2"/>
    <x v="2"/>
    <s v="Revenue"/>
    <n v="237870"/>
    <n v="225200"/>
  </r>
  <r>
    <x v="1598"/>
    <x v="226"/>
    <x v="6"/>
    <x v="0"/>
    <x v="3"/>
    <x v="3"/>
    <s v="Revenue"/>
    <n v="237208"/>
    <n v="216400"/>
  </r>
  <r>
    <x v="1599"/>
    <x v="226"/>
    <x v="6"/>
    <x v="0"/>
    <x v="3"/>
    <x v="0"/>
    <s v="Revenue"/>
    <n v="235622"/>
    <n v="181800"/>
  </r>
  <r>
    <x v="1600"/>
    <x v="227"/>
    <x v="5"/>
    <x v="0"/>
    <x v="3"/>
    <x v="8"/>
    <s v="Expense"/>
    <n v="34991"/>
    <n v="35000"/>
  </r>
  <r>
    <x v="1601"/>
    <x v="227"/>
    <x v="5"/>
    <x v="0"/>
    <x v="3"/>
    <x v="4"/>
    <s v="Revenue"/>
    <n v="82689"/>
    <n v="82500"/>
  </r>
  <r>
    <x v="1602"/>
    <x v="227"/>
    <x v="3"/>
    <x v="0"/>
    <x v="2"/>
    <x v="11"/>
    <s v="Revenue"/>
    <n v="240646"/>
    <n v="244200"/>
  </r>
  <r>
    <x v="1603"/>
    <x v="227"/>
    <x v="3"/>
    <x v="0"/>
    <x v="2"/>
    <x v="11"/>
    <s v="Revenue"/>
    <n v="68210"/>
    <n v="68400"/>
  </r>
  <r>
    <x v="1604"/>
    <x v="227"/>
    <x v="6"/>
    <x v="0"/>
    <x v="3"/>
    <x v="2"/>
    <s v="Revenue"/>
    <n v="92492"/>
    <n v="81800"/>
  </r>
  <r>
    <x v="1605"/>
    <x v="228"/>
    <x v="1"/>
    <x v="0"/>
    <x v="1"/>
    <x v="2"/>
    <s v="Revenue"/>
    <n v="49551"/>
    <n v="40000"/>
  </r>
  <r>
    <x v="1606"/>
    <x v="228"/>
    <x v="5"/>
    <x v="0"/>
    <x v="3"/>
    <x v="2"/>
    <s v="Revenue"/>
    <n v="62546"/>
    <n v="57900"/>
  </r>
  <r>
    <x v="1607"/>
    <x v="228"/>
    <x v="2"/>
    <x v="0"/>
    <x v="2"/>
    <x v="6"/>
    <s v="Expense"/>
    <n v="38268"/>
    <n v="37900"/>
  </r>
  <r>
    <x v="1608"/>
    <x v="228"/>
    <x v="2"/>
    <x v="0"/>
    <x v="2"/>
    <x v="8"/>
    <s v="Expense"/>
    <n v="102825"/>
    <n v="101900"/>
  </r>
  <r>
    <x v="1609"/>
    <x v="228"/>
    <x v="3"/>
    <x v="0"/>
    <x v="2"/>
    <x v="5"/>
    <s v="Expense"/>
    <n v="45215"/>
    <n v="47400"/>
  </r>
  <r>
    <x v="1610"/>
    <x v="228"/>
    <x v="4"/>
    <x v="0"/>
    <x v="1"/>
    <x v="9"/>
    <s v="Expense"/>
    <n v="73551"/>
    <n v="70300"/>
  </r>
  <r>
    <x v="1611"/>
    <x v="228"/>
    <x v="6"/>
    <x v="0"/>
    <x v="3"/>
    <x v="9"/>
    <s v="Expense"/>
    <n v="88591"/>
    <n v="87900"/>
  </r>
  <r>
    <x v="1612"/>
    <x v="229"/>
    <x v="7"/>
    <x v="0"/>
    <x v="2"/>
    <x v="6"/>
    <s v="Expense"/>
    <n v="55319"/>
    <n v="52900"/>
  </r>
  <r>
    <x v="1613"/>
    <x v="229"/>
    <x v="3"/>
    <x v="0"/>
    <x v="2"/>
    <x v="2"/>
    <s v="Revenue"/>
    <n v="29244"/>
    <n v="32800"/>
  </r>
  <r>
    <x v="1614"/>
    <x v="230"/>
    <x v="5"/>
    <x v="0"/>
    <x v="3"/>
    <x v="2"/>
    <s v="Revenue"/>
    <n v="63782"/>
    <n v="63400"/>
  </r>
  <r>
    <x v="1615"/>
    <x v="230"/>
    <x v="2"/>
    <x v="0"/>
    <x v="2"/>
    <x v="5"/>
    <s v="Expense"/>
    <n v="113273"/>
    <n v="115700"/>
  </r>
  <r>
    <x v="1616"/>
    <x v="230"/>
    <x v="4"/>
    <x v="0"/>
    <x v="1"/>
    <x v="3"/>
    <s v="Revenue"/>
    <n v="154819"/>
    <n v="181100"/>
  </r>
  <r>
    <x v="1617"/>
    <x v="231"/>
    <x v="0"/>
    <x v="0"/>
    <x v="0"/>
    <x v="11"/>
    <s v="Revenue"/>
    <n v="213350"/>
    <n v="222400"/>
  </r>
  <r>
    <x v="1618"/>
    <x v="231"/>
    <x v="4"/>
    <x v="0"/>
    <x v="1"/>
    <x v="8"/>
    <s v="Expense"/>
    <n v="68324"/>
    <n v="70100"/>
  </r>
  <r>
    <x v="1619"/>
    <x v="231"/>
    <x v="4"/>
    <x v="0"/>
    <x v="1"/>
    <x v="11"/>
    <s v="Revenue"/>
    <n v="137975"/>
    <n v="135000"/>
  </r>
  <r>
    <x v="1620"/>
    <x v="232"/>
    <x v="7"/>
    <x v="0"/>
    <x v="2"/>
    <x v="0"/>
    <s v="Revenue"/>
    <n v="205596"/>
    <n v="239600"/>
  </r>
  <r>
    <x v="1621"/>
    <x v="232"/>
    <x v="1"/>
    <x v="0"/>
    <x v="1"/>
    <x v="1"/>
    <s v="Expense"/>
    <n v="79335"/>
    <n v="88700"/>
  </r>
  <r>
    <x v="1622"/>
    <x v="232"/>
    <x v="1"/>
    <x v="0"/>
    <x v="1"/>
    <x v="8"/>
    <s v="Expense"/>
    <n v="66531"/>
    <n v="65800"/>
  </r>
  <r>
    <x v="1623"/>
    <x v="233"/>
    <x v="7"/>
    <x v="0"/>
    <x v="2"/>
    <x v="9"/>
    <s v="Expense"/>
    <n v="21410"/>
    <n v="18800"/>
  </r>
  <r>
    <x v="1624"/>
    <x v="233"/>
    <x v="0"/>
    <x v="0"/>
    <x v="0"/>
    <x v="3"/>
    <s v="Revenue"/>
    <n v="161710"/>
    <n v="156300"/>
  </r>
  <r>
    <x v="1625"/>
    <x v="233"/>
    <x v="1"/>
    <x v="0"/>
    <x v="1"/>
    <x v="10"/>
    <s v="Expense"/>
    <n v="30109"/>
    <n v="28200"/>
  </r>
  <r>
    <x v="1626"/>
    <x v="233"/>
    <x v="2"/>
    <x v="0"/>
    <x v="2"/>
    <x v="6"/>
    <s v="Expense"/>
    <n v="75025"/>
    <n v="65600"/>
  </r>
  <r>
    <x v="1627"/>
    <x v="233"/>
    <x v="3"/>
    <x v="0"/>
    <x v="2"/>
    <x v="1"/>
    <s v="Expense"/>
    <n v="116514"/>
    <n v="124000"/>
  </r>
  <r>
    <x v="1628"/>
    <x v="233"/>
    <x v="3"/>
    <x v="0"/>
    <x v="2"/>
    <x v="7"/>
    <s v="Revenue"/>
    <n v="33662"/>
    <n v="36800"/>
  </r>
  <r>
    <x v="1629"/>
    <x v="233"/>
    <x v="4"/>
    <x v="0"/>
    <x v="1"/>
    <x v="10"/>
    <s v="Expense"/>
    <n v="105427"/>
    <n v="113400"/>
  </r>
  <r>
    <x v="1630"/>
    <x v="233"/>
    <x v="6"/>
    <x v="0"/>
    <x v="3"/>
    <x v="5"/>
    <s v="Expense"/>
    <n v="68278"/>
    <n v="69000"/>
  </r>
  <r>
    <x v="1631"/>
    <x v="233"/>
    <x v="6"/>
    <x v="0"/>
    <x v="3"/>
    <x v="2"/>
    <s v="Revenue"/>
    <n v="182316"/>
    <n v="192900"/>
  </r>
  <r>
    <x v="1632"/>
    <x v="234"/>
    <x v="1"/>
    <x v="0"/>
    <x v="1"/>
    <x v="9"/>
    <s v="Expense"/>
    <n v="75033"/>
    <n v="76500"/>
  </r>
  <r>
    <x v="1633"/>
    <x v="234"/>
    <x v="1"/>
    <x v="0"/>
    <x v="1"/>
    <x v="7"/>
    <s v="Revenue"/>
    <n v="244326"/>
    <n v="224000"/>
  </r>
  <r>
    <x v="1634"/>
    <x v="234"/>
    <x v="5"/>
    <x v="0"/>
    <x v="3"/>
    <x v="5"/>
    <s v="Expense"/>
    <n v="56403"/>
    <n v="53600"/>
  </r>
  <r>
    <x v="1635"/>
    <x v="234"/>
    <x v="2"/>
    <x v="0"/>
    <x v="2"/>
    <x v="10"/>
    <s v="Expense"/>
    <n v="44219"/>
    <n v="43100"/>
  </r>
  <r>
    <x v="1636"/>
    <x v="234"/>
    <x v="2"/>
    <x v="0"/>
    <x v="2"/>
    <x v="9"/>
    <s v="Expense"/>
    <n v="48455"/>
    <n v="57600"/>
  </r>
  <r>
    <x v="1637"/>
    <x v="234"/>
    <x v="3"/>
    <x v="0"/>
    <x v="2"/>
    <x v="0"/>
    <s v="Revenue"/>
    <n v="245050"/>
    <n v="256700"/>
  </r>
  <r>
    <x v="1638"/>
    <x v="234"/>
    <x v="4"/>
    <x v="0"/>
    <x v="1"/>
    <x v="8"/>
    <s v="Expense"/>
    <n v="83942"/>
    <n v="72200"/>
  </r>
  <r>
    <x v="1639"/>
    <x v="235"/>
    <x v="7"/>
    <x v="0"/>
    <x v="2"/>
    <x v="9"/>
    <s v="Expense"/>
    <n v="102709"/>
    <n v="107400"/>
  </r>
  <r>
    <x v="1640"/>
    <x v="235"/>
    <x v="0"/>
    <x v="0"/>
    <x v="0"/>
    <x v="9"/>
    <s v="Expense"/>
    <n v="55672"/>
    <n v="60000"/>
  </r>
  <r>
    <x v="1641"/>
    <x v="235"/>
    <x v="3"/>
    <x v="0"/>
    <x v="2"/>
    <x v="11"/>
    <s v="Revenue"/>
    <n v="54275"/>
    <n v="56800"/>
  </r>
  <r>
    <x v="1642"/>
    <x v="235"/>
    <x v="4"/>
    <x v="0"/>
    <x v="1"/>
    <x v="4"/>
    <s v="Revenue"/>
    <n v="159716"/>
    <n v="167600"/>
  </r>
  <r>
    <x v="1643"/>
    <x v="235"/>
    <x v="6"/>
    <x v="0"/>
    <x v="3"/>
    <x v="8"/>
    <s v="Expense"/>
    <n v="87295"/>
    <n v="83000"/>
  </r>
  <r>
    <x v="1644"/>
    <x v="236"/>
    <x v="7"/>
    <x v="0"/>
    <x v="2"/>
    <x v="8"/>
    <s v="Expense"/>
    <n v="50511"/>
    <n v="52000"/>
  </r>
  <r>
    <x v="1645"/>
    <x v="236"/>
    <x v="0"/>
    <x v="0"/>
    <x v="0"/>
    <x v="5"/>
    <s v="Expense"/>
    <n v="110159"/>
    <n v="115600"/>
  </r>
  <r>
    <x v="1646"/>
    <x v="236"/>
    <x v="0"/>
    <x v="0"/>
    <x v="0"/>
    <x v="8"/>
    <s v="Expense"/>
    <n v="93751"/>
    <n v="102600"/>
  </r>
  <r>
    <x v="1647"/>
    <x v="236"/>
    <x v="0"/>
    <x v="0"/>
    <x v="0"/>
    <x v="3"/>
    <s v="Revenue"/>
    <n v="238607"/>
    <n v="257900"/>
  </r>
  <r>
    <x v="1648"/>
    <x v="236"/>
    <x v="5"/>
    <x v="0"/>
    <x v="3"/>
    <x v="7"/>
    <s v="Revenue"/>
    <n v="228383"/>
    <n v="237900"/>
  </r>
  <r>
    <x v="1649"/>
    <x v="236"/>
    <x v="2"/>
    <x v="0"/>
    <x v="2"/>
    <x v="7"/>
    <s v="Revenue"/>
    <n v="67208"/>
    <n v="64600"/>
  </r>
  <r>
    <x v="1650"/>
    <x v="236"/>
    <x v="3"/>
    <x v="0"/>
    <x v="2"/>
    <x v="9"/>
    <s v="Expense"/>
    <n v="33652"/>
    <n v="36900"/>
  </r>
  <r>
    <x v="1651"/>
    <x v="236"/>
    <x v="4"/>
    <x v="0"/>
    <x v="1"/>
    <x v="10"/>
    <s v="Expense"/>
    <n v="97942"/>
    <n v="85600"/>
  </r>
  <r>
    <x v="1652"/>
    <x v="237"/>
    <x v="7"/>
    <x v="0"/>
    <x v="2"/>
    <x v="10"/>
    <s v="Expense"/>
    <n v="52060"/>
    <n v="60900"/>
  </r>
  <r>
    <x v="1653"/>
    <x v="237"/>
    <x v="1"/>
    <x v="0"/>
    <x v="1"/>
    <x v="4"/>
    <s v="Revenue"/>
    <n v="158449"/>
    <n v="173300"/>
  </r>
  <r>
    <x v="1654"/>
    <x v="237"/>
    <x v="5"/>
    <x v="0"/>
    <x v="3"/>
    <x v="10"/>
    <s v="Expense"/>
    <n v="60073"/>
    <n v="52700"/>
  </r>
  <r>
    <x v="1655"/>
    <x v="237"/>
    <x v="5"/>
    <x v="0"/>
    <x v="3"/>
    <x v="0"/>
    <s v="Revenue"/>
    <n v="229292"/>
    <n v="194500"/>
  </r>
  <r>
    <x v="1656"/>
    <x v="237"/>
    <x v="5"/>
    <x v="0"/>
    <x v="3"/>
    <x v="7"/>
    <s v="Revenue"/>
    <n v="58755"/>
    <n v="53700"/>
  </r>
  <r>
    <x v="1657"/>
    <x v="237"/>
    <x v="2"/>
    <x v="0"/>
    <x v="2"/>
    <x v="6"/>
    <s v="Expense"/>
    <n v="40159"/>
    <n v="44800"/>
  </r>
  <r>
    <x v="1658"/>
    <x v="237"/>
    <x v="3"/>
    <x v="0"/>
    <x v="2"/>
    <x v="4"/>
    <s v="Revenue"/>
    <n v="125713"/>
    <n v="112800"/>
  </r>
  <r>
    <x v="1659"/>
    <x v="237"/>
    <x v="3"/>
    <x v="0"/>
    <x v="2"/>
    <x v="7"/>
    <s v="Revenue"/>
    <n v="41178"/>
    <n v="44300"/>
  </r>
  <r>
    <x v="1660"/>
    <x v="238"/>
    <x v="3"/>
    <x v="0"/>
    <x v="2"/>
    <x v="1"/>
    <s v="Expense"/>
    <n v="100689"/>
    <n v="89900"/>
  </r>
  <r>
    <x v="1661"/>
    <x v="238"/>
    <x v="3"/>
    <x v="0"/>
    <x v="2"/>
    <x v="1"/>
    <s v="Expense"/>
    <n v="53279"/>
    <n v="61100"/>
  </r>
  <r>
    <x v="1662"/>
    <x v="238"/>
    <x v="3"/>
    <x v="0"/>
    <x v="2"/>
    <x v="2"/>
    <s v="Revenue"/>
    <n v="213749"/>
    <n v="249400"/>
  </r>
  <r>
    <x v="1663"/>
    <x v="238"/>
    <x v="3"/>
    <x v="0"/>
    <x v="2"/>
    <x v="4"/>
    <s v="Revenue"/>
    <n v="143645"/>
    <n v="143900"/>
  </r>
  <r>
    <x v="1664"/>
    <x v="238"/>
    <x v="4"/>
    <x v="0"/>
    <x v="1"/>
    <x v="3"/>
    <s v="Revenue"/>
    <n v="104074"/>
    <n v="112700"/>
  </r>
  <r>
    <x v="1665"/>
    <x v="239"/>
    <x v="7"/>
    <x v="0"/>
    <x v="2"/>
    <x v="10"/>
    <s v="Expense"/>
    <n v="42918"/>
    <n v="42200"/>
  </r>
  <r>
    <x v="1666"/>
    <x v="239"/>
    <x v="7"/>
    <x v="0"/>
    <x v="2"/>
    <x v="7"/>
    <s v="Revenue"/>
    <n v="59766"/>
    <n v="57200"/>
  </r>
  <r>
    <x v="1667"/>
    <x v="239"/>
    <x v="0"/>
    <x v="0"/>
    <x v="0"/>
    <x v="0"/>
    <s v="Revenue"/>
    <n v="125990"/>
    <n v="123000"/>
  </r>
  <r>
    <x v="1668"/>
    <x v="239"/>
    <x v="0"/>
    <x v="0"/>
    <x v="0"/>
    <x v="7"/>
    <s v="Revenue"/>
    <n v="117673"/>
    <n v="110400"/>
  </r>
  <r>
    <x v="1669"/>
    <x v="239"/>
    <x v="5"/>
    <x v="0"/>
    <x v="3"/>
    <x v="5"/>
    <s v="Expense"/>
    <n v="109868"/>
    <n v="116700"/>
  </r>
  <r>
    <x v="1670"/>
    <x v="239"/>
    <x v="2"/>
    <x v="0"/>
    <x v="2"/>
    <x v="5"/>
    <s v="Expense"/>
    <n v="21369"/>
    <n v="20900"/>
  </r>
  <r>
    <x v="1671"/>
    <x v="239"/>
    <x v="2"/>
    <x v="0"/>
    <x v="2"/>
    <x v="0"/>
    <s v="Revenue"/>
    <n v="188745"/>
    <n v="208800"/>
  </r>
  <r>
    <x v="1672"/>
    <x v="239"/>
    <x v="3"/>
    <x v="0"/>
    <x v="2"/>
    <x v="4"/>
    <s v="Revenue"/>
    <n v="55448"/>
    <n v="58700"/>
  </r>
  <r>
    <x v="1673"/>
    <x v="240"/>
    <x v="7"/>
    <x v="0"/>
    <x v="2"/>
    <x v="10"/>
    <s v="Expense"/>
    <n v="86061"/>
    <n v="99100"/>
  </r>
  <r>
    <x v="1674"/>
    <x v="240"/>
    <x v="7"/>
    <x v="0"/>
    <x v="2"/>
    <x v="3"/>
    <s v="Revenue"/>
    <n v="176855"/>
    <n v="174800"/>
  </r>
  <r>
    <x v="1675"/>
    <x v="240"/>
    <x v="0"/>
    <x v="0"/>
    <x v="0"/>
    <x v="9"/>
    <s v="Expense"/>
    <n v="32656"/>
    <n v="31300"/>
  </r>
  <r>
    <x v="1676"/>
    <x v="240"/>
    <x v="1"/>
    <x v="0"/>
    <x v="1"/>
    <x v="9"/>
    <s v="Expense"/>
    <n v="26119"/>
    <n v="23000"/>
  </r>
  <r>
    <x v="1677"/>
    <x v="240"/>
    <x v="1"/>
    <x v="0"/>
    <x v="1"/>
    <x v="8"/>
    <s v="Expense"/>
    <n v="82828"/>
    <n v="88700"/>
  </r>
  <r>
    <x v="1678"/>
    <x v="240"/>
    <x v="1"/>
    <x v="0"/>
    <x v="1"/>
    <x v="9"/>
    <s v="Expense"/>
    <n v="92365"/>
    <n v="95800"/>
  </r>
  <r>
    <x v="1679"/>
    <x v="240"/>
    <x v="5"/>
    <x v="0"/>
    <x v="3"/>
    <x v="9"/>
    <s v="Expense"/>
    <n v="20306"/>
    <n v="19700"/>
  </r>
  <r>
    <x v="1680"/>
    <x v="240"/>
    <x v="5"/>
    <x v="0"/>
    <x v="3"/>
    <x v="11"/>
    <s v="Revenue"/>
    <n v="225235"/>
    <n v="250500"/>
  </r>
  <r>
    <x v="1681"/>
    <x v="240"/>
    <x v="5"/>
    <x v="0"/>
    <x v="3"/>
    <x v="3"/>
    <s v="Revenue"/>
    <n v="68266"/>
    <n v="63300"/>
  </r>
  <r>
    <x v="1682"/>
    <x v="240"/>
    <x v="2"/>
    <x v="0"/>
    <x v="2"/>
    <x v="3"/>
    <s v="Revenue"/>
    <n v="194335"/>
    <n v="186700"/>
  </r>
  <r>
    <x v="1683"/>
    <x v="240"/>
    <x v="3"/>
    <x v="0"/>
    <x v="2"/>
    <x v="6"/>
    <s v="Expense"/>
    <n v="87884"/>
    <n v="83400"/>
  </r>
  <r>
    <x v="1684"/>
    <x v="241"/>
    <x v="0"/>
    <x v="0"/>
    <x v="0"/>
    <x v="1"/>
    <s v="Expense"/>
    <n v="33262"/>
    <n v="35700"/>
  </r>
  <r>
    <x v="1685"/>
    <x v="241"/>
    <x v="3"/>
    <x v="0"/>
    <x v="2"/>
    <x v="4"/>
    <s v="Revenue"/>
    <n v="156039"/>
    <n v="156700"/>
  </r>
  <r>
    <x v="1686"/>
    <x v="242"/>
    <x v="2"/>
    <x v="0"/>
    <x v="2"/>
    <x v="1"/>
    <s v="Expense"/>
    <n v="102713"/>
    <n v="101200"/>
  </r>
  <r>
    <x v="1687"/>
    <x v="242"/>
    <x v="2"/>
    <x v="0"/>
    <x v="2"/>
    <x v="7"/>
    <s v="Revenue"/>
    <n v="139099"/>
    <n v="133900"/>
  </r>
  <r>
    <x v="1688"/>
    <x v="242"/>
    <x v="3"/>
    <x v="0"/>
    <x v="2"/>
    <x v="10"/>
    <s v="Expense"/>
    <n v="46250"/>
    <n v="41900"/>
  </r>
  <r>
    <x v="1689"/>
    <x v="242"/>
    <x v="3"/>
    <x v="0"/>
    <x v="2"/>
    <x v="6"/>
    <s v="Expense"/>
    <n v="63030"/>
    <n v="52200"/>
  </r>
  <r>
    <x v="1690"/>
    <x v="242"/>
    <x v="3"/>
    <x v="0"/>
    <x v="2"/>
    <x v="4"/>
    <s v="Revenue"/>
    <n v="203279"/>
    <n v="179900"/>
  </r>
  <r>
    <x v="1691"/>
    <x v="243"/>
    <x v="7"/>
    <x v="0"/>
    <x v="2"/>
    <x v="8"/>
    <s v="Expense"/>
    <n v="72988"/>
    <n v="77800"/>
  </r>
  <r>
    <x v="1692"/>
    <x v="243"/>
    <x v="7"/>
    <x v="0"/>
    <x v="2"/>
    <x v="6"/>
    <s v="Expense"/>
    <n v="29353"/>
    <n v="25600"/>
  </r>
  <r>
    <x v="1693"/>
    <x v="243"/>
    <x v="0"/>
    <x v="0"/>
    <x v="0"/>
    <x v="11"/>
    <s v="Revenue"/>
    <n v="104652"/>
    <n v="95000"/>
  </r>
  <r>
    <x v="1694"/>
    <x v="243"/>
    <x v="1"/>
    <x v="0"/>
    <x v="1"/>
    <x v="0"/>
    <s v="Revenue"/>
    <n v="165143"/>
    <n v="142600"/>
  </r>
  <r>
    <x v="1695"/>
    <x v="243"/>
    <x v="5"/>
    <x v="0"/>
    <x v="3"/>
    <x v="4"/>
    <s v="Revenue"/>
    <n v="102193"/>
    <n v="102800"/>
  </r>
  <r>
    <x v="1696"/>
    <x v="243"/>
    <x v="2"/>
    <x v="0"/>
    <x v="2"/>
    <x v="4"/>
    <s v="Revenue"/>
    <n v="97594"/>
    <n v="98000"/>
  </r>
  <r>
    <x v="1697"/>
    <x v="243"/>
    <x v="6"/>
    <x v="0"/>
    <x v="3"/>
    <x v="11"/>
    <s v="Revenue"/>
    <n v="246519"/>
    <n v="254700"/>
  </r>
  <r>
    <x v="1698"/>
    <x v="244"/>
    <x v="2"/>
    <x v="0"/>
    <x v="2"/>
    <x v="3"/>
    <s v="Revenue"/>
    <n v="110676"/>
    <n v="108800"/>
  </r>
  <r>
    <x v="1699"/>
    <x v="244"/>
    <x v="6"/>
    <x v="0"/>
    <x v="3"/>
    <x v="3"/>
    <s v="Revenue"/>
    <n v="33744"/>
    <n v="34000"/>
  </r>
  <r>
    <x v="1700"/>
    <x v="245"/>
    <x v="7"/>
    <x v="0"/>
    <x v="2"/>
    <x v="11"/>
    <s v="Revenue"/>
    <n v="221509"/>
    <n v="217700"/>
  </r>
  <r>
    <x v="1701"/>
    <x v="245"/>
    <x v="1"/>
    <x v="0"/>
    <x v="1"/>
    <x v="8"/>
    <s v="Expense"/>
    <n v="37056"/>
    <n v="36500"/>
  </r>
  <r>
    <x v="1702"/>
    <x v="245"/>
    <x v="5"/>
    <x v="0"/>
    <x v="3"/>
    <x v="9"/>
    <s v="Expense"/>
    <n v="67151"/>
    <n v="62200"/>
  </r>
  <r>
    <x v="1703"/>
    <x v="245"/>
    <x v="2"/>
    <x v="0"/>
    <x v="2"/>
    <x v="0"/>
    <s v="Revenue"/>
    <n v="176475"/>
    <n v="159100"/>
  </r>
  <r>
    <x v="1704"/>
    <x v="245"/>
    <x v="3"/>
    <x v="0"/>
    <x v="2"/>
    <x v="6"/>
    <s v="Expense"/>
    <n v="76251"/>
    <n v="84500"/>
  </r>
  <r>
    <x v="1705"/>
    <x v="245"/>
    <x v="3"/>
    <x v="0"/>
    <x v="2"/>
    <x v="8"/>
    <s v="Expense"/>
    <n v="86521"/>
    <n v="97700"/>
  </r>
  <r>
    <x v="1706"/>
    <x v="245"/>
    <x v="3"/>
    <x v="0"/>
    <x v="2"/>
    <x v="2"/>
    <s v="Revenue"/>
    <n v="100006"/>
    <n v="83500"/>
  </r>
  <r>
    <x v="1707"/>
    <x v="245"/>
    <x v="4"/>
    <x v="0"/>
    <x v="1"/>
    <x v="6"/>
    <s v="Expense"/>
    <n v="16618"/>
    <n v="13300"/>
  </r>
  <r>
    <x v="1708"/>
    <x v="245"/>
    <x v="4"/>
    <x v="0"/>
    <x v="1"/>
    <x v="1"/>
    <s v="Expense"/>
    <n v="109804"/>
    <n v="120900"/>
  </r>
  <r>
    <x v="1709"/>
    <x v="245"/>
    <x v="4"/>
    <x v="0"/>
    <x v="1"/>
    <x v="1"/>
    <s v="Expense"/>
    <n v="116659"/>
    <n v="91100"/>
  </r>
  <r>
    <x v="1710"/>
    <x v="246"/>
    <x v="7"/>
    <x v="0"/>
    <x v="2"/>
    <x v="5"/>
    <s v="Expense"/>
    <n v="102578"/>
    <n v="105200"/>
  </r>
  <r>
    <x v="1711"/>
    <x v="246"/>
    <x v="0"/>
    <x v="0"/>
    <x v="0"/>
    <x v="7"/>
    <s v="Revenue"/>
    <n v="236942"/>
    <n v="243300"/>
  </r>
  <r>
    <x v="1712"/>
    <x v="246"/>
    <x v="1"/>
    <x v="0"/>
    <x v="1"/>
    <x v="2"/>
    <s v="Revenue"/>
    <n v="164622"/>
    <n v="173000"/>
  </r>
  <r>
    <x v="1713"/>
    <x v="246"/>
    <x v="5"/>
    <x v="0"/>
    <x v="3"/>
    <x v="10"/>
    <s v="Expense"/>
    <n v="49569"/>
    <n v="55300"/>
  </r>
  <r>
    <x v="1714"/>
    <x v="246"/>
    <x v="2"/>
    <x v="0"/>
    <x v="2"/>
    <x v="5"/>
    <s v="Expense"/>
    <n v="74199"/>
    <n v="92100"/>
  </r>
  <r>
    <x v="1715"/>
    <x v="246"/>
    <x v="2"/>
    <x v="0"/>
    <x v="2"/>
    <x v="5"/>
    <s v="Expense"/>
    <n v="14821"/>
    <n v="17100"/>
  </r>
  <r>
    <x v="1716"/>
    <x v="246"/>
    <x v="2"/>
    <x v="0"/>
    <x v="2"/>
    <x v="4"/>
    <s v="Revenue"/>
    <n v="109931"/>
    <n v="103200"/>
  </r>
  <r>
    <x v="1717"/>
    <x v="246"/>
    <x v="4"/>
    <x v="0"/>
    <x v="1"/>
    <x v="2"/>
    <s v="Revenue"/>
    <n v="40594"/>
    <n v="36300"/>
  </r>
  <r>
    <x v="1718"/>
    <x v="246"/>
    <x v="4"/>
    <x v="0"/>
    <x v="1"/>
    <x v="11"/>
    <s v="Revenue"/>
    <n v="33451"/>
    <n v="34100"/>
  </r>
  <r>
    <x v="1719"/>
    <x v="247"/>
    <x v="7"/>
    <x v="0"/>
    <x v="2"/>
    <x v="11"/>
    <s v="Revenue"/>
    <n v="90959"/>
    <n v="95200"/>
  </r>
  <r>
    <x v="1720"/>
    <x v="247"/>
    <x v="7"/>
    <x v="0"/>
    <x v="2"/>
    <x v="2"/>
    <s v="Revenue"/>
    <n v="44625"/>
    <n v="50700"/>
  </r>
  <r>
    <x v="1721"/>
    <x v="247"/>
    <x v="0"/>
    <x v="0"/>
    <x v="0"/>
    <x v="5"/>
    <s v="Expense"/>
    <n v="68828"/>
    <n v="71700"/>
  </r>
  <r>
    <x v="1722"/>
    <x v="247"/>
    <x v="5"/>
    <x v="0"/>
    <x v="3"/>
    <x v="7"/>
    <s v="Revenue"/>
    <n v="41989"/>
    <n v="42300"/>
  </r>
  <r>
    <x v="1723"/>
    <x v="247"/>
    <x v="5"/>
    <x v="0"/>
    <x v="3"/>
    <x v="2"/>
    <s v="Revenue"/>
    <n v="33356"/>
    <n v="34300"/>
  </r>
  <r>
    <x v="1724"/>
    <x v="247"/>
    <x v="2"/>
    <x v="0"/>
    <x v="2"/>
    <x v="5"/>
    <s v="Expense"/>
    <n v="108719"/>
    <n v="114300"/>
  </r>
  <r>
    <x v="1725"/>
    <x v="247"/>
    <x v="3"/>
    <x v="0"/>
    <x v="2"/>
    <x v="2"/>
    <s v="Revenue"/>
    <n v="122633"/>
    <n v="115700"/>
  </r>
  <r>
    <x v="1726"/>
    <x v="247"/>
    <x v="3"/>
    <x v="0"/>
    <x v="2"/>
    <x v="4"/>
    <s v="Revenue"/>
    <n v="232828"/>
    <n v="205300"/>
  </r>
  <r>
    <x v="1727"/>
    <x v="247"/>
    <x v="4"/>
    <x v="0"/>
    <x v="1"/>
    <x v="8"/>
    <s v="Expense"/>
    <n v="87395"/>
    <n v="88100"/>
  </r>
  <r>
    <x v="1728"/>
    <x v="247"/>
    <x v="6"/>
    <x v="0"/>
    <x v="3"/>
    <x v="4"/>
    <s v="Revenue"/>
    <n v="155059"/>
    <n v="146400"/>
  </r>
  <r>
    <x v="1729"/>
    <x v="248"/>
    <x v="7"/>
    <x v="0"/>
    <x v="2"/>
    <x v="9"/>
    <s v="Expense"/>
    <n v="67150"/>
    <n v="73600"/>
  </r>
  <r>
    <x v="1730"/>
    <x v="248"/>
    <x v="7"/>
    <x v="0"/>
    <x v="2"/>
    <x v="2"/>
    <s v="Revenue"/>
    <n v="91790"/>
    <n v="91900"/>
  </r>
  <r>
    <x v="1731"/>
    <x v="248"/>
    <x v="1"/>
    <x v="0"/>
    <x v="1"/>
    <x v="3"/>
    <s v="Revenue"/>
    <n v="237921"/>
    <n v="259500"/>
  </r>
  <r>
    <x v="1732"/>
    <x v="248"/>
    <x v="5"/>
    <x v="0"/>
    <x v="3"/>
    <x v="8"/>
    <s v="Expense"/>
    <n v="52991"/>
    <n v="57600"/>
  </r>
  <r>
    <x v="1733"/>
    <x v="248"/>
    <x v="5"/>
    <x v="0"/>
    <x v="3"/>
    <x v="7"/>
    <s v="Revenue"/>
    <n v="96971"/>
    <n v="98100"/>
  </r>
  <r>
    <x v="1734"/>
    <x v="248"/>
    <x v="3"/>
    <x v="0"/>
    <x v="2"/>
    <x v="8"/>
    <s v="Expense"/>
    <n v="82352"/>
    <n v="80200"/>
  </r>
  <r>
    <x v="1735"/>
    <x v="248"/>
    <x v="3"/>
    <x v="0"/>
    <x v="2"/>
    <x v="2"/>
    <s v="Revenue"/>
    <n v="219597"/>
    <n v="212900"/>
  </r>
  <r>
    <x v="1736"/>
    <x v="249"/>
    <x v="7"/>
    <x v="0"/>
    <x v="2"/>
    <x v="4"/>
    <s v="Revenue"/>
    <n v="102326"/>
    <n v="100200"/>
  </r>
  <r>
    <x v="1737"/>
    <x v="249"/>
    <x v="1"/>
    <x v="0"/>
    <x v="1"/>
    <x v="7"/>
    <s v="Revenue"/>
    <n v="160815"/>
    <n v="178200"/>
  </r>
  <r>
    <x v="1738"/>
    <x v="249"/>
    <x v="1"/>
    <x v="0"/>
    <x v="1"/>
    <x v="7"/>
    <s v="Revenue"/>
    <n v="221042"/>
    <n v="180700"/>
  </r>
  <r>
    <x v="1739"/>
    <x v="249"/>
    <x v="2"/>
    <x v="0"/>
    <x v="2"/>
    <x v="7"/>
    <s v="Revenue"/>
    <n v="34172"/>
    <n v="33900"/>
  </r>
  <r>
    <x v="1740"/>
    <x v="249"/>
    <x v="6"/>
    <x v="0"/>
    <x v="3"/>
    <x v="9"/>
    <s v="Expense"/>
    <n v="91099"/>
    <n v="109000"/>
  </r>
  <r>
    <x v="1741"/>
    <x v="249"/>
    <x v="6"/>
    <x v="0"/>
    <x v="3"/>
    <x v="5"/>
    <s v="Expense"/>
    <n v="87751"/>
    <n v="88700"/>
  </r>
  <r>
    <x v="1742"/>
    <x v="249"/>
    <x v="6"/>
    <x v="0"/>
    <x v="3"/>
    <x v="5"/>
    <s v="Expense"/>
    <n v="31978"/>
    <n v="29200"/>
  </r>
  <r>
    <x v="1743"/>
    <x v="250"/>
    <x v="7"/>
    <x v="0"/>
    <x v="2"/>
    <x v="6"/>
    <s v="Expense"/>
    <n v="86859"/>
    <n v="61900"/>
  </r>
  <r>
    <x v="1744"/>
    <x v="250"/>
    <x v="2"/>
    <x v="0"/>
    <x v="2"/>
    <x v="8"/>
    <s v="Expense"/>
    <n v="53672"/>
    <n v="49600"/>
  </r>
  <r>
    <x v="1745"/>
    <x v="250"/>
    <x v="3"/>
    <x v="0"/>
    <x v="2"/>
    <x v="5"/>
    <s v="Expense"/>
    <n v="96630"/>
    <n v="112100"/>
  </r>
  <r>
    <x v="1746"/>
    <x v="251"/>
    <x v="7"/>
    <x v="0"/>
    <x v="2"/>
    <x v="10"/>
    <s v="Expense"/>
    <n v="108719"/>
    <n v="106000"/>
  </r>
  <r>
    <x v="1747"/>
    <x v="251"/>
    <x v="0"/>
    <x v="0"/>
    <x v="0"/>
    <x v="11"/>
    <s v="Revenue"/>
    <n v="186145"/>
    <n v="164700"/>
  </r>
  <r>
    <x v="1748"/>
    <x v="251"/>
    <x v="1"/>
    <x v="0"/>
    <x v="1"/>
    <x v="9"/>
    <s v="Expense"/>
    <n v="29284"/>
    <n v="33900"/>
  </r>
  <r>
    <x v="1749"/>
    <x v="251"/>
    <x v="5"/>
    <x v="0"/>
    <x v="3"/>
    <x v="8"/>
    <s v="Expense"/>
    <n v="53895"/>
    <n v="56700"/>
  </r>
  <r>
    <x v="1750"/>
    <x v="251"/>
    <x v="4"/>
    <x v="0"/>
    <x v="1"/>
    <x v="5"/>
    <s v="Expense"/>
    <n v="52640"/>
    <n v="50600"/>
  </r>
  <r>
    <x v="1751"/>
    <x v="251"/>
    <x v="4"/>
    <x v="0"/>
    <x v="1"/>
    <x v="7"/>
    <s v="Revenue"/>
    <n v="62589"/>
    <n v="70500"/>
  </r>
  <r>
    <x v="1752"/>
    <x v="251"/>
    <x v="6"/>
    <x v="0"/>
    <x v="3"/>
    <x v="8"/>
    <s v="Expense"/>
    <n v="77749"/>
    <n v="68400"/>
  </r>
  <r>
    <x v="1753"/>
    <x v="252"/>
    <x v="7"/>
    <x v="0"/>
    <x v="2"/>
    <x v="2"/>
    <s v="Revenue"/>
    <n v="231895"/>
    <n v="234800"/>
  </r>
  <r>
    <x v="1754"/>
    <x v="252"/>
    <x v="7"/>
    <x v="0"/>
    <x v="2"/>
    <x v="11"/>
    <s v="Revenue"/>
    <n v="152065"/>
    <n v="130600"/>
  </r>
  <r>
    <x v="1755"/>
    <x v="252"/>
    <x v="1"/>
    <x v="0"/>
    <x v="1"/>
    <x v="9"/>
    <s v="Expense"/>
    <n v="116235"/>
    <n v="107100"/>
  </r>
  <r>
    <x v="1756"/>
    <x v="252"/>
    <x v="1"/>
    <x v="0"/>
    <x v="1"/>
    <x v="1"/>
    <s v="Expense"/>
    <n v="84579"/>
    <n v="70900"/>
  </r>
  <r>
    <x v="1757"/>
    <x v="252"/>
    <x v="1"/>
    <x v="0"/>
    <x v="1"/>
    <x v="2"/>
    <s v="Revenue"/>
    <n v="67545"/>
    <n v="63500"/>
  </r>
  <r>
    <x v="1758"/>
    <x v="252"/>
    <x v="1"/>
    <x v="0"/>
    <x v="1"/>
    <x v="3"/>
    <s v="Revenue"/>
    <n v="246096"/>
    <n v="235500"/>
  </r>
  <r>
    <x v="1759"/>
    <x v="252"/>
    <x v="4"/>
    <x v="0"/>
    <x v="1"/>
    <x v="5"/>
    <s v="Expense"/>
    <n v="54258"/>
    <n v="49600"/>
  </r>
  <r>
    <x v="1760"/>
    <x v="252"/>
    <x v="4"/>
    <x v="0"/>
    <x v="1"/>
    <x v="7"/>
    <s v="Revenue"/>
    <n v="236929"/>
    <n v="253300"/>
  </r>
  <r>
    <x v="1761"/>
    <x v="253"/>
    <x v="1"/>
    <x v="0"/>
    <x v="1"/>
    <x v="6"/>
    <s v="Expense"/>
    <n v="80456"/>
    <n v="87200"/>
  </r>
  <r>
    <x v="1762"/>
    <x v="253"/>
    <x v="2"/>
    <x v="0"/>
    <x v="2"/>
    <x v="2"/>
    <s v="Revenue"/>
    <n v="182817"/>
    <n v="198000"/>
  </r>
  <r>
    <x v="1763"/>
    <x v="253"/>
    <x v="3"/>
    <x v="0"/>
    <x v="2"/>
    <x v="1"/>
    <s v="Expense"/>
    <n v="111456"/>
    <n v="93000"/>
  </r>
  <r>
    <x v="1764"/>
    <x v="253"/>
    <x v="3"/>
    <x v="0"/>
    <x v="2"/>
    <x v="7"/>
    <s v="Revenue"/>
    <n v="51916"/>
    <n v="48500"/>
  </r>
  <r>
    <x v="1765"/>
    <x v="253"/>
    <x v="6"/>
    <x v="0"/>
    <x v="3"/>
    <x v="6"/>
    <s v="Expense"/>
    <n v="34233"/>
    <n v="40700"/>
  </r>
  <r>
    <x v="1766"/>
    <x v="253"/>
    <x v="6"/>
    <x v="0"/>
    <x v="3"/>
    <x v="5"/>
    <s v="Expense"/>
    <n v="115656"/>
    <n v="114200"/>
  </r>
  <r>
    <x v="1767"/>
    <x v="254"/>
    <x v="7"/>
    <x v="0"/>
    <x v="2"/>
    <x v="3"/>
    <s v="Revenue"/>
    <n v="106320"/>
    <n v="87500"/>
  </r>
  <r>
    <x v="1768"/>
    <x v="254"/>
    <x v="0"/>
    <x v="0"/>
    <x v="0"/>
    <x v="5"/>
    <s v="Expense"/>
    <n v="86828"/>
    <n v="91900"/>
  </r>
  <r>
    <x v="1769"/>
    <x v="254"/>
    <x v="1"/>
    <x v="0"/>
    <x v="1"/>
    <x v="1"/>
    <s v="Expense"/>
    <n v="109495"/>
    <n v="106200"/>
  </r>
  <r>
    <x v="1770"/>
    <x v="254"/>
    <x v="1"/>
    <x v="0"/>
    <x v="1"/>
    <x v="2"/>
    <s v="Revenue"/>
    <n v="31297"/>
    <n v="33100"/>
  </r>
  <r>
    <x v="1771"/>
    <x v="254"/>
    <x v="5"/>
    <x v="0"/>
    <x v="3"/>
    <x v="1"/>
    <s v="Expense"/>
    <n v="21017"/>
    <n v="19100"/>
  </r>
  <r>
    <x v="1772"/>
    <x v="254"/>
    <x v="2"/>
    <x v="0"/>
    <x v="2"/>
    <x v="6"/>
    <s v="Expense"/>
    <n v="92794"/>
    <n v="81700"/>
  </r>
  <r>
    <x v="1773"/>
    <x v="255"/>
    <x v="7"/>
    <x v="0"/>
    <x v="2"/>
    <x v="10"/>
    <s v="Expense"/>
    <n v="95554"/>
    <n v="88500"/>
  </r>
  <r>
    <x v="1774"/>
    <x v="255"/>
    <x v="7"/>
    <x v="0"/>
    <x v="2"/>
    <x v="4"/>
    <s v="Revenue"/>
    <n v="106224"/>
    <n v="110300"/>
  </r>
  <r>
    <x v="1775"/>
    <x v="255"/>
    <x v="7"/>
    <x v="0"/>
    <x v="2"/>
    <x v="4"/>
    <s v="Revenue"/>
    <n v="233034"/>
    <n v="246600"/>
  </r>
  <r>
    <x v="1776"/>
    <x v="255"/>
    <x v="7"/>
    <x v="0"/>
    <x v="2"/>
    <x v="0"/>
    <s v="Revenue"/>
    <n v="243999"/>
    <n v="238400"/>
  </r>
  <r>
    <x v="1777"/>
    <x v="255"/>
    <x v="0"/>
    <x v="0"/>
    <x v="0"/>
    <x v="1"/>
    <s v="Expense"/>
    <n v="71603"/>
    <n v="76800"/>
  </r>
  <r>
    <x v="1778"/>
    <x v="255"/>
    <x v="1"/>
    <x v="0"/>
    <x v="1"/>
    <x v="7"/>
    <s v="Revenue"/>
    <n v="164879"/>
    <n v="150600"/>
  </r>
  <r>
    <x v="1779"/>
    <x v="255"/>
    <x v="3"/>
    <x v="0"/>
    <x v="2"/>
    <x v="3"/>
    <s v="Revenue"/>
    <n v="122864"/>
    <n v="118900"/>
  </r>
  <r>
    <x v="1780"/>
    <x v="256"/>
    <x v="6"/>
    <x v="0"/>
    <x v="3"/>
    <x v="3"/>
    <s v="Revenue"/>
    <n v="132535"/>
    <n v="109100"/>
  </r>
  <r>
    <x v="1781"/>
    <x v="257"/>
    <x v="7"/>
    <x v="0"/>
    <x v="2"/>
    <x v="2"/>
    <s v="Revenue"/>
    <n v="85054"/>
    <n v="81200"/>
  </r>
  <r>
    <x v="1782"/>
    <x v="257"/>
    <x v="0"/>
    <x v="0"/>
    <x v="0"/>
    <x v="7"/>
    <s v="Revenue"/>
    <n v="118956"/>
    <n v="99400"/>
  </r>
  <r>
    <x v="1783"/>
    <x v="257"/>
    <x v="5"/>
    <x v="0"/>
    <x v="3"/>
    <x v="9"/>
    <s v="Expense"/>
    <n v="118354"/>
    <n v="101300"/>
  </r>
  <r>
    <x v="1784"/>
    <x v="257"/>
    <x v="5"/>
    <x v="0"/>
    <x v="3"/>
    <x v="5"/>
    <s v="Expense"/>
    <n v="15928"/>
    <n v="15600"/>
  </r>
  <r>
    <x v="1785"/>
    <x v="257"/>
    <x v="2"/>
    <x v="0"/>
    <x v="2"/>
    <x v="6"/>
    <s v="Expense"/>
    <n v="21921"/>
    <n v="22300"/>
  </r>
  <r>
    <x v="1786"/>
    <x v="257"/>
    <x v="3"/>
    <x v="0"/>
    <x v="2"/>
    <x v="10"/>
    <s v="Expense"/>
    <n v="105539"/>
    <n v="124000"/>
  </r>
  <r>
    <x v="1787"/>
    <x v="257"/>
    <x v="4"/>
    <x v="0"/>
    <x v="1"/>
    <x v="1"/>
    <s v="Expense"/>
    <n v="91838"/>
    <n v="89200"/>
  </r>
  <r>
    <x v="1788"/>
    <x v="257"/>
    <x v="6"/>
    <x v="0"/>
    <x v="3"/>
    <x v="0"/>
    <s v="Revenue"/>
    <n v="64206"/>
    <n v="70500"/>
  </r>
  <r>
    <x v="1789"/>
    <x v="258"/>
    <x v="7"/>
    <x v="0"/>
    <x v="2"/>
    <x v="0"/>
    <s v="Revenue"/>
    <n v="29700"/>
    <n v="28200"/>
  </r>
  <r>
    <x v="1790"/>
    <x v="258"/>
    <x v="0"/>
    <x v="0"/>
    <x v="0"/>
    <x v="1"/>
    <s v="Expense"/>
    <n v="58242"/>
    <n v="58800"/>
  </r>
  <r>
    <x v="1791"/>
    <x v="258"/>
    <x v="0"/>
    <x v="0"/>
    <x v="0"/>
    <x v="10"/>
    <s v="Expense"/>
    <n v="38022"/>
    <n v="40300"/>
  </r>
  <r>
    <x v="1792"/>
    <x v="258"/>
    <x v="1"/>
    <x v="0"/>
    <x v="1"/>
    <x v="3"/>
    <s v="Revenue"/>
    <n v="143983"/>
    <n v="166600"/>
  </r>
  <r>
    <x v="1793"/>
    <x v="258"/>
    <x v="2"/>
    <x v="0"/>
    <x v="2"/>
    <x v="8"/>
    <s v="Expense"/>
    <n v="58162"/>
    <n v="62700"/>
  </r>
  <r>
    <x v="1794"/>
    <x v="258"/>
    <x v="2"/>
    <x v="0"/>
    <x v="2"/>
    <x v="6"/>
    <s v="Expense"/>
    <n v="62893"/>
    <n v="54900"/>
  </r>
  <r>
    <x v="1795"/>
    <x v="258"/>
    <x v="4"/>
    <x v="0"/>
    <x v="1"/>
    <x v="6"/>
    <s v="Expense"/>
    <n v="104120"/>
    <n v="108700"/>
  </r>
  <r>
    <x v="1796"/>
    <x v="258"/>
    <x v="4"/>
    <x v="0"/>
    <x v="1"/>
    <x v="0"/>
    <s v="Revenue"/>
    <n v="39257"/>
    <n v="39200"/>
  </r>
  <r>
    <x v="1797"/>
    <x v="259"/>
    <x v="7"/>
    <x v="0"/>
    <x v="2"/>
    <x v="8"/>
    <s v="Expense"/>
    <n v="95528"/>
    <n v="101600"/>
  </r>
  <r>
    <x v="1798"/>
    <x v="259"/>
    <x v="0"/>
    <x v="0"/>
    <x v="0"/>
    <x v="2"/>
    <s v="Revenue"/>
    <n v="71445"/>
    <n v="75000"/>
  </r>
  <r>
    <x v="1799"/>
    <x v="259"/>
    <x v="1"/>
    <x v="0"/>
    <x v="1"/>
    <x v="5"/>
    <s v="Expense"/>
    <n v="75966"/>
    <n v="70800"/>
  </r>
  <r>
    <x v="1800"/>
    <x v="259"/>
    <x v="2"/>
    <x v="0"/>
    <x v="2"/>
    <x v="5"/>
    <s v="Expense"/>
    <n v="90423"/>
    <n v="89400"/>
  </r>
  <r>
    <x v="1801"/>
    <x v="259"/>
    <x v="2"/>
    <x v="0"/>
    <x v="2"/>
    <x v="0"/>
    <s v="Revenue"/>
    <n v="239272"/>
    <n v="282800"/>
  </r>
  <r>
    <x v="1802"/>
    <x v="259"/>
    <x v="3"/>
    <x v="0"/>
    <x v="2"/>
    <x v="9"/>
    <s v="Expense"/>
    <n v="115503"/>
    <n v="104500"/>
  </r>
  <r>
    <x v="1803"/>
    <x v="259"/>
    <x v="3"/>
    <x v="0"/>
    <x v="2"/>
    <x v="7"/>
    <s v="Revenue"/>
    <n v="93560"/>
    <n v="93800"/>
  </r>
  <r>
    <x v="1804"/>
    <x v="259"/>
    <x v="3"/>
    <x v="0"/>
    <x v="2"/>
    <x v="7"/>
    <s v="Revenue"/>
    <n v="53319"/>
    <n v="50300"/>
  </r>
  <r>
    <x v="1805"/>
    <x v="259"/>
    <x v="4"/>
    <x v="0"/>
    <x v="1"/>
    <x v="6"/>
    <s v="Expense"/>
    <n v="114228"/>
    <n v="94900"/>
  </r>
  <r>
    <x v="1806"/>
    <x v="260"/>
    <x v="7"/>
    <x v="0"/>
    <x v="2"/>
    <x v="0"/>
    <s v="Revenue"/>
    <n v="140844"/>
    <n v="154300"/>
  </r>
  <r>
    <x v="1807"/>
    <x v="260"/>
    <x v="1"/>
    <x v="0"/>
    <x v="1"/>
    <x v="7"/>
    <s v="Revenue"/>
    <n v="44997"/>
    <n v="48100"/>
  </r>
  <r>
    <x v="1808"/>
    <x v="260"/>
    <x v="5"/>
    <x v="0"/>
    <x v="3"/>
    <x v="7"/>
    <s v="Revenue"/>
    <n v="62737"/>
    <n v="69600"/>
  </r>
  <r>
    <x v="1809"/>
    <x v="260"/>
    <x v="2"/>
    <x v="0"/>
    <x v="2"/>
    <x v="1"/>
    <s v="Expense"/>
    <n v="111065"/>
    <n v="110400"/>
  </r>
  <r>
    <x v="1810"/>
    <x v="260"/>
    <x v="2"/>
    <x v="0"/>
    <x v="2"/>
    <x v="8"/>
    <s v="Expense"/>
    <n v="36013"/>
    <n v="36800"/>
  </r>
  <r>
    <x v="1811"/>
    <x v="260"/>
    <x v="3"/>
    <x v="0"/>
    <x v="2"/>
    <x v="11"/>
    <s v="Revenue"/>
    <n v="80955"/>
    <n v="92200"/>
  </r>
  <r>
    <x v="1812"/>
    <x v="260"/>
    <x v="6"/>
    <x v="0"/>
    <x v="3"/>
    <x v="8"/>
    <s v="Expense"/>
    <n v="31135"/>
    <n v="29100"/>
  </r>
  <r>
    <x v="1813"/>
    <x v="261"/>
    <x v="0"/>
    <x v="0"/>
    <x v="0"/>
    <x v="0"/>
    <s v="Revenue"/>
    <n v="246388"/>
    <n v="239600"/>
  </r>
  <r>
    <x v="1814"/>
    <x v="261"/>
    <x v="0"/>
    <x v="0"/>
    <x v="0"/>
    <x v="11"/>
    <s v="Revenue"/>
    <n v="60893"/>
    <n v="60000"/>
  </r>
  <r>
    <x v="1815"/>
    <x v="261"/>
    <x v="0"/>
    <x v="0"/>
    <x v="0"/>
    <x v="4"/>
    <s v="Revenue"/>
    <n v="163291"/>
    <n v="186600"/>
  </r>
  <r>
    <x v="1816"/>
    <x v="261"/>
    <x v="1"/>
    <x v="0"/>
    <x v="1"/>
    <x v="7"/>
    <s v="Revenue"/>
    <n v="65429"/>
    <n v="56200"/>
  </r>
  <r>
    <x v="1817"/>
    <x v="261"/>
    <x v="2"/>
    <x v="0"/>
    <x v="2"/>
    <x v="10"/>
    <s v="Expense"/>
    <n v="93041"/>
    <n v="93000"/>
  </r>
  <r>
    <x v="1818"/>
    <x v="261"/>
    <x v="2"/>
    <x v="0"/>
    <x v="2"/>
    <x v="3"/>
    <s v="Revenue"/>
    <n v="115334"/>
    <n v="130200"/>
  </r>
  <r>
    <x v="1819"/>
    <x v="261"/>
    <x v="3"/>
    <x v="0"/>
    <x v="2"/>
    <x v="2"/>
    <s v="Revenue"/>
    <n v="31957"/>
    <n v="28700"/>
  </r>
  <r>
    <x v="1820"/>
    <x v="261"/>
    <x v="4"/>
    <x v="0"/>
    <x v="1"/>
    <x v="8"/>
    <s v="Expense"/>
    <n v="109535"/>
    <n v="102100"/>
  </r>
  <r>
    <x v="1821"/>
    <x v="261"/>
    <x v="6"/>
    <x v="0"/>
    <x v="3"/>
    <x v="2"/>
    <s v="Revenue"/>
    <n v="199679"/>
    <n v="210800"/>
  </r>
  <r>
    <x v="1822"/>
    <x v="262"/>
    <x v="7"/>
    <x v="0"/>
    <x v="2"/>
    <x v="6"/>
    <s v="Expense"/>
    <n v="97919"/>
    <n v="88800"/>
  </r>
  <r>
    <x v="1823"/>
    <x v="262"/>
    <x v="7"/>
    <x v="0"/>
    <x v="2"/>
    <x v="10"/>
    <s v="Expense"/>
    <n v="85557"/>
    <n v="91600"/>
  </r>
  <r>
    <x v="1824"/>
    <x v="262"/>
    <x v="1"/>
    <x v="0"/>
    <x v="1"/>
    <x v="6"/>
    <s v="Expense"/>
    <n v="16749"/>
    <n v="13900"/>
  </r>
  <r>
    <x v="1825"/>
    <x v="262"/>
    <x v="5"/>
    <x v="0"/>
    <x v="3"/>
    <x v="2"/>
    <s v="Revenue"/>
    <n v="194279"/>
    <n v="207700"/>
  </r>
  <r>
    <x v="1826"/>
    <x v="262"/>
    <x v="2"/>
    <x v="0"/>
    <x v="2"/>
    <x v="0"/>
    <s v="Revenue"/>
    <n v="238555"/>
    <n v="253200"/>
  </r>
  <r>
    <x v="1827"/>
    <x v="262"/>
    <x v="3"/>
    <x v="0"/>
    <x v="2"/>
    <x v="9"/>
    <s v="Expense"/>
    <n v="55104"/>
    <n v="56600"/>
  </r>
  <r>
    <x v="1828"/>
    <x v="263"/>
    <x v="1"/>
    <x v="0"/>
    <x v="1"/>
    <x v="5"/>
    <s v="Expense"/>
    <n v="109217"/>
    <n v="96000"/>
  </r>
  <r>
    <x v="1829"/>
    <x v="263"/>
    <x v="5"/>
    <x v="0"/>
    <x v="3"/>
    <x v="4"/>
    <s v="Revenue"/>
    <n v="25421"/>
    <n v="24200"/>
  </r>
  <r>
    <x v="1830"/>
    <x v="263"/>
    <x v="4"/>
    <x v="0"/>
    <x v="1"/>
    <x v="1"/>
    <s v="Expense"/>
    <n v="39908"/>
    <n v="40300"/>
  </r>
  <r>
    <x v="1831"/>
    <x v="263"/>
    <x v="4"/>
    <x v="0"/>
    <x v="1"/>
    <x v="5"/>
    <s v="Expense"/>
    <n v="84983"/>
    <n v="73300"/>
  </r>
  <r>
    <x v="1832"/>
    <x v="264"/>
    <x v="7"/>
    <x v="0"/>
    <x v="2"/>
    <x v="2"/>
    <s v="Revenue"/>
    <n v="100411"/>
    <n v="111000"/>
  </r>
  <r>
    <x v="1833"/>
    <x v="264"/>
    <x v="1"/>
    <x v="0"/>
    <x v="1"/>
    <x v="9"/>
    <s v="Expense"/>
    <n v="40859"/>
    <n v="53500"/>
  </r>
  <r>
    <x v="1834"/>
    <x v="264"/>
    <x v="1"/>
    <x v="0"/>
    <x v="1"/>
    <x v="6"/>
    <s v="Expense"/>
    <n v="60506"/>
    <n v="66200"/>
  </r>
  <r>
    <x v="1835"/>
    <x v="264"/>
    <x v="2"/>
    <x v="0"/>
    <x v="2"/>
    <x v="1"/>
    <s v="Expense"/>
    <n v="70570"/>
    <n v="71700"/>
  </r>
  <r>
    <x v="1836"/>
    <x v="264"/>
    <x v="2"/>
    <x v="0"/>
    <x v="2"/>
    <x v="6"/>
    <s v="Expense"/>
    <n v="85870"/>
    <n v="79300"/>
  </r>
  <r>
    <x v="1837"/>
    <x v="265"/>
    <x v="7"/>
    <x v="0"/>
    <x v="2"/>
    <x v="5"/>
    <s v="Expense"/>
    <n v="31008"/>
    <n v="29900"/>
  </r>
  <r>
    <x v="1838"/>
    <x v="265"/>
    <x v="0"/>
    <x v="0"/>
    <x v="0"/>
    <x v="5"/>
    <s v="Expense"/>
    <n v="83379"/>
    <n v="73200"/>
  </r>
  <r>
    <x v="1839"/>
    <x v="265"/>
    <x v="1"/>
    <x v="0"/>
    <x v="1"/>
    <x v="1"/>
    <s v="Expense"/>
    <n v="52380"/>
    <n v="53600"/>
  </r>
  <r>
    <x v="1840"/>
    <x v="265"/>
    <x v="1"/>
    <x v="0"/>
    <x v="1"/>
    <x v="2"/>
    <s v="Revenue"/>
    <n v="88145"/>
    <n v="83100"/>
  </r>
  <r>
    <x v="1841"/>
    <x v="265"/>
    <x v="1"/>
    <x v="0"/>
    <x v="1"/>
    <x v="11"/>
    <s v="Revenue"/>
    <n v="54158"/>
    <n v="52600"/>
  </r>
  <r>
    <x v="1842"/>
    <x v="265"/>
    <x v="3"/>
    <x v="0"/>
    <x v="2"/>
    <x v="5"/>
    <s v="Expense"/>
    <n v="23789"/>
    <n v="26400"/>
  </r>
  <r>
    <x v="1843"/>
    <x v="265"/>
    <x v="4"/>
    <x v="0"/>
    <x v="1"/>
    <x v="4"/>
    <s v="Revenue"/>
    <n v="94411"/>
    <n v="91200"/>
  </r>
  <r>
    <x v="1844"/>
    <x v="266"/>
    <x v="7"/>
    <x v="0"/>
    <x v="2"/>
    <x v="6"/>
    <s v="Expense"/>
    <n v="48658"/>
    <n v="54300"/>
  </r>
  <r>
    <x v="1845"/>
    <x v="266"/>
    <x v="0"/>
    <x v="0"/>
    <x v="0"/>
    <x v="3"/>
    <s v="Revenue"/>
    <n v="39350"/>
    <n v="37900"/>
  </r>
  <r>
    <x v="1846"/>
    <x v="266"/>
    <x v="0"/>
    <x v="0"/>
    <x v="0"/>
    <x v="7"/>
    <s v="Revenue"/>
    <n v="233005"/>
    <n v="260200"/>
  </r>
  <r>
    <x v="1847"/>
    <x v="266"/>
    <x v="1"/>
    <x v="0"/>
    <x v="1"/>
    <x v="5"/>
    <s v="Expense"/>
    <n v="89809"/>
    <n v="89100"/>
  </r>
  <r>
    <x v="1848"/>
    <x v="266"/>
    <x v="4"/>
    <x v="0"/>
    <x v="1"/>
    <x v="2"/>
    <s v="Revenue"/>
    <n v="41943"/>
    <n v="47800"/>
  </r>
  <r>
    <x v="1849"/>
    <x v="266"/>
    <x v="6"/>
    <x v="0"/>
    <x v="3"/>
    <x v="4"/>
    <s v="Revenue"/>
    <n v="75471"/>
    <n v="83300"/>
  </r>
  <r>
    <x v="1850"/>
    <x v="266"/>
    <x v="6"/>
    <x v="0"/>
    <x v="3"/>
    <x v="0"/>
    <s v="Revenue"/>
    <n v="68882"/>
    <n v="69200"/>
  </r>
  <r>
    <x v="1851"/>
    <x v="267"/>
    <x v="7"/>
    <x v="0"/>
    <x v="2"/>
    <x v="1"/>
    <s v="Expense"/>
    <n v="114210"/>
    <n v="111600"/>
  </r>
  <r>
    <x v="1852"/>
    <x v="267"/>
    <x v="7"/>
    <x v="0"/>
    <x v="2"/>
    <x v="2"/>
    <s v="Revenue"/>
    <n v="201521"/>
    <n v="217300"/>
  </r>
  <r>
    <x v="1853"/>
    <x v="267"/>
    <x v="3"/>
    <x v="0"/>
    <x v="2"/>
    <x v="9"/>
    <s v="Expense"/>
    <n v="73750"/>
    <n v="80200"/>
  </r>
  <r>
    <x v="1854"/>
    <x v="267"/>
    <x v="6"/>
    <x v="0"/>
    <x v="3"/>
    <x v="1"/>
    <s v="Expense"/>
    <n v="117260"/>
    <n v="121300"/>
  </r>
  <r>
    <x v="1855"/>
    <x v="267"/>
    <x v="6"/>
    <x v="0"/>
    <x v="3"/>
    <x v="10"/>
    <s v="Expense"/>
    <n v="49819"/>
    <n v="57100"/>
  </r>
  <r>
    <x v="1856"/>
    <x v="267"/>
    <x v="6"/>
    <x v="0"/>
    <x v="3"/>
    <x v="2"/>
    <s v="Revenue"/>
    <n v="53262"/>
    <n v="52800"/>
  </r>
  <r>
    <x v="1857"/>
    <x v="268"/>
    <x v="2"/>
    <x v="0"/>
    <x v="2"/>
    <x v="11"/>
    <s v="Revenue"/>
    <n v="66789"/>
    <n v="77600"/>
  </r>
  <r>
    <x v="1858"/>
    <x v="268"/>
    <x v="4"/>
    <x v="0"/>
    <x v="1"/>
    <x v="11"/>
    <s v="Revenue"/>
    <n v="82535"/>
    <n v="79700"/>
  </r>
  <r>
    <x v="1859"/>
    <x v="269"/>
    <x v="0"/>
    <x v="0"/>
    <x v="0"/>
    <x v="6"/>
    <s v="Expense"/>
    <n v="77475"/>
    <n v="72800"/>
  </r>
  <r>
    <x v="1860"/>
    <x v="269"/>
    <x v="1"/>
    <x v="0"/>
    <x v="1"/>
    <x v="6"/>
    <s v="Expense"/>
    <n v="26999"/>
    <n v="26500"/>
  </r>
  <r>
    <x v="1861"/>
    <x v="269"/>
    <x v="1"/>
    <x v="0"/>
    <x v="1"/>
    <x v="2"/>
    <s v="Revenue"/>
    <n v="119962"/>
    <n v="114600"/>
  </r>
  <r>
    <x v="1862"/>
    <x v="269"/>
    <x v="5"/>
    <x v="0"/>
    <x v="3"/>
    <x v="10"/>
    <s v="Expense"/>
    <n v="37919"/>
    <n v="43100"/>
  </r>
  <r>
    <x v="1863"/>
    <x v="269"/>
    <x v="5"/>
    <x v="0"/>
    <x v="3"/>
    <x v="7"/>
    <s v="Revenue"/>
    <n v="212741"/>
    <n v="209700"/>
  </r>
  <r>
    <x v="1864"/>
    <x v="269"/>
    <x v="2"/>
    <x v="0"/>
    <x v="2"/>
    <x v="8"/>
    <s v="Expense"/>
    <n v="111225"/>
    <n v="106500"/>
  </r>
  <r>
    <x v="1865"/>
    <x v="269"/>
    <x v="4"/>
    <x v="0"/>
    <x v="1"/>
    <x v="3"/>
    <s v="Revenue"/>
    <n v="55548"/>
    <n v="51400"/>
  </r>
  <r>
    <x v="1866"/>
    <x v="269"/>
    <x v="6"/>
    <x v="0"/>
    <x v="3"/>
    <x v="10"/>
    <s v="Expense"/>
    <n v="34340"/>
    <n v="33400"/>
  </r>
  <r>
    <x v="1867"/>
    <x v="270"/>
    <x v="7"/>
    <x v="0"/>
    <x v="2"/>
    <x v="1"/>
    <s v="Expense"/>
    <n v="31099"/>
    <n v="33800"/>
  </r>
  <r>
    <x v="1868"/>
    <x v="270"/>
    <x v="7"/>
    <x v="0"/>
    <x v="2"/>
    <x v="11"/>
    <s v="Revenue"/>
    <n v="38694"/>
    <n v="41600"/>
  </r>
  <r>
    <x v="1869"/>
    <x v="270"/>
    <x v="0"/>
    <x v="0"/>
    <x v="0"/>
    <x v="10"/>
    <s v="Expense"/>
    <n v="40472"/>
    <n v="40300"/>
  </r>
  <r>
    <x v="1870"/>
    <x v="270"/>
    <x v="0"/>
    <x v="0"/>
    <x v="0"/>
    <x v="11"/>
    <s v="Revenue"/>
    <n v="100490"/>
    <n v="98500"/>
  </r>
  <r>
    <x v="1871"/>
    <x v="270"/>
    <x v="5"/>
    <x v="0"/>
    <x v="3"/>
    <x v="6"/>
    <s v="Expense"/>
    <n v="54463"/>
    <n v="58900"/>
  </r>
  <r>
    <x v="1872"/>
    <x v="270"/>
    <x v="3"/>
    <x v="0"/>
    <x v="2"/>
    <x v="1"/>
    <s v="Expense"/>
    <n v="87824"/>
    <n v="86500"/>
  </r>
  <r>
    <x v="1873"/>
    <x v="270"/>
    <x v="6"/>
    <x v="0"/>
    <x v="3"/>
    <x v="8"/>
    <s v="Expense"/>
    <n v="35034"/>
    <n v="35100"/>
  </r>
  <r>
    <x v="1874"/>
    <x v="271"/>
    <x v="7"/>
    <x v="0"/>
    <x v="2"/>
    <x v="8"/>
    <s v="Expense"/>
    <n v="101736"/>
    <n v="89700"/>
  </r>
  <r>
    <x v="1875"/>
    <x v="271"/>
    <x v="7"/>
    <x v="0"/>
    <x v="2"/>
    <x v="2"/>
    <s v="Revenue"/>
    <n v="226378"/>
    <n v="239700"/>
  </r>
  <r>
    <x v="1876"/>
    <x v="271"/>
    <x v="0"/>
    <x v="0"/>
    <x v="0"/>
    <x v="10"/>
    <s v="Expense"/>
    <n v="16385"/>
    <n v="17100"/>
  </r>
  <r>
    <x v="1877"/>
    <x v="271"/>
    <x v="1"/>
    <x v="0"/>
    <x v="1"/>
    <x v="8"/>
    <s v="Expense"/>
    <n v="60916"/>
    <n v="60700"/>
  </r>
  <r>
    <x v="1878"/>
    <x v="271"/>
    <x v="2"/>
    <x v="0"/>
    <x v="2"/>
    <x v="2"/>
    <s v="Revenue"/>
    <n v="55362"/>
    <n v="58800"/>
  </r>
  <r>
    <x v="1879"/>
    <x v="271"/>
    <x v="6"/>
    <x v="0"/>
    <x v="3"/>
    <x v="0"/>
    <s v="Revenue"/>
    <n v="89851"/>
    <n v="97300"/>
  </r>
  <r>
    <x v="1880"/>
    <x v="272"/>
    <x v="0"/>
    <x v="0"/>
    <x v="0"/>
    <x v="11"/>
    <s v="Revenue"/>
    <n v="30844"/>
    <n v="34000"/>
  </r>
  <r>
    <x v="1881"/>
    <x v="272"/>
    <x v="0"/>
    <x v="0"/>
    <x v="0"/>
    <x v="4"/>
    <s v="Revenue"/>
    <n v="39270"/>
    <n v="43000"/>
  </r>
  <r>
    <x v="1882"/>
    <x v="272"/>
    <x v="1"/>
    <x v="0"/>
    <x v="1"/>
    <x v="9"/>
    <s v="Expense"/>
    <n v="104408"/>
    <n v="111300"/>
  </r>
  <r>
    <x v="1883"/>
    <x v="272"/>
    <x v="1"/>
    <x v="0"/>
    <x v="1"/>
    <x v="0"/>
    <s v="Revenue"/>
    <n v="164889"/>
    <n v="150700"/>
  </r>
  <r>
    <x v="1884"/>
    <x v="272"/>
    <x v="5"/>
    <x v="0"/>
    <x v="3"/>
    <x v="10"/>
    <s v="Expense"/>
    <n v="57844"/>
    <n v="50500"/>
  </r>
  <r>
    <x v="1885"/>
    <x v="272"/>
    <x v="5"/>
    <x v="0"/>
    <x v="3"/>
    <x v="2"/>
    <s v="Revenue"/>
    <n v="158276"/>
    <n v="169600"/>
  </r>
  <r>
    <x v="1886"/>
    <x v="272"/>
    <x v="2"/>
    <x v="0"/>
    <x v="2"/>
    <x v="7"/>
    <s v="Revenue"/>
    <n v="154602"/>
    <n v="173300"/>
  </r>
  <r>
    <x v="1887"/>
    <x v="272"/>
    <x v="4"/>
    <x v="0"/>
    <x v="1"/>
    <x v="1"/>
    <s v="Expense"/>
    <n v="24993"/>
    <n v="25100"/>
  </r>
  <r>
    <x v="1888"/>
    <x v="272"/>
    <x v="4"/>
    <x v="0"/>
    <x v="1"/>
    <x v="10"/>
    <s v="Expense"/>
    <n v="18795"/>
    <n v="17500"/>
  </r>
  <r>
    <x v="1889"/>
    <x v="272"/>
    <x v="4"/>
    <x v="0"/>
    <x v="1"/>
    <x v="4"/>
    <s v="Revenue"/>
    <n v="194995"/>
    <n v="187000"/>
  </r>
  <r>
    <x v="1890"/>
    <x v="272"/>
    <x v="6"/>
    <x v="0"/>
    <x v="3"/>
    <x v="5"/>
    <s v="Expense"/>
    <n v="110441"/>
    <n v="95300"/>
  </r>
  <r>
    <x v="1891"/>
    <x v="272"/>
    <x v="6"/>
    <x v="0"/>
    <x v="3"/>
    <x v="2"/>
    <s v="Revenue"/>
    <n v="214358"/>
    <n v="215200"/>
  </r>
  <r>
    <x v="1892"/>
    <x v="273"/>
    <x v="7"/>
    <x v="0"/>
    <x v="2"/>
    <x v="8"/>
    <s v="Expense"/>
    <n v="102523"/>
    <n v="83900"/>
  </r>
  <r>
    <x v="1893"/>
    <x v="273"/>
    <x v="1"/>
    <x v="0"/>
    <x v="1"/>
    <x v="4"/>
    <s v="Revenue"/>
    <n v="218071"/>
    <n v="245800"/>
  </r>
  <r>
    <x v="1894"/>
    <x v="273"/>
    <x v="2"/>
    <x v="0"/>
    <x v="2"/>
    <x v="4"/>
    <s v="Revenue"/>
    <n v="234510"/>
    <n v="234600"/>
  </r>
  <r>
    <x v="1895"/>
    <x v="273"/>
    <x v="6"/>
    <x v="0"/>
    <x v="3"/>
    <x v="2"/>
    <s v="Revenue"/>
    <n v="57261"/>
    <n v="55200"/>
  </r>
  <r>
    <x v="1896"/>
    <x v="274"/>
    <x v="1"/>
    <x v="0"/>
    <x v="1"/>
    <x v="1"/>
    <s v="Expense"/>
    <n v="22166"/>
    <n v="18600"/>
  </r>
  <r>
    <x v="1897"/>
    <x v="274"/>
    <x v="1"/>
    <x v="0"/>
    <x v="1"/>
    <x v="11"/>
    <s v="Revenue"/>
    <n v="42023"/>
    <n v="44300"/>
  </r>
  <r>
    <x v="1898"/>
    <x v="274"/>
    <x v="5"/>
    <x v="0"/>
    <x v="3"/>
    <x v="6"/>
    <s v="Expense"/>
    <n v="83758"/>
    <n v="83800"/>
  </r>
  <r>
    <x v="1899"/>
    <x v="274"/>
    <x v="5"/>
    <x v="0"/>
    <x v="3"/>
    <x v="2"/>
    <s v="Revenue"/>
    <n v="190449"/>
    <n v="206000"/>
  </r>
  <r>
    <x v="1900"/>
    <x v="274"/>
    <x v="2"/>
    <x v="0"/>
    <x v="2"/>
    <x v="9"/>
    <s v="Expense"/>
    <n v="88486"/>
    <n v="82300"/>
  </r>
  <r>
    <x v="1901"/>
    <x v="274"/>
    <x v="3"/>
    <x v="0"/>
    <x v="2"/>
    <x v="3"/>
    <s v="Revenue"/>
    <n v="171980"/>
    <n v="176800"/>
  </r>
  <r>
    <x v="1902"/>
    <x v="274"/>
    <x v="4"/>
    <x v="0"/>
    <x v="1"/>
    <x v="2"/>
    <s v="Revenue"/>
    <n v="203341"/>
    <n v="176500"/>
  </r>
  <r>
    <x v="1903"/>
    <x v="274"/>
    <x v="6"/>
    <x v="0"/>
    <x v="3"/>
    <x v="0"/>
    <s v="Revenue"/>
    <n v="157278"/>
    <n v="157400"/>
  </r>
  <r>
    <x v="1904"/>
    <x v="275"/>
    <x v="7"/>
    <x v="0"/>
    <x v="2"/>
    <x v="1"/>
    <s v="Expense"/>
    <n v="52974"/>
    <n v="51900"/>
  </r>
  <r>
    <x v="1905"/>
    <x v="275"/>
    <x v="7"/>
    <x v="0"/>
    <x v="2"/>
    <x v="4"/>
    <s v="Revenue"/>
    <n v="99999"/>
    <n v="97700"/>
  </r>
  <r>
    <x v="1906"/>
    <x v="275"/>
    <x v="0"/>
    <x v="0"/>
    <x v="0"/>
    <x v="5"/>
    <s v="Expense"/>
    <n v="73977"/>
    <n v="74000"/>
  </r>
  <r>
    <x v="1907"/>
    <x v="275"/>
    <x v="0"/>
    <x v="0"/>
    <x v="0"/>
    <x v="6"/>
    <s v="Expense"/>
    <n v="72721"/>
    <n v="69700"/>
  </r>
  <r>
    <x v="1908"/>
    <x v="275"/>
    <x v="3"/>
    <x v="0"/>
    <x v="2"/>
    <x v="1"/>
    <s v="Expense"/>
    <n v="89293"/>
    <n v="70400"/>
  </r>
  <r>
    <x v="1909"/>
    <x v="275"/>
    <x v="6"/>
    <x v="0"/>
    <x v="3"/>
    <x v="7"/>
    <s v="Revenue"/>
    <n v="178912"/>
    <n v="150100"/>
  </r>
  <r>
    <x v="1910"/>
    <x v="276"/>
    <x v="7"/>
    <x v="0"/>
    <x v="2"/>
    <x v="9"/>
    <s v="Expense"/>
    <n v="110748"/>
    <n v="103900"/>
  </r>
  <r>
    <x v="1911"/>
    <x v="276"/>
    <x v="7"/>
    <x v="0"/>
    <x v="2"/>
    <x v="7"/>
    <s v="Revenue"/>
    <n v="100001"/>
    <n v="107800"/>
  </r>
  <r>
    <x v="1912"/>
    <x v="276"/>
    <x v="1"/>
    <x v="0"/>
    <x v="1"/>
    <x v="7"/>
    <s v="Revenue"/>
    <n v="176570"/>
    <n v="175500"/>
  </r>
  <r>
    <x v="1913"/>
    <x v="276"/>
    <x v="5"/>
    <x v="0"/>
    <x v="3"/>
    <x v="1"/>
    <s v="Expense"/>
    <n v="51230"/>
    <n v="54300"/>
  </r>
  <r>
    <x v="1914"/>
    <x v="276"/>
    <x v="5"/>
    <x v="0"/>
    <x v="3"/>
    <x v="4"/>
    <s v="Revenue"/>
    <n v="167272"/>
    <n v="165800"/>
  </r>
  <r>
    <x v="1915"/>
    <x v="276"/>
    <x v="5"/>
    <x v="0"/>
    <x v="3"/>
    <x v="0"/>
    <s v="Revenue"/>
    <n v="127702"/>
    <n v="132700"/>
  </r>
  <r>
    <x v="1916"/>
    <x v="276"/>
    <x v="5"/>
    <x v="0"/>
    <x v="3"/>
    <x v="3"/>
    <s v="Revenue"/>
    <n v="83782"/>
    <n v="88900"/>
  </r>
  <r>
    <x v="1917"/>
    <x v="276"/>
    <x v="2"/>
    <x v="0"/>
    <x v="2"/>
    <x v="11"/>
    <s v="Revenue"/>
    <n v="58361"/>
    <n v="65000"/>
  </r>
  <r>
    <x v="1918"/>
    <x v="276"/>
    <x v="2"/>
    <x v="0"/>
    <x v="2"/>
    <x v="11"/>
    <s v="Revenue"/>
    <n v="178011"/>
    <n v="170600"/>
  </r>
  <r>
    <x v="1919"/>
    <x v="276"/>
    <x v="3"/>
    <x v="0"/>
    <x v="2"/>
    <x v="1"/>
    <s v="Expense"/>
    <n v="84984"/>
    <n v="100100"/>
  </r>
  <r>
    <x v="1920"/>
    <x v="276"/>
    <x v="4"/>
    <x v="0"/>
    <x v="1"/>
    <x v="4"/>
    <s v="Revenue"/>
    <n v="54532"/>
    <n v="49600"/>
  </r>
  <r>
    <x v="1921"/>
    <x v="277"/>
    <x v="7"/>
    <x v="0"/>
    <x v="2"/>
    <x v="4"/>
    <s v="Revenue"/>
    <n v="29944"/>
    <n v="29700"/>
  </r>
  <r>
    <x v="1922"/>
    <x v="277"/>
    <x v="7"/>
    <x v="0"/>
    <x v="2"/>
    <x v="7"/>
    <s v="Revenue"/>
    <n v="190469"/>
    <n v="209800"/>
  </r>
  <r>
    <x v="1923"/>
    <x v="277"/>
    <x v="0"/>
    <x v="0"/>
    <x v="0"/>
    <x v="9"/>
    <s v="Expense"/>
    <n v="47420"/>
    <n v="53300"/>
  </r>
  <r>
    <x v="1924"/>
    <x v="277"/>
    <x v="1"/>
    <x v="0"/>
    <x v="1"/>
    <x v="8"/>
    <s v="Expense"/>
    <n v="28170"/>
    <n v="28800"/>
  </r>
  <r>
    <x v="1925"/>
    <x v="277"/>
    <x v="1"/>
    <x v="0"/>
    <x v="1"/>
    <x v="4"/>
    <s v="Revenue"/>
    <n v="230871"/>
    <n v="245400"/>
  </r>
  <r>
    <x v="1926"/>
    <x v="277"/>
    <x v="5"/>
    <x v="0"/>
    <x v="3"/>
    <x v="11"/>
    <s v="Revenue"/>
    <n v="119366"/>
    <n v="124100"/>
  </r>
  <r>
    <x v="1927"/>
    <x v="277"/>
    <x v="2"/>
    <x v="0"/>
    <x v="2"/>
    <x v="5"/>
    <s v="Expense"/>
    <n v="90378"/>
    <n v="102700"/>
  </r>
  <r>
    <x v="1928"/>
    <x v="277"/>
    <x v="4"/>
    <x v="0"/>
    <x v="1"/>
    <x v="7"/>
    <s v="Revenue"/>
    <n v="53332"/>
    <n v="52300"/>
  </r>
  <r>
    <x v="1929"/>
    <x v="277"/>
    <x v="4"/>
    <x v="0"/>
    <x v="1"/>
    <x v="7"/>
    <s v="Revenue"/>
    <n v="177783"/>
    <n v="165500"/>
  </r>
  <r>
    <x v="1930"/>
    <x v="277"/>
    <x v="6"/>
    <x v="0"/>
    <x v="3"/>
    <x v="5"/>
    <s v="Expense"/>
    <n v="115832"/>
    <n v="115200"/>
  </r>
  <r>
    <x v="1931"/>
    <x v="278"/>
    <x v="7"/>
    <x v="0"/>
    <x v="2"/>
    <x v="6"/>
    <s v="Expense"/>
    <n v="33017"/>
    <n v="33400"/>
  </r>
  <r>
    <x v="1932"/>
    <x v="278"/>
    <x v="7"/>
    <x v="0"/>
    <x v="2"/>
    <x v="11"/>
    <s v="Revenue"/>
    <n v="177297"/>
    <n v="173400"/>
  </r>
  <r>
    <x v="1933"/>
    <x v="278"/>
    <x v="0"/>
    <x v="0"/>
    <x v="0"/>
    <x v="10"/>
    <s v="Expense"/>
    <n v="12344"/>
    <n v="11200"/>
  </r>
  <r>
    <x v="1934"/>
    <x v="278"/>
    <x v="0"/>
    <x v="0"/>
    <x v="0"/>
    <x v="2"/>
    <s v="Revenue"/>
    <n v="123353"/>
    <n v="119100"/>
  </r>
  <r>
    <x v="1935"/>
    <x v="278"/>
    <x v="1"/>
    <x v="0"/>
    <x v="1"/>
    <x v="2"/>
    <s v="Revenue"/>
    <n v="166278"/>
    <n v="176600"/>
  </r>
  <r>
    <x v="1936"/>
    <x v="278"/>
    <x v="5"/>
    <x v="0"/>
    <x v="3"/>
    <x v="9"/>
    <s v="Expense"/>
    <n v="35326"/>
    <n v="35100"/>
  </r>
  <r>
    <x v="1937"/>
    <x v="278"/>
    <x v="5"/>
    <x v="0"/>
    <x v="3"/>
    <x v="4"/>
    <s v="Revenue"/>
    <n v="217888"/>
    <n v="236200"/>
  </r>
  <r>
    <x v="1938"/>
    <x v="278"/>
    <x v="3"/>
    <x v="0"/>
    <x v="2"/>
    <x v="3"/>
    <s v="Revenue"/>
    <n v="204515"/>
    <n v="174300"/>
  </r>
  <r>
    <x v="1939"/>
    <x v="278"/>
    <x v="4"/>
    <x v="0"/>
    <x v="1"/>
    <x v="1"/>
    <s v="Expense"/>
    <n v="44475"/>
    <n v="41600"/>
  </r>
  <r>
    <x v="1940"/>
    <x v="279"/>
    <x v="7"/>
    <x v="0"/>
    <x v="2"/>
    <x v="0"/>
    <s v="Revenue"/>
    <n v="156415"/>
    <n v="148900"/>
  </r>
  <r>
    <x v="1941"/>
    <x v="279"/>
    <x v="5"/>
    <x v="0"/>
    <x v="3"/>
    <x v="8"/>
    <s v="Expense"/>
    <n v="102749"/>
    <n v="120000"/>
  </r>
  <r>
    <x v="1942"/>
    <x v="279"/>
    <x v="5"/>
    <x v="0"/>
    <x v="3"/>
    <x v="2"/>
    <s v="Revenue"/>
    <n v="229942"/>
    <n v="279800"/>
  </r>
  <r>
    <x v="1943"/>
    <x v="279"/>
    <x v="5"/>
    <x v="0"/>
    <x v="3"/>
    <x v="3"/>
    <s v="Revenue"/>
    <n v="102645"/>
    <n v="99300"/>
  </r>
  <r>
    <x v="1944"/>
    <x v="279"/>
    <x v="4"/>
    <x v="0"/>
    <x v="1"/>
    <x v="5"/>
    <s v="Expense"/>
    <n v="23412"/>
    <n v="26600"/>
  </r>
  <r>
    <x v="1945"/>
    <x v="280"/>
    <x v="0"/>
    <x v="0"/>
    <x v="0"/>
    <x v="6"/>
    <s v="Expense"/>
    <n v="67359"/>
    <n v="71300"/>
  </r>
  <r>
    <x v="1946"/>
    <x v="280"/>
    <x v="1"/>
    <x v="0"/>
    <x v="1"/>
    <x v="1"/>
    <s v="Expense"/>
    <n v="52082"/>
    <n v="55400"/>
  </r>
  <r>
    <x v="1947"/>
    <x v="280"/>
    <x v="4"/>
    <x v="0"/>
    <x v="1"/>
    <x v="6"/>
    <s v="Expense"/>
    <n v="35219"/>
    <n v="37200"/>
  </r>
  <r>
    <x v="1948"/>
    <x v="281"/>
    <x v="7"/>
    <x v="0"/>
    <x v="2"/>
    <x v="1"/>
    <s v="Expense"/>
    <n v="81601"/>
    <n v="93800"/>
  </r>
  <r>
    <x v="1949"/>
    <x v="281"/>
    <x v="1"/>
    <x v="0"/>
    <x v="1"/>
    <x v="3"/>
    <s v="Revenue"/>
    <n v="235509"/>
    <n v="219500"/>
  </r>
  <r>
    <x v="1950"/>
    <x v="281"/>
    <x v="5"/>
    <x v="0"/>
    <x v="3"/>
    <x v="9"/>
    <s v="Expense"/>
    <n v="41283"/>
    <n v="42700"/>
  </r>
  <r>
    <x v="1951"/>
    <x v="281"/>
    <x v="5"/>
    <x v="0"/>
    <x v="3"/>
    <x v="0"/>
    <s v="Revenue"/>
    <n v="26147"/>
    <n v="27500"/>
  </r>
  <r>
    <x v="1952"/>
    <x v="282"/>
    <x v="7"/>
    <x v="0"/>
    <x v="2"/>
    <x v="6"/>
    <s v="Expense"/>
    <n v="56848"/>
    <n v="61800"/>
  </r>
  <r>
    <x v="1953"/>
    <x v="282"/>
    <x v="1"/>
    <x v="0"/>
    <x v="1"/>
    <x v="6"/>
    <s v="Expense"/>
    <n v="87857"/>
    <n v="92500"/>
  </r>
  <r>
    <x v="1954"/>
    <x v="282"/>
    <x v="2"/>
    <x v="0"/>
    <x v="2"/>
    <x v="9"/>
    <s v="Expense"/>
    <n v="111849"/>
    <n v="114300"/>
  </r>
  <r>
    <x v="1955"/>
    <x v="282"/>
    <x v="3"/>
    <x v="0"/>
    <x v="2"/>
    <x v="9"/>
    <s v="Expense"/>
    <n v="14501"/>
    <n v="14200"/>
  </r>
  <r>
    <x v="1956"/>
    <x v="282"/>
    <x v="4"/>
    <x v="0"/>
    <x v="1"/>
    <x v="7"/>
    <s v="Revenue"/>
    <n v="153742"/>
    <n v="155100"/>
  </r>
  <r>
    <x v="1957"/>
    <x v="282"/>
    <x v="6"/>
    <x v="0"/>
    <x v="3"/>
    <x v="9"/>
    <s v="Expense"/>
    <n v="104715"/>
    <n v="95400"/>
  </r>
  <r>
    <x v="1958"/>
    <x v="282"/>
    <x v="6"/>
    <x v="0"/>
    <x v="3"/>
    <x v="2"/>
    <s v="Revenue"/>
    <n v="167906"/>
    <n v="176900"/>
  </r>
  <r>
    <x v="1959"/>
    <x v="283"/>
    <x v="7"/>
    <x v="0"/>
    <x v="2"/>
    <x v="10"/>
    <s v="Expense"/>
    <n v="78306"/>
    <n v="74300"/>
  </r>
  <r>
    <x v="1960"/>
    <x v="283"/>
    <x v="1"/>
    <x v="0"/>
    <x v="1"/>
    <x v="2"/>
    <s v="Revenue"/>
    <n v="217215"/>
    <n v="209800"/>
  </r>
  <r>
    <x v="1961"/>
    <x v="283"/>
    <x v="3"/>
    <x v="0"/>
    <x v="2"/>
    <x v="5"/>
    <s v="Expense"/>
    <n v="85627"/>
    <n v="90500"/>
  </r>
  <r>
    <x v="1962"/>
    <x v="283"/>
    <x v="3"/>
    <x v="0"/>
    <x v="2"/>
    <x v="4"/>
    <s v="Revenue"/>
    <n v="198204"/>
    <n v="174600"/>
  </r>
  <r>
    <x v="1963"/>
    <x v="284"/>
    <x v="1"/>
    <x v="0"/>
    <x v="1"/>
    <x v="5"/>
    <s v="Expense"/>
    <n v="59642"/>
    <n v="62500"/>
  </r>
  <r>
    <x v="1964"/>
    <x v="284"/>
    <x v="5"/>
    <x v="0"/>
    <x v="3"/>
    <x v="6"/>
    <s v="Expense"/>
    <n v="64507"/>
    <n v="71200"/>
  </r>
  <r>
    <x v="1965"/>
    <x v="284"/>
    <x v="2"/>
    <x v="0"/>
    <x v="2"/>
    <x v="2"/>
    <s v="Revenue"/>
    <n v="153726"/>
    <n v="166100"/>
  </r>
  <r>
    <x v="1966"/>
    <x v="284"/>
    <x v="4"/>
    <x v="0"/>
    <x v="1"/>
    <x v="6"/>
    <s v="Expense"/>
    <n v="111622"/>
    <n v="114800"/>
  </r>
  <r>
    <x v="1967"/>
    <x v="284"/>
    <x v="6"/>
    <x v="0"/>
    <x v="3"/>
    <x v="8"/>
    <s v="Expense"/>
    <n v="15334"/>
    <n v="14700"/>
  </r>
  <r>
    <x v="1968"/>
    <x v="285"/>
    <x v="7"/>
    <x v="0"/>
    <x v="2"/>
    <x v="4"/>
    <s v="Revenue"/>
    <n v="139189"/>
    <n v="95000"/>
  </r>
  <r>
    <x v="1969"/>
    <x v="285"/>
    <x v="7"/>
    <x v="0"/>
    <x v="2"/>
    <x v="7"/>
    <s v="Revenue"/>
    <n v="42761"/>
    <n v="40800"/>
  </r>
  <r>
    <x v="1970"/>
    <x v="285"/>
    <x v="1"/>
    <x v="0"/>
    <x v="1"/>
    <x v="8"/>
    <s v="Expense"/>
    <n v="93939"/>
    <n v="95200"/>
  </r>
  <r>
    <x v="1971"/>
    <x v="285"/>
    <x v="1"/>
    <x v="0"/>
    <x v="1"/>
    <x v="7"/>
    <s v="Revenue"/>
    <n v="183188"/>
    <n v="209900"/>
  </r>
  <r>
    <x v="1972"/>
    <x v="285"/>
    <x v="5"/>
    <x v="0"/>
    <x v="3"/>
    <x v="6"/>
    <s v="Expense"/>
    <n v="74941"/>
    <n v="86800"/>
  </r>
  <r>
    <x v="1973"/>
    <x v="285"/>
    <x v="6"/>
    <x v="0"/>
    <x v="3"/>
    <x v="1"/>
    <s v="Expense"/>
    <n v="74364"/>
    <n v="80000"/>
  </r>
  <r>
    <x v="1974"/>
    <x v="286"/>
    <x v="0"/>
    <x v="0"/>
    <x v="0"/>
    <x v="10"/>
    <s v="Expense"/>
    <n v="87019"/>
    <n v="95300"/>
  </r>
  <r>
    <x v="1975"/>
    <x v="286"/>
    <x v="0"/>
    <x v="0"/>
    <x v="0"/>
    <x v="0"/>
    <s v="Revenue"/>
    <n v="151080"/>
    <n v="149600"/>
  </r>
  <r>
    <x v="1976"/>
    <x v="286"/>
    <x v="1"/>
    <x v="0"/>
    <x v="1"/>
    <x v="3"/>
    <s v="Revenue"/>
    <n v="51522"/>
    <n v="44100"/>
  </r>
  <r>
    <x v="1977"/>
    <x v="286"/>
    <x v="1"/>
    <x v="0"/>
    <x v="1"/>
    <x v="7"/>
    <s v="Revenue"/>
    <n v="131197"/>
    <n v="131300"/>
  </r>
  <r>
    <x v="1978"/>
    <x v="286"/>
    <x v="5"/>
    <x v="0"/>
    <x v="3"/>
    <x v="1"/>
    <s v="Expense"/>
    <n v="84785"/>
    <n v="85600"/>
  </r>
  <r>
    <x v="1979"/>
    <x v="286"/>
    <x v="3"/>
    <x v="0"/>
    <x v="2"/>
    <x v="2"/>
    <s v="Revenue"/>
    <n v="63183"/>
    <n v="62800"/>
  </r>
  <r>
    <x v="1980"/>
    <x v="287"/>
    <x v="0"/>
    <x v="0"/>
    <x v="0"/>
    <x v="8"/>
    <s v="Expense"/>
    <n v="84564"/>
    <n v="87600"/>
  </r>
  <r>
    <x v="1981"/>
    <x v="287"/>
    <x v="0"/>
    <x v="0"/>
    <x v="0"/>
    <x v="0"/>
    <s v="Revenue"/>
    <n v="222151"/>
    <n v="206700"/>
  </r>
  <r>
    <x v="1982"/>
    <x v="287"/>
    <x v="0"/>
    <x v="0"/>
    <x v="0"/>
    <x v="0"/>
    <s v="Revenue"/>
    <n v="217785"/>
    <n v="191200"/>
  </r>
  <r>
    <x v="1983"/>
    <x v="287"/>
    <x v="2"/>
    <x v="0"/>
    <x v="2"/>
    <x v="9"/>
    <s v="Expense"/>
    <n v="17548"/>
    <n v="20800"/>
  </r>
  <r>
    <x v="1984"/>
    <x v="287"/>
    <x v="2"/>
    <x v="0"/>
    <x v="2"/>
    <x v="9"/>
    <s v="Expense"/>
    <n v="42884"/>
    <n v="44100"/>
  </r>
  <r>
    <x v="1985"/>
    <x v="287"/>
    <x v="2"/>
    <x v="0"/>
    <x v="2"/>
    <x v="1"/>
    <s v="Expense"/>
    <n v="114810"/>
    <n v="102200"/>
  </r>
  <r>
    <x v="1986"/>
    <x v="287"/>
    <x v="3"/>
    <x v="0"/>
    <x v="2"/>
    <x v="5"/>
    <s v="Expense"/>
    <n v="33735"/>
    <n v="35300"/>
  </r>
  <r>
    <x v="1987"/>
    <x v="287"/>
    <x v="3"/>
    <x v="0"/>
    <x v="2"/>
    <x v="8"/>
    <s v="Expense"/>
    <n v="56595"/>
    <n v="53400"/>
  </r>
  <r>
    <x v="1988"/>
    <x v="287"/>
    <x v="4"/>
    <x v="0"/>
    <x v="1"/>
    <x v="2"/>
    <s v="Revenue"/>
    <n v="114330"/>
    <n v="128900"/>
  </r>
  <r>
    <x v="1989"/>
    <x v="288"/>
    <x v="7"/>
    <x v="0"/>
    <x v="2"/>
    <x v="1"/>
    <s v="Expense"/>
    <n v="65323"/>
    <n v="62000"/>
  </r>
  <r>
    <x v="1990"/>
    <x v="288"/>
    <x v="7"/>
    <x v="0"/>
    <x v="2"/>
    <x v="4"/>
    <s v="Revenue"/>
    <n v="175255"/>
    <n v="191600"/>
  </r>
  <r>
    <x v="1991"/>
    <x v="288"/>
    <x v="7"/>
    <x v="0"/>
    <x v="2"/>
    <x v="3"/>
    <s v="Revenue"/>
    <n v="53650"/>
    <n v="64400"/>
  </r>
  <r>
    <x v="1992"/>
    <x v="288"/>
    <x v="0"/>
    <x v="0"/>
    <x v="0"/>
    <x v="10"/>
    <s v="Expense"/>
    <n v="72607"/>
    <n v="78800"/>
  </r>
  <r>
    <x v="1993"/>
    <x v="288"/>
    <x v="1"/>
    <x v="0"/>
    <x v="1"/>
    <x v="3"/>
    <s v="Revenue"/>
    <n v="172492"/>
    <n v="177000"/>
  </r>
  <r>
    <x v="1994"/>
    <x v="288"/>
    <x v="2"/>
    <x v="0"/>
    <x v="2"/>
    <x v="6"/>
    <s v="Expense"/>
    <n v="107603"/>
    <n v="111900"/>
  </r>
  <r>
    <x v="1995"/>
    <x v="288"/>
    <x v="4"/>
    <x v="0"/>
    <x v="1"/>
    <x v="2"/>
    <s v="Revenue"/>
    <n v="197738"/>
    <n v="216800"/>
  </r>
  <r>
    <x v="1996"/>
    <x v="288"/>
    <x v="6"/>
    <x v="0"/>
    <x v="3"/>
    <x v="5"/>
    <s v="Expense"/>
    <n v="75844"/>
    <n v="80800"/>
  </r>
  <r>
    <x v="1997"/>
    <x v="288"/>
    <x v="6"/>
    <x v="0"/>
    <x v="3"/>
    <x v="3"/>
    <s v="Revenue"/>
    <n v="91126"/>
    <n v="92400"/>
  </r>
  <r>
    <x v="1998"/>
    <x v="289"/>
    <x v="5"/>
    <x v="0"/>
    <x v="3"/>
    <x v="10"/>
    <s v="Expense"/>
    <n v="71555"/>
    <n v="74600"/>
  </r>
  <r>
    <x v="1999"/>
    <x v="289"/>
    <x v="5"/>
    <x v="0"/>
    <x v="3"/>
    <x v="0"/>
    <s v="Revenue"/>
    <n v="195337"/>
    <n v="193300"/>
  </r>
  <r>
    <x v="2000"/>
    <x v="289"/>
    <x v="3"/>
    <x v="0"/>
    <x v="2"/>
    <x v="6"/>
    <s v="Expense"/>
    <n v="66397"/>
    <n v="64400"/>
  </r>
  <r>
    <x v="2001"/>
    <x v="289"/>
    <x v="3"/>
    <x v="0"/>
    <x v="2"/>
    <x v="11"/>
    <s v="Revenue"/>
    <n v="106359"/>
    <n v="99900"/>
  </r>
  <r>
    <x v="2002"/>
    <x v="289"/>
    <x v="4"/>
    <x v="0"/>
    <x v="1"/>
    <x v="2"/>
    <s v="Revenue"/>
    <n v="201632"/>
    <n v="185800"/>
  </r>
  <r>
    <x v="2003"/>
    <x v="289"/>
    <x v="6"/>
    <x v="0"/>
    <x v="3"/>
    <x v="6"/>
    <s v="Expense"/>
    <n v="99451"/>
    <n v="111800"/>
  </r>
  <r>
    <x v="2004"/>
    <x v="290"/>
    <x v="1"/>
    <x v="0"/>
    <x v="1"/>
    <x v="7"/>
    <s v="Revenue"/>
    <n v="160404"/>
    <n v="190400"/>
  </r>
  <r>
    <x v="2005"/>
    <x v="290"/>
    <x v="5"/>
    <x v="0"/>
    <x v="3"/>
    <x v="11"/>
    <s v="Revenue"/>
    <n v="76901"/>
    <n v="81600"/>
  </r>
  <r>
    <x v="2006"/>
    <x v="290"/>
    <x v="3"/>
    <x v="0"/>
    <x v="2"/>
    <x v="2"/>
    <s v="Revenue"/>
    <n v="201616"/>
    <n v="202100"/>
  </r>
  <r>
    <x v="2007"/>
    <x v="290"/>
    <x v="6"/>
    <x v="0"/>
    <x v="3"/>
    <x v="5"/>
    <s v="Expense"/>
    <n v="79716"/>
    <n v="88400"/>
  </r>
  <r>
    <x v="2008"/>
    <x v="291"/>
    <x v="7"/>
    <x v="0"/>
    <x v="2"/>
    <x v="5"/>
    <s v="Expense"/>
    <n v="27724"/>
    <n v="31200"/>
  </r>
  <r>
    <x v="2009"/>
    <x v="291"/>
    <x v="0"/>
    <x v="0"/>
    <x v="0"/>
    <x v="6"/>
    <s v="Expense"/>
    <n v="110172"/>
    <n v="105600"/>
  </r>
  <r>
    <x v="2010"/>
    <x v="291"/>
    <x v="0"/>
    <x v="0"/>
    <x v="0"/>
    <x v="6"/>
    <s v="Expense"/>
    <n v="56699"/>
    <n v="57800"/>
  </r>
  <r>
    <x v="2011"/>
    <x v="291"/>
    <x v="1"/>
    <x v="0"/>
    <x v="1"/>
    <x v="5"/>
    <s v="Expense"/>
    <n v="22003"/>
    <n v="20800"/>
  </r>
  <r>
    <x v="2012"/>
    <x v="291"/>
    <x v="3"/>
    <x v="0"/>
    <x v="2"/>
    <x v="6"/>
    <s v="Expense"/>
    <n v="53580"/>
    <n v="56100"/>
  </r>
  <r>
    <x v="2013"/>
    <x v="291"/>
    <x v="3"/>
    <x v="0"/>
    <x v="2"/>
    <x v="6"/>
    <s v="Expense"/>
    <n v="27326"/>
    <n v="31800"/>
  </r>
  <r>
    <x v="2014"/>
    <x v="291"/>
    <x v="3"/>
    <x v="0"/>
    <x v="2"/>
    <x v="11"/>
    <s v="Revenue"/>
    <n v="149390"/>
    <n v="143900"/>
  </r>
  <r>
    <x v="2015"/>
    <x v="291"/>
    <x v="4"/>
    <x v="0"/>
    <x v="1"/>
    <x v="10"/>
    <s v="Expense"/>
    <n v="43747"/>
    <n v="40900"/>
  </r>
  <r>
    <x v="2016"/>
    <x v="291"/>
    <x v="4"/>
    <x v="0"/>
    <x v="1"/>
    <x v="10"/>
    <s v="Expense"/>
    <n v="111940"/>
    <n v="117300"/>
  </r>
  <r>
    <x v="2017"/>
    <x v="291"/>
    <x v="4"/>
    <x v="0"/>
    <x v="1"/>
    <x v="4"/>
    <s v="Revenue"/>
    <n v="234579"/>
    <n v="232900"/>
  </r>
  <r>
    <x v="2018"/>
    <x v="291"/>
    <x v="6"/>
    <x v="0"/>
    <x v="3"/>
    <x v="11"/>
    <s v="Revenue"/>
    <n v="77724"/>
    <n v="63400"/>
  </r>
  <r>
    <x v="2019"/>
    <x v="291"/>
    <x v="6"/>
    <x v="0"/>
    <x v="3"/>
    <x v="11"/>
    <s v="Revenue"/>
    <n v="106255"/>
    <n v="118600"/>
  </r>
  <r>
    <x v="2020"/>
    <x v="292"/>
    <x v="7"/>
    <x v="0"/>
    <x v="2"/>
    <x v="9"/>
    <s v="Expense"/>
    <n v="45470"/>
    <n v="38800"/>
  </r>
  <r>
    <x v="2021"/>
    <x v="292"/>
    <x v="7"/>
    <x v="0"/>
    <x v="2"/>
    <x v="11"/>
    <s v="Revenue"/>
    <n v="106433"/>
    <n v="108000"/>
  </r>
  <r>
    <x v="2022"/>
    <x v="292"/>
    <x v="0"/>
    <x v="0"/>
    <x v="0"/>
    <x v="1"/>
    <s v="Expense"/>
    <n v="12838"/>
    <n v="15000"/>
  </r>
  <r>
    <x v="2023"/>
    <x v="292"/>
    <x v="0"/>
    <x v="0"/>
    <x v="0"/>
    <x v="8"/>
    <s v="Expense"/>
    <n v="29283"/>
    <n v="27600"/>
  </r>
  <r>
    <x v="2024"/>
    <x v="292"/>
    <x v="1"/>
    <x v="0"/>
    <x v="1"/>
    <x v="0"/>
    <s v="Revenue"/>
    <n v="234107"/>
    <n v="255200"/>
  </r>
  <r>
    <x v="2025"/>
    <x v="292"/>
    <x v="5"/>
    <x v="0"/>
    <x v="3"/>
    <x v="7"/>
    <s v="Revenue"/>
    <n v="249307"/>
    <n v="253600"/>
  </r>
  <r>
    <x v="2026"/>
    <x v="292"/>
    <x v="3"/>
    <x v="0"/>
    <x v="2"/>
    <x v="10"/>
    <s v="Expense"/>
    <n v="113370"/>
    <n v="140900"/>
  </r>
  <r>
    <x v="2027"/>
    <x v="292"/>
    <x v="3"/>
    <x v="0"/>
    <x v="2"/>
    <x v="3"/>
    <s v="Revenue"/>
    <n v="172426"/>
    <n v="191100"/>
  </r>
  <r>
    <x v="2028"/>
    <x v="292"/>
    <x v="6"/>
    <x v="0"/>
    <x v="3"/>
    <x v="10"/>
    <s v="Expense"/>
    <n v="28874"/>
    <n v="26900"/>
  </r>
  <r>
    <x v="2029"/>
    <x v="292"/>
    <x v="6"/>
    <x v="0"/>
    <x v="3"/>
    <x v="5"/>
    <s v="Expense"/>
    <n v="19896"/>
    <n v="20100"/>
  </r>
  <r>
    <x v="2030"/>
    <x v="292"/>
    <x v="6"/>
    <x v="0"/>
    <x v="3"/>
    <x v="9"/>
    <s v="Expense"/>
    <n v="18061"/>
    <n v="18100"/>
  </r>
  <r>
    <x v="2031"/>
    <x v="293"/>
    <x v="7"/>
    <x v="0"/>
    <x v="2"/>
    <x v="2"/>
    <s v="Revenue"/>
    <n v="145842"/>
    <n v="172100"/>
  </r>
  <r>
    <x v="2032"/>
    <x v="293"/>
    <x v="1"/>
    <x v="0"/>
    <x v="1"/>
    <x v="7"/>
    <s v="Revenue"/>
    <n v="70111"/>
    <n v="70200"/>
  </r>
  <r>
    <x v="2033"/>
    <x v="293"/>
    <x v="2"/>
    <x v="0"/>
    <x v="2"/>
    <x v="10"/>
    <s v="Expense"/>
    <n v="68653"/>
    <n v="66000"/>
  </r>
  <r>
    <x v="2034"/>
    <x v="293"/>
    <x v="3"/>
    <x v="0"/>
    <x v="2"/>
    <x v="5"/>
    <s v="Expense"/>
    <n v="27099"/>
    <n v="26300"/>
  </r>
  <r>
    <x v="2035"/>
    <x v="293"/>
    <x v="4"/>
    <x v="0"/>
    <x v="1"/>
    <x v="6"/>
    <s v="Expense"/>
    <n v="90972"/>
    <n v="83400"/>
  </r>
  <r>
    <x v="2036"/>
    <x v="294"/>
    <x v="7"/>
    <x v="0"/>
    <x v="2"/>
    <x v="1"/>
    <s v="Expense"/>
    <n v="44381"/>
    <n v="42500"/>
  </r>
  <r>
    <x v="2037"/>
    <x v="294"/>
    <x v="7"/>
    <x v="0"/>
    <x v="2"/>
    <x v="8"/>
    <s v="Expense"/>
    <n v="67316"/>
    <n v="65300"/>
  </r>
  <r>
    <x v="2038"/>
    <x v="294"/>
    <x v="0"/>
    <x v="0"/>
    <x v="0"/>
    <x v="5"/>
    <s v="Expense"/>
    <n v="33727"/>
    <n v="33200"/>
  </r>
  <r>
    <x v="2039"/>
    <x v="294"/>
    <x v="0"/>
    <x v="0"/>
    <x v="0"/>
    <x v="6"/>
    <s v="Expense"/>
    <n v="22311"/>
    <n v="26300"/>
  </r>
  <r>
    <x v="2040"/>
    <x v="294"/>
    <x v="1"/>
    <x v="0"/>
    <x v="1"/>
    <x v="10"/>
    <s v="Expense"/>
    <n v="15865"/>
    <n v="16900"/>
  </r>
  <r>
    <x v="2041"/>
    <x v="294"/>
    <x v="1"/>
    <x v="0"/>
    <x v="1"/>
    <x v="1"/>
    <s v="Expense"/>
    <n v="68134"/>
    <n v="70300"/>
  </r>
  <r>
    <x v="2042"/>
    <x v="294"/>
    <x v="1"/>
    <x v="0"/>
    <x v="1"/>
    <x v="3"/>
    <s v="Revenue"/>
    <n v="218615"/>
    <n v="209600"/>
  </r>
  <r>
    <x v="2043"/>
    <x v="294"/>
    <x v="1"/>
    <x v="0"/>
    <x v="1"/>
    <x v="11"/>
    <s v="Revenue"/>
    <n v="221091"/>
    <n v="198600"/>
  </r>
  <r>
    <x v="2044"/>
    <x v="294"/>
    <x v="5"/>
    <x v="0"/>
    <x v="3"/>
    <x v="4"/>
    <s v="Revenue"/>
    <n v="219284"/>
    <n v="175000"/>
  </r>
  <r>
    <x v="2045"/>
    <x v="294"/>
    <x v="2"/>
    <x v="0"/>
    <x v="2"/>
    <x v="6"/>
    <s v="Expense"/>
    <n v="26855"/>
    <n v="30800"/>
  </r>
  <r>
    <x v="2046"/>
    <x v="294"/>
    <x v="3"/>
    <x v="0"/>
    <x v="2"/>
    <x v="2"/>
    <s v="Revenue"/>
    <n v="126446"/>
    <n v="114700"/>
  </r>
  <r>
    <x v="2047"/>
    <x v="295"/>
    <x v="5"/>
    <x v="0"/>
    <x v="3"/>
    <x v="8"/>
    <s v="Expense"/>
    <n v="14902"/>
    <n v="14200"/>
  </r>
  <r>
    <x v="2048"/>
    <x v="295"/>
    <x v="3"/>
    <x v="0"/>
    <x v="2"/>
    <x v="6"/>
    <s v="Expense"/>
    <n v="77175"/>
    <n v="71600"/>
  </r>
  <r>
    <x v="2049"/>
    <x v="295"/>
    <x v="4"/>
    <x v="0"/>
    <x v="1"/>
    <x v="1"/>
    <s v="Expense"/>
    <n v="37948"/>
    <n v="32700"/>
  </r>
  <r>
    <x v="2050"/>
    <x v="295"/>
    <x v="6"/>
    <x v="0"/>
    <x v="3"/>
    <x v="1"/>
    <s v="Expense"/>
    <n v="21833"/>
    <n v="23100"/>
  </r>
  <r>
    <x v="2051"/>
    <x v="296"/>
    <x v="7"/>
    <x v="0"/>
    <x v="2"/>
    <x v="9"/>
    <s v="Expense"/>
    <n v="81368"/>
    <n v="88400"/>
  </r>
  <r>
    <x v="2052"/>
    <x v="296"/>
    <x v="7"/>
    <x v="0"/>
    <x v="2"/>
    <x v="7"/>
    <s v="Revenue"/>
    <n v="215729"/>
    <n v="238400"/>
  </r>
  <r>
    <x v="2053"/>
    <x v="296"/>
    <x v="1"/>
    <x v="0"/>
    <x v="1"/>
    <x v="5"/>
    <s v="Expense"/>
    <n v="76069"/>
    <n v="74700"/>
  </r>
  <r>
    <x v="2054"/>
    <x v="296"/>
    <x v="1"/>
    <x v="0"/>
    <x v="1"/>
    <x v="7"/>
    <s v="Revenue"/>
    <n v="78509"/>
    <n v="77600"/>
  </r>
  <r>
    <x v="2055"/>
    <x v="296"/>
    <x v="2"/>
    <x v="0"/>
    <x v="2"/>
    <x v="9"/>
    <s v="Expense"/>
    <n v="51736"/>
    <n v="42600"/>
  </r>
  <r>
    <x v="2056"/>
    <x v="296"/>
    <x v="3"/>
    <x v="0"/>
    <x v="2"/>
    <x v="11"/>
    <s v="Revenue"/>
    <n v="205979"/>
    <n v="188200"/>
  </r>
  <r>
    <x v="2057"/>
    <x v="296"/>
    <x v="3"/>
    <x v="0"/>
    <x v="2"/>
    <x v="3"/>
    <s v="Revenue"/>
    <n v="210695"/>
    <n v="206400"/>
  </r>
  <r>
    <x v="2058"/>
    <x v="296"/>
    <x v="6"/>
    <x v="0"/>
    <x v="3"/>
    <x v="9"/>
    <s v="Expense"/>
    <n v="92227"/>
    <n v="87400"/>
  </r>
  <r>
    <x v="2059"/>
    <x v="296"/>
    <x v="6"/>
    <x v="0"/>
    <x v="3"/>
    <x v="7"/>
    <s v="Revenue"/>
    <n v="201314"/>
    <n v="206800"/>
  </r>
  <r>
    <x v="2060"/>
    <x v="297"/>
    <x v="7"/>
    <x v="0"/>
    <x v="2"/>
    <x v="11"/>
    <s v="Revenue"/>
    <n v="179775"/>
    <n v="158800"/>
  </r>
  <r>
    <x v="2061"/>
    <x v="297"/>
    <x v="7"/>
    <x v="0"/>
    <x v="2"/>
    <x v="11"/>
    <s v="Revenue"/>
    <n v="225304"/>
    <n v="200300"/>
  </r>
  <r>
    <x v="2062"/>
    <x v="297"/>
    <x v="0"/>
    <x v="0"/>
    <x v="0"/>
    <x v="7"/>
    <s v="Revenue"/>
    <n v="236907"/>
    <n v="230900"/>
  </r>
  <r>
    <x v="2063"/>
    <x v="297"/>
    <x v="0"/>
    <x v="0"/>
    <x v="0"/>
    <x v="2"/>
    <s v="Revenue"/>
    <n v="244715"/>
    <n v="230800"/>
  </r>
  <r>
    <x v="2064"/>
    <x v="297"/>
    <x v="1"/>
    <x v="0"/>
    <x v="1"/>
    <x v="1"/>
    <s v="Expense"/>
    <n v="68889"/>
    <n v="77800"/>
  </r>
  <r>
    <x v="2065"/>
    <x v="297"/>
    <x v="1"/>
    <x v="0"/>
    <x v="1"/>
    <x v="0"/>
    <s v="Revenue"/>
    <n v="93881"/>
    <n v="85700"/>
  </r>
  <r>
    <x v="2066"/>
    <x v="297"/>
    <x v="1"/>
    <x v="0"/>
    <x v="1"/>
    <x v="11"/>
    <s v="Revenue"/>
    <n v="160785"/>
    <n v="122700"/>
  </r>
  <r>
    <x v="2067"/>
    <x v="297"/>
    <x v="5"/>
    <x v="0"/>
    <x v="3"/>
    <x v="2"/>
    <s v="Revenue"/>
    <n v="143852"/>
    <n v="162900"/>
  </r>
  <r>
    <x v="2068"/>
    <x v="297"/>
    <x v="5"/>
    <x v="0"/>
    <x v="3"/>
    <x v="0"/>
    <s v="Revenue"/>
    <n v="37914"/>
    <n v="35900"/>
  </r>
  <r>
    <x v="2069"/>
    <x v="297"/>
    <x v="3"/>
    <x v="0"/>
    <x v="2"/>
    <x v="1"/>
    <s v="Expense"/>
    <n v="107258"/>
    <n v="113100"/>
  </r>
  <r>
    <x v="2070"/>
    <x v="297"/>
    <x v="3"/>
    <x v="0"/>
    <x v="2"/>
    <x v="9"/>
    <s v="Expense"/>
    <n v="74774"/>
    <n v="96500"/>
  </r>
  <r>
    <x v="2071"/>
    <x v="297"/>
    <x v="4"/>
    <x v="0"/>
    <x v="1"/>
    <x v="7"/>
    <s v="Revenue"/>
    <n v="76094"/>
    <n v="84200"/>
  </r>
  <r>
    <x v="2072"/>
    <x v="298"/>
    <x v="7"/>
    <x v="0"/>
    <x v="2"/>
    <x v="5"/>
    <s v="Expense"/>
    <n v="116075"/>
    <n v="107100"/>
  </r>
  <r>
    <x v="2073"/>
    <x v="298"/>
    <x v="7"/>
    <x v="0"/>
    <x v="2"/>
    <x v="4"/>
    <s v="Revenue"/>
    <n v="52880"/>
    <n v="46800"/>
  </r>
  <r>
    <x v="2074"/>
    <x v="298"/>
    <x v="4"/>
    <x v="0"/>
    <x v="1"/>
    <x v="5"/>
    <s v="Expense"/>
    <n v="35610"/>
    <n v="36500"/>
  </r>
  <r>
    <x v="2075"/>
    <x v="299"/>
    <x v="0"/>
    <x v="0"/>
    <x v="0"/>
    <x v="9"/>
    <s v="Expense"/>
    <n v="95552"/>
    <n v="84900"/>
  </r>
  <r>
    <x v="2076"/>
    <x v="299"/>
    <x v="0"/>
    <x v="0"/>
    <x v="0"/>
    <x v="5"/>
    <s v="Expense"/>
    <n v="66731"/>
    <n v="69500"/>
  </r>
  <r>
    <x v="2077"/>
    <x v="299"/>
    <x v="1"/>
    <x v="0"/>
    <x v="1"/>
    <x v="4"/>
    <s v="Revenue"/>
    <n v="108581"/>
    <n v="109400"/>
  </r>
  <r>
    <x v="2078"/>
    <x v="299"/>
    <x v="5"/>
    <x v="0"/>
    <x v="3"/>
    <x v="1"/>
    <s v="Expense"/>
    <n v="14438"/>
    <n v="14600"/>
  </r>
  <r>
    <x v="2079"/>
    <x v="299"/>
    <x v="2"/>
    <x v="0"/>
    <x v="2"/>
    <x v="10"/>
    <s v="Expense"/>
    <n v="92161"/>
    <n v="93300"/>
  </r>
  <r>
    <x v="2080"/>
    <x v="299"/>
    <x v="2"/>
    <x v="0"/>
    <x v="2"/>
    <x v="7"/>
    <s v="Revenue"/>
    <n v="237429"/>
    <n v="226700"/>
  </r>
  <r>
    <x v="2081"/>
    <x v="299"/>
    <x v="2"/>
    <x v="0"/>
    <x v="2"/>
    <x v="3"/>
    <s v="Revenue"/>
    <n v="203257"/>
    <n v="179700"/>
  </r>
  <r>
    <x v="2082"/>
    <x v="299"/>
    <x v="4"/>
    <x v="0"/>
    <x v="1"/>
    <x v="8"/>
    <s v="Expense"/>
    <n v="46319"/>
    <n v="52000"/>
  </r>
  <r>
    <x v="2083"/>
    <x v="299"/>
    <x v="4"/>
    <x v="0"/>
    <x v="1"/>
    <x v="7"/>
    <s v="Revenue"/>
    <n v="227395"/>
    <n v="241600"/>
  </r>
  <r>
    <x v="2084"/>
    <x v="299"/>
    <x v="4"/>
    <x v="0"/>
    <x v="1"/>
    <x v="4"/>
    <s v="Revenue"/>
    <n v="152468"/>
    <n v="135200"/>
  </r>
  <r>
    <x v="2085"/>
    <x v="299"/>
    <x v="6"/>
    <x v="0"/>
    <x v="3"/>
    <x v="0"/>
    <s v="Revenue"/>
    <n v="158290"/>
    <n v="137700"/>
  </r>
  <r>
    <x v="2086"/>
    <x v="300"/>
    <x v="5"/>
    <x v="0"/>
    <x v="3"/>
    <x v="10"/>
    <s v="Expense"/>
    <n v="40114"/>
    <n v="36300"/>
  </r>
  <r>
    <x v="2087"/>
    <x v="300"/>
    <x v="5"/>
    <x v="0"/>
    <x v="3"/>
    <x v="3"/>
    <s v="Revenue"/>
    <n v="186969"/>
    <n v="175600"/>
  </r>
  <r>
    <x v="2088"/>
    <x v="300"/>
    <x v="4"/>
    <x v="0"/>
    <x v="1"/>
    <x v="10"/>
    <s v="Expense"/>
    <n v="90431"/>
    <n v="94000"/>
  </r>
  <r>
    <x v="2089"/>
    <x v="300"/>
    <x v="6"/>
    <x v="0"/>
    <x v="3"/>
    <x v="1"/>
    <s v="Expense"/>
    <n v="73843"/>
    <n v="76600"/>
  </r>
  <r>
    <x v="2090"/>
    <x v="301"/>
    <x v="7"/>
    <x v="0"/>
    <x v="2"/>
    <x v="9"/>
    <s v="Expense"/>
    <n v="86863"/>
    <n v="81700"/>
  </r>
  <r>
    <x v="2091"/>
    <x v="301"/>
    <x v="7"/>
    <x v="0"/>
    <x v="2"/>
    <x v="0"/>
    <s v="Revenue"/>
    <n v="239262"/>
    <n v="209700"/>
  </r>
  <r>
    <x v="2092"/>
    <x v="301"/>
    <x v="1"/>
    <x v="0"/>
    <x v="1"/>
    <x v="4"/>
    <s v="Revenue"/>
    <n v="187677"/>
    <n v="191100"/>
  </r>
  <r>
    <x v="2093"/>
    <x v="301"/>
    <x v="1"/>
    <x v="0"/>
    <x v="1"/>
    <x v="3"/>
    <s v="Revenue"/>
    <n v="84110"/>
    <n v="86600"/>
  </r>
  <r>
    <x v="2094"/>
    <x v="301"/>
    <x v="1"/>
    <x v="0"/>
    <x v="1"/>
    <x v="0"/>
    <s v="Revenue"/>
    <n v="75341"/>
    <n v="72700"/>
  </r>
  <r>
    <x v="2095"/>
    <x v="301"/>
    <x v="5"/>
    <x v="0"/>
    <x v="3"/>
    <x v="5"/>
    <s v="Expense"/>
    <n v="49015"/>
    <n v="48500"/>
  </r>
  <r>
    <x v="2096"/>
    <x v="301"/>
    <x v="5"/>
    <x v="0"/>
    <x v="3"/>
    <x v="6"/>
    <s v="Expense"/>
    <n v="77321"/>
    <n v="76000"/>
  </r>
  <r>
    <x v="2097"/>
    <x v="301"/>
    <x v="4"/>
    <x v="0"/>
    <x v="1"/>
    <x v="6"/>
    <s v="Expense"/>
    <n v="50802"/>
    <n v="49400"/>
  </r>
  <r>
    <x v="2098"/>
    <x v="301"/>
    <x v="6"/>
    <x v="0"/>
    <x v="3"/>
    <x v="6"/>
    <s v="Expense"/>
    <n v="97707"/>
    <n v="96200"/>
  </r>
  <r>
    <x v="2099"/>
    <x v="302"/>
    <x v="1"/>
    <x v="0"/>
    <x v="1"/>
    <x v="8"/>
    <s v="Expense"/>
    <n v="53357"/>
    <n v="57300"/>
  </r>
  <r>
    <x v="2100"/>
    <x v="302"/>
    <x v="1"/>
    <x v="0"/>
    <x v="1"/>
    <x v="4"/>
    <s v="Revenue"/>
    <n v="58097"/>
    <n v="56600"/>
  </r>
  <r>
    <x v="2101"/>
    <x v="302"/>
    <x v="1"/>
    <x v="0"/>
    <x v="1"/>
    <x v="2"/>
    <s v="Revenue"/>
    <n v="150847"/>
    <n v="164200"/>
  </r>
  <r>
    <x v="2102"/>
    <x v="302"/>
    <x v="5"/>
    <x v="0"/>
    <x v="3"/>
    <x v="4"/>
    <s v="Revenue"/>
    <n v="93680"/>
    <n v="95300"/>
  </r>
  <r>
    <x v="2103"/>
    <x v="302"/>
    <x v="3"/>
    <x v="0"/>
    <x v="2"/>
    <x v="5"/>
    <s v="Expense"/>
    <n v="59929"/>
    <n v="61300"/>
  </r>
  <r>
    <x v="2104"/>
    <x v="302"/>
    <x v="4"/>
    <x v="0"/>
    <x v="1"/>
    <x v="6"/>
    <s v="Expense"/>
    <n v="21057"/>
    <n v="18900"/>
  </r>
  <r>
    <x v="2105"/>
    <x v="303"/>
    <x v="0"/>
    <x v="0"/>
    <x v="0"/>
    <x v="5"/>
    <s v="Expense"/>
    <n v="55487"/>
    <n v="56800"/>
  </r>
  <r>
    <x v="2106"/>
    <x v="303"/>
    <x v="1"/>
    <x v="0"/>
    <x v="1"/>
    <x v="6"/>
    <s v="Expense"/>
    <n v="14888"/>
    <n v="16300"/>
  </r>
  <r>
    <x v="2107"/>
    <x v="303"/>
    <x v="6"/>
    <x v="0"/>
    <x v="3"/>
    <x v="1"/>
    <s v="Expense"/>
    <n v="39338"/>
    <n v="40000"/>
  </r>
  <r>
    <x v="2108"/>
    <x v="304"/>
    <x v="1"/>
    <x v="0"/>
    <x v="1"/>
    <x v="5"/>
    <s v="Expense"/>
    <n v="113386"/>
    <n v="117000"/>
  </r>
  <r>
    <x v="2109"/>
    <x v="304"/>
    <x v="5"/>
    <x v="0"/>
    <x v="3"/>
    <x v="8"/>
    <s v="Expense"/>
    <n v="85391"/>
    <n v="72200"/>
  </r>
  <r>
    <x v="2110"/>
    <x v="304"/>
    <x v="2"/>
    <x v="0"/>
    <x v="2"/>
    <x v="8"/>
    <s v="Expense"/>
    <n v="30301"/>
    <n v="29000"/>
  </r>
  <r>
    <x v="2111"/>
    <x v="304"/>
    <x v="3"/>
    <x v="0"/>
    <x v="2"/>
    <x v="8"/>
    <s v="Expense"/>
    <n v="90717"/>
    <n v="84500"/>
  </r>
  <r>
    <x v="2112"/>
    <x v="304"/>
    <x v="4"/>
    <x v="0"/>
    <x v="1"/>
    <x v="3"/>
    <s v="Revenue"/>
    <n v="193574"/>
    <n v="188000"/>
  </r>
  <r>
    <x v="2113"/>
    <x v="305"/>
    <x v="7"/>
    <x v="0"/>
    <x v="2"/>
    <x v="10"/>
    <s v="Expense"/>
    <n v="109505"/>
    <n v="102300"/>
  </r>
  <r>
    <x v="2114"/>
    <x v="305"/>
    <x v="0"/>
    <x v="0"/>
    <x v="0"/>
    <x v="10"/>
    <s v="Expense"/>
    <n v="23023"/>
    <n v="25900"/>
  </r>
  <r>
    <x v="2115"/>
    <x v="305"/>
    <x v="0"/>
    <x v="0"/>
    <x v="0"/>
    <x v="1"/>
    <s v="Expense"/>
    <n v="88991"/>
    <n v="92300"/>
  </r>
  <r>
    <x v="2116"/>
    <x v="305"/>
    <x v="0"/>
    <x v="0"/>
    <x v="0"/>
    <x v="5"/>
    <s v="Expense"/>
    <n v="74337"/>
    <n v="91600"/>
  </r>
  <r>
    <x v="2117"/>
    <x v="305"/>
    <x v="1"/>
    <x v="0"/>
    <x v="1"/>
    <x v="3"/>
    <s v="Revenue"/>
    <n v="238470"/>
    <n v="259000"/>
  </r>
  <r>
    <x v="2118"/>
    <x v="305"/>
    <x v="5"/>
    <x v="0"/>
    <x v="3"/>
    <x v="1"/>
    <s v="Expense"/>
    <n v="67348"/>
    <n v="69900"/>
  </r>
  <r>
    <x v="2119"/>
    <x v="305"/>
    <x v="5"/>
    <x v="0"/>
    <x v="3"/>
    <x v="4"/>
    <s v="Revenue"/>
    <n v="193483"/>
    <n v="173800"/>
  </r>
  <r>
    <x v="2120"/>
    <x v="305"/>
    <x v="2"/>
    <x v="0"/>
    <x v="2"/>
    <x v="5"/>
    <s v="Expense"/>
    <n v="86986"/>
    <n v="102500"/>
  </r>
  <r>
    <x v="2121"/>
    <x v="305"/>
    <x v="2"/>
    <x v="0"/>
    <x v="2"/>
    <x v="0"/>
    <s v="Revenue"/>
    <n v="211065"/>
    <n v="226600"/>
  </r>
  <r>
    <x v="2122"/>
    <x v="305"/>
    <x v="4"/>
    <x v="0"/>
    <x v="1"/>
    <x v="11"/>
    <s v="Revenue"/>
    <n v="215560"/>
    <n v="226700"/>
  </r>
  <r>
    <x v="2123"/>
    <x v="306"/>
    <x v="7"/>
    <x v="0"/>
    <x v="2"/>
    <x v="4"/>
    <s v="Revenue"/>
    <n v="167861"/>
    <n v="154700"/>
  </r>
  <r>
    <x v="2124"/>
    <x v="306"/>
    <x v="1"/>
    <x v="0"/>
    <x v="1"/>
    <x v="6"/>
    <s v="Expense"/>
    <n v="57652"/>
    <n v="57500"/>
  </r>
  <r>
    <x v="2125"/>
    <x v="306"/>
    <x v="2"/>
    <x v="0"/>
    <x v="2"/>
    <x v="3"/>
    <s v="Revenue"/>
    <n v="233724"/>
    <n v="241300"/>
  </r>
  <r>
    <x v="2126"/>
    <x v="307"/>
    <x v="7"/>
    <x v="0"/>
    <x v="2"/>
    <x v="1"/>
    <s v="Expense"/>
    <n v="109389"/>
    <n v="93200"/>
  </r>
  <r>
    <x v="2127"/>
    <x v="307"/>
    <x v="7"/>
    <x v="0"/>
    <x v="2"/>
    <x v="7"/>
    <s v="Revenue"/>
    <n v="213044"/>
    <n v="189900"/>
  </r>
  <r>
    <x v="2128"/>
    <x v="307"/>
    <x v="1"/>
    <x v="0"/>
    <x v="1"/>
    <x v="5"/>
    <s v="Expense"/>
    <n v="71813"/>
    <n v="71700"/>
  </r>
  <r>
    <x v="2129"/>
    <x v="307"/>
    <x v="5"/>
    <x v="0"/>
    <x v="3"/>
    <x v="5"/>
    <s v="Expense"/>
    <n v="91515"/>
    <n v="88800"/>
  </r>
  <r>
    <x v="2130"/>
    <x v="307"/>
    <x v="5"/>
    <x v="0"/>
    <x v="3"/>
    <x v="0"/>
    <s v="Revenue"/>
    <n v="94845"/>
    <n v="93300"/>
  </r>
  <r>
    <x v="2131"/>
    <x v="307"/>
    <x v="2"/>
    <x v="0"/>
    <x v="2"/>
    <x v="0"/>
    <s v="Revenue"/>
    <n v="244994"/>
    <n v="239000"/>
  </r>
  <r>
    <x v="2132"/>
    <x v="307"/>
    <x v="3"/>
    <x v="0"/>
    <x v="2"/>
    <x v="3"/>
    <s v="Revenue"/>
    <n v="225473"/>
    <n v="224700"/>
  </r>
  <r>
    <x v="2133"/>
    <x v="308"/>
    <x v="0"/>
    <x v="0"/>
    <x v="0"/>
    <x v="4"/>
    <s v="Revenue"/>
    <n v="167870"/>
    <n v="188400"/>
  </r>
  <r>
    <x v="2134"/>
    <x v="308"/>
    <x v="1"/>
    <x v="0"/>
    <x v="1"/>
    <x v="10"/>
    <s v="Expense"/>
    <n v="16074"/>
    <n v="15300"/>
  </r>
  <r>
    <x v="2135"/>
    <x v="308"/>
    <x v="5"/>
    <x v="0"/>
    <x v="3"/>
    <x v="4"/>
    <s v="Revenue"/>
    <n v="128014"/>
    <n v="119700"/>
  </r>
  <r>
    <x v="2136"/>
    <x v="308"/>
    <x v="6"/>
    <x v="0"/>
    <x v="3"/>
    <x v="8"/>
    <s v="Expense"/>
    <n v="87628"/>
    <n v="94000"/>
  </r>
  <r>
    <x v="2137"/>
    <x v="309"/>
    <x v="0"/>
    <x v="0"/>
    <x v="0"/>
    <x v="6"/>
    <s v="Expense"/>
    <n v="119390"/>
    <n v="89600"/>
  </r>
  <r>
    <x v="2138"/>
    <x v="309"/>
    <x v="5"/>
    <x v="0"/>
    <x v="3"/>
    <x v="0"/>
    <s v="Revenue"/>
    <n v="167839"/>
    <n v="177500"/>
  </r>
  <r>
    <x v="2139"/>
    <x v="309"/>
    <x v="2"/>
    <x v="0"/>
    <x v="2"/>
    <x v="7"/>
    <s v="Revenue"/>
    <n v="73192"/>
    <n v="76700"/>
  </r>
  <r>
    <x v="2140"/>
    <x v="309"/>
    <x v="2"/>
    <x v="0"/>
    <x v="2"/>
    <x v="0"/>
    <s v="Revenue"/>
    <n v="76907"/>
    <n v="75800"/>
  </r>
  <r>
    <x v="2141"/>
    <x v="309"/>
    <x v="6"/>
    <x v="0"/>
    <x v="3"/>
    <x v="11"/>
    <s v="Revenue"/>
    <n v="152805"/>
    <n v="140500"/>
  </r>
  <r>
    <x v="2142"/>
    <x v="310"/>
    <x v="1"/>
    <x v="0"/>
    <x v="1"/>
    <x v="6"/>
    <s v="Expense"/>
    <n v="22101"/>
    <n v="25900"/>
  </r>
  <r>
    <x v="2143"/>
    <x v="310"/>
    <x v="1"/>
    <x v="0"/>
    <x v="1"/>
    <x v="2"/>
    <s v="Revenue"/>
    <n v="174908"/>
    <n v="163800"/>
  </r>
  <r>
    <x v="2144"/>
    <x v="310"/>
    <x v="5"/>
    <x v="0"/>
    <x v="3"/>
    <x v="2"/>
    <s v="Revenue"/>
    <n v="226774"/>
    <n v="217100"/>
  </r>
  <r>
    <x v="2145"/>
    <x v="310"/>
    <x v="5"/>
    <x v="0"/>
    <x v="3"/>
    <x v="4"/>
    <s v="Revenue"/>
    <n v="173868"/>
    <n v="176400"/>
  </r>
  <r>
    <x v="2146"/>
    <x v="310"/>
    <x v="2"/>
    <x v="0"/>
    <x v="2"/>
    <x v="8"/>
    <s v="Expense"/>
    <n v="40571"/>
    <n v="49100"/>
  </r>
  <r>
    <x v="2147"/>
    <x v="310"/>
    <x v="2"/>
    <x v="0"/>
    <x v="2"/>
    <x v="2"/>
    <s v="Revenue"/>
    <n v="240930"/>
    <n v="222000"/>
  </r>
  <r>
    <x v="2148"/>
    <x v="310"/>
    <x v="3"/>
    <x v="0"/>
    <x v="2"/>
    <x v="9"/>
    <s v="Expense"/>
    <n v="58545"/>
    <n v="57600"/>
  </r>
  <r>
    <x v="2149"/>
    <x v="310"/>
    <x v="4"/>
    <x v="0"/>
    <x v="1"/>
    <x v="5"/>
    <s v="Expense"/>
    <n v="90619"/>
    <n v="82600"/>
  </r>
  <r>
    <x v="2150"/>
    <x v="310"/>
    <x v="6"/>
    <x v="0"/>
    <x v="3"/>
    <x v="2"/>
    <s v="Revenue"/>
    <n v="224888"/>
    <n v="204500"/>
  </r>
  <r>
    <x v="2151"/>
    <x v="311"/>
    <x v="0"/>
    <x v="0"/>
    <x v="0"/>
    <x v="10"/>
    <s v="Expense"/>
    <n v="12657"/>
    <n v="13200"/>
  </r>
  <r>
    <x v="2152"/>
    <x v="311"/>
    <x v="0"/>
    <x v="0"/>
    <x v="0"/>
    <x v="3"/>
    <s v="Revenue"/>
    <n v="167229"/>
    <n v="155700"/>
  </r>
  <r>
    <x v="2153"/>
    <x v="311"/>
    <x v="1"/>
    <x v="0"/>
    <x v="1"/>
    <x v="10"/>
    <s v="Expense"/>
    <n v="16144"/>
    <n v="17500"/>
  </r>
  <r>
    <x v="2154"/>
    <x v="311"/>
    <x v="1"/>
    <x v="0"/>
    <x v="1"/>
    <x v="7"/>
    <s v="Revenue"/>
    <n v="175705"/>
    <n v="144100"/>
  </r>
  <r>
    <x v="2155"/>
    <x v="311"/>
    <x v="5"/>
    <x v="0"/>
    <x v="3"/>
    <x v="5"/>
    <s v="Expense"/>
    <n v="17503"/>
    <n v="17900"/>
  </r>
  <r>
    <x v="2156"/>
    <x v="311"/>
    <x v="4"/>
    <x v="0"/>
    <x v="1"/>
    <x v="8"/>
    <s v="Expense"/>
    <n v="33525"/>
    <n v="31200"/>
  </r>
  <r>
    <x v="2157"/>
    <x v="311"/>
    <x v="4"/>
    <x v="0"/>
    <x v="1"/>
    <x v="1"/>
    <s v="Expense"/>
    <n v="12425"/>
    <n v="14100"/>
  </r>
  <r>
    <x v="2158"/>
    <x v="311"/>
    <x v="6"/>
    <x v="0"/>
    <x v="3"/>
    <x v="1"/>
    <s v="Expense"/>
    <n v="20540"/>
    <n v="20300"/>
  </r>
  <r>
    <x v="2159"/>
    <x v="312"/>
    <x v="7"/>
    <x v="0"/>
    <x v="2"/>
    <x v="3"/>
    <s v="Revenue"/>
    <n v="63286"/>
    <n v="71700"/>
  </r>
  <r>
    <x v="2160"/>
    <x v="312"/>
    <x v="0"/>
    <x v="0"/>
    <x v="0"/>
    <x v="8"/>
    <s v="Expense"/>
    <n v="55654"/>
    <n v="50600"/>
  </r>
  <r>
    <x v="2161"/>
    <x v="312"/>
    <x v="1"/>
    <x v="0"/>
    <x v="1"/>
    <x v="6"/>
    <s v="Expense"/>
    <n v="106423"/>
    <n v="122200"/>
  </r>
  <r>
    <x v="2162"/>
    <x v="312"/>
    <x v="3"/>
    <x v="0"/>
    <x v="2"/>
    <x v="1"/>
    <s v="Expense"/>
    <n v="34244"/>
    <n v="33000"/>
  </r>
  <r>
    <x v="2163"/>
    <x v="313"/>
    <x v="1"/>
    <x v="0"/>
    <x v="1"/>
    <x v="8"/>
    <s v="Expense"/>
    <n v="81645"/>
    <n v="75600"/>
  </r>
  <r>
    <x v="2164"/>
    <x v="313"/>
    <x v="5"/>
    <x v="0"/>
    <x v="3"/>
    <x v="4"/>
    <s v="Revenue"/>
    <n v="210931"/>
    <n v="206100"/>
  </r>
  <r>
    <x v="2165"/>
    <x v="313"/>
    <x v="6"/>
    <x v="0"/>
    <x v="3"/>
    <x v="10"/>
    <s v="Expense"/>
    <n v="15029"/>
    <n v="13200"/>
  </r>
  <r>
    <x v="2166"/>
    <x v="313"/>
    <x v="6"/>
    <x v="0"/>
    <x v="3"/>
    <x v="10"/>
    <s v="Expense"/>
    <n v="90789"/>
    <n v="76800"/>
  </r>
  <r>
    <x v="2167"/>
    <x v="314"/>
    <x v="7"/>
    <x v="0"/>
    <x v="2"/>
    <x v="9"/>
    <s v="Expense"/>
    <n v="85962"/>
    <n v="87000"/>
  </r>
  <r>
    <x v="2168"/>
    <x v="314"/>
    <x v="0"/>
    <x v="0"/>
    <x v="0"/>
    <x v="10"/>
    <s v="Expense"/>
    <n v="41558"/>
    <n v="37200"/>
  </r>
  <r>
    <x v="2169"/>
    <x v="314"/>
    <x v="0"/>
    <x v="0"/>
    <x v="0"/>
    <x v="1"/>
    <s v="Expense"/>
    <n v="108991"/>
    <n v="113300"/>
  </r>
  <r>
    <x v="2170"/>
    <x v="314"/>
    <x v="1"/>
    <x v="0"/>
    <x v="1"/>
    <x v="9"/>
    <s v="Expense"/>
    <n v="35932"/>
    <n v="40500"/>
  </r>
  <r>
    <x v="2171"/>
    <x v="314"/>
    <x v="1"/>
    <x v="0"/>
    <x v="1"/>
    <x v="11"/>
    <s v="Revenue"/>
    <n v="205882"/>
    <n v="213800"/>
  </r>
  <r>
    <x v="2172"/>
    <x v="314"/>
    <x v="5"/>
    <x v="0"/>
    <x v="3"/>
    <x v="10"/>
    <s v="Expense"/>
    <n v="42255"/>
    <n v="39700"/>
  </r>
  <r>
    <x v="2173"/>
    <x v="314"/>
    <x v="5"/>
    <x v="0"/>
    <x v="3"/>
    <x v="2"/>
    <s v="Revenue"/>
    <n v="183575"/>
    <n v="181600"/>
  </r>
  <r>
    <x v="2174"/>
    <x v="314"/>
    <x v="2"/>
    <x v="0"/>
    <x v="2"/>
    <x v="8"/>
    <s v="Expense"/>
    <n v="96196"/>
    <n v="95200"/>
  </r>
  <r>
    <x v="2175"/>
    <x v="314"/>
    <x v="6"/>
    <x v="0"/>
    <x v="3"/>
    <x v="11"/>
    <s v="Revenue"/>
    <n v="125627"/>
    <n v="115000"/>
  </r>
  <r>
    <x v="2176"/>
    <x v="314"/>
    <x v="6"/>
    <x v="0"/>
    <x v="3"/>
    <x v="7"/>
    <s v="Revenue"/>
    <n v="236032"/>
    <n v="256000"/>
  </r>
  <r>
    <x v="2177"/>
    <x v="315"/>
    <x v="7"/>
    <x v="0"/>
    <x v="2"/>
    <x v="4"/>
    <s v="Revenue"/>
    <n v="117977"/>
    <n v="137500"/>
  </r>
  <r>
    <x v="2178"/>
    <x v="315"/>
    <x v="0"/>
    <x v="0"/>
    <x v="0"/>
    <x v="10"/>
    <s v="Expense"/>
    <n v="12381"/>
    <n v="12500"/>
  </r>
  <r>
    <x v="2179"/>
    <x v="315"/>
    <x v="1"/>
    <x v="0"/>
    <x v="1"/>
    <x v="0"/>
    <s v="Revenue"/>
    <n v="27393"/>
    <n v="32900"/>
  </r>
  <r>
    <x v="2180"/>
    <x v="315"/>
    <x v="5"/>
    <x v="0"/>
    <x v="3"/>
    <x v="7"/>
    <s v="Revenue"/>
    <n v="161927"/>
    <n v="182100"/>
  </r>
  <r>
    <x v="2181"/>
    <x v="315"/>
    <x v="2"/>
    <x v="0"/>
    <x v="2"/>
    <x v="2"/>
    <s v="Revenue"/>
    <n v="121469"/>
    <n v="116000"/>
  </r>
  <r>
    <x v="2182"/>
    <x v="315"/>
    <x v="3"/>
    <x v="0"/>
    <x v="2"/>
    <x v="7"/>
    <s v="Revenue"/>
    <n v="29837"/>
    <n v="31600"/>
  </r>
  <r>
    <x v="2183"/>
    <x v="316"/>
    <x v="7"/>
    <x v="0"/>
    <x v="2"/>
    <x v="1"/>
    <s v="Expense"/>
    <n v="51494"/>
    <n v="46800"/>
  </r>
  <r>
    <x v="2184"/>
    <x v="316"/>
    <x v="7"/>
    <x v="0"/>
    <x v="2"/>
    <x v="11"/>
    <s v="Revenue"/>
    <n v="142862"/>
    <n v="129600"/>
  </r>
  <r>
    <x v="2185"/>
    <x v="316"/>
    <x v="0"/>
    <x v="0"/>
    <x v="0"/>
    <x v="11"/>
    <s v="Revenue"/>
    <n v="197417"/>
    <n v="177600"/>
  </r>
  <r>
    <x v="2186"/>
    <x v="316"/>
    <x v="1"/>
    <x v="0"/>
    <x v="1"/>
    <x v="0"/>
    <s v="Revenue"/>
    <n v="165739"/>
    <n v="165100"/>
  </r>
  <r>
    <x v="2187"/>
    <x v="316"/>
    <x v="5"/>
    <x v="0"/>
    <x v="3"/>
    <x v="9"/>
    <s v="Expense"/>
    <n v="41483"/>
    <n v="40300"/>
  </r>
  <r>
    <x v="2188"/>
    <x v="316"/>
    <x v="2"/>
    <x v="0"/>
    <x v="2"/>
    <x v="10"/>
    <s v="Expense"/>
    <n v="22068"/>
    <n v="22900"/>
  </r>
  <r>
    <x v="2189"/>
    <x v="316"/>
    <x v="3"/>
    <x v="0"/>
    <x v="2"/>
    <x v="0"/>
    <s v="Revenue"/>
    <n v="30799"/>
    <n v="29200"/>
  </r>
  <r>
    <x v="2190"/>
    <x v="316"/>
    <x v="3"/>
    <x v="0"/>
    <x v="2"/>
    <x v="4"/>
    <s v="Revenue"/>
    <n v="152430"/>
    <n v="146500"/>
  </r>
  <r>
    <x v="2191"/>
    <x v="316"/>
    <x v="4"/>
    <x v="0"/>
    <x v="1"/>
    <x v="7"/>
    <s v="Revenue"/>
    <n v="186731"/>
    <n v="201000"/>
  </r>
  <r>
    <x v="2192"/>
    <x v="317"/>
    <x v="1"/>
    <x v="0"/>
    <x v="1"/>
    <x v="1"/>
    <s v="Expense"/>
    <n v="74152"/>
    <n v="69400"/>
  </r>
  <r>
    <x v="2193"/>
    <x v="317"/>
    <x v="5"/>
    <x v="0"/>
    <x v="3"/>
    <x v="10"/>
    <s v="Expense"/>
    <n v="118347"/>
    <n v="144000"/>
  </r>
  <r>
    <x v="2194"/>
    <x v="317"/>
    <x v="5"/>
    <x v="0"/>
    <x v="3"/>
    <x v="11"/>
    <s v="Revenue"/>
    <n v="52098"/>
    <n v="48600"/>
  </r>
  <r>
    <x v="2195"/>
    <x v="317"/>
    <x v="5"/>
    <x v="0"/>
    <x v="3"/>
    <x v="7"/>
    <s v="Revenue"/>
    <n v="173535"/>
    <n v="150700"/>
  </r>
  <r>
    <x v="2196"/>
    <x v="317"/>
    <x v="4"/>
    <x v="0"/>
    <x v="1"/>
    <x v="3"/>
    <s v="Revenue"/>
    <n v="154970"/>
    <n v="177200"/>
  </r>
  <r>
    <x v="2197"/>
    <x v="318"/>
    <x v="1"/>
    <x v="0"/>
    <x v="1"/>
    <x v="1"/>
    <s v="Expense"/>
    <n v="72549"/>
    <n v="73000"/>
  </r>
  <r>
    <x v="2198"/>
    <x v="318"/>
    <x v="1"/>
    <x v="0"/>
    <x v="1"/>
    <x v="8"/>
    <s v="Expense"/>
    <n v="44426"/>
    <n v="39200"/>
  </r>
  <r>
    <x v="2199"/>
    <x v="318"/>
    <x v="1"/>
    <x v="0"/>
    <x v="1"/>
    <x v="2"/>
    <s v="Revenue"/>
    <n v="83057"/>
    <n v="84500"/>
  </r>
  <r>
    <x v="2200"/>
    <x v="318"/>
    <x v="5"/>
    <x v="0"/>
    <x v="3"/>
    <x v="10"/>
    <s v="Expense"/>
    <n v="45311"/>
    <n v="41400"/>
  </r>
  <r>
    <x v="2201"/>
    <x v="318"/>
    <x v="2"/>
    <x v="0"/>
    <x v="2"/>
    <x v="7"/>
    <s v="Revenue"/>
    <n v="157477"/>
    <n v="152200"/>
  </r>
  <r>
    <x v="2202"/>
    <x v="318"/>
    <x v="2"/>
    <x v="0"/>
    <x v="2"/>
    <x v="3"/>
    <s v="Revenue"/>
    <n v="59577"/>
    <n v="63600"/>
  </r>
  <r>
    <x v="2203"/>
    <x v="318"/>
    <x v="2"/>
    <x v="0"/>
    <x v="2"/>
    <x v="4"/>
    <s v="Revenue"/>
    <n v="217244"/>
    <n v="224800"/>
  </r>
  <r>
    <x v="2204"/>
    <x v="319"/>
    <x v="7"/>
    <x v="0"/>
    <x v="2"/>
    <x v="1"/>
    <s v="Expense"/>
    <n v="56102"/>
    <n v="52600"/>
  </r>
  <r>
    <x v="2205"/>
    <x v="319"/>
    <x v="7"/>
    <x v="0"/>
    <x v="2"/>
    <x v="10"/>
    <s v="Expense"/>
    <n v="104512"/>
    <n v="104500"/>
  </r>
  <r>
    <x v="2206"/>
    <x v="319"/>
    <x v="1"/>
    <x v="0"/>
    <x v="1"/>
    <x v="3"/>
    <s v="Revenue"/>
    <n v="101306"/>
    <n v="85300"/>
  </r>
  <r>
    <x v="2207"/>
    <x v="319"/>
    <x v="5"/>
    <x v="0"/>
    <x v="3"/>
    <x v="9"/>
    <s v="Expense"/>
    <n v="38711"/>
    <n v="37600"/>
  </r>
  <r>
    <x v="2208"/>
    <x v="319"/>
    <x v="3"/>
    <x v="0"/>
    <x v="2"/>
    <x v="10"/>
    <s v="Expense"/>
    <n v="59954"/>
    <n v="69800"/>
  </r>
  <r>
    <x v="2209"/>
    <x v="319"/>
    <x v="3"/>
    <x v="0"/>
    <x v="2"/>
    <x v="8"/>
    <s v="Expense"/>
    <n v="75319"/>
    <n v="81800"/>
  </r>
  <r>
    <x v="2210"/>
    <x v="319"/>
    <x v="4"/>
    <x v="0"/>
    <x v="1"/>
    <x v="10"/>
    <s v="Expense"/>
    <n v="109668"/>
    <n v="97000"/>
  </r>
  <r>
    <x v="2211"/>
    <x v="319"/>
    <x v="6"/>
    <x v="0"/>
    <x v="3"/>
    <x v="5"/>
    <s v="Expense"/>
    <n v="105344"/>
    <n v="87400"/>
  </r>
  <r>
    <x v="2212"/>
    <x v="320"/>
    <x v="1"/>
    <x v="0"/>
    <x v="1"/>
    <x v="6"/>
    <s v="Expense"/>
    <n v="100178"/>
    <n v="108000"/>
  </r>
  <r>
    <x v="2213"/>
    <x v="320"/>
    <x v="1"/>
    <x v="0"/>
    <x v="1"/>
    <x v="1"/>
    <s v="Expense"/>
    <n v="37271"/>
    <n v="39900"/>
  </r>
  <r>
    <x v="2214"/>
    <x v="320"/>
    <x v="1"/>
    <x v="0"/>
    <x v="1"/>
    <x v="3"/>
    <s v="Revenue"/>
    <n v="219337"/>
    <n v="206100"/>
  </r>
  <r>
    <x v="2215"/>
    <x v="320"/>
    <x v="2"/>
    <x v="0"/>
    <x v="2"/>
    <x v="1"/>
    <s v="Expense"/>
    <n v="54257"/>
    <n v="61800"/>
  </r>
  <r>
    <x v="2216"/>
    <x v="320"/>
    <x v="2"/>
    <x v="0"/>
    <x v="2"/>
    <x v="9"/>
    <s v="Expense"/>
    <n v="90729"/>
    <n v="99700"/>
  </r>
  <r>
    <x v="2217"/>
    <x v="320"/>
    <x v="2"/>
    <x v="0"/>
    <x v="2"/>
    <x v="0"/>
    <s v="Revenue"/>
    <n v="122278"/>
    <n v="116300"/>
  </r>
  <r>
    <x v="2218"/>
    <x v="320"/>
    <x v="2"/>
    <x v="0"/>
    <x v="2"/>
    <x v="3"/>
    <s v="Revenue"/>
    <n v="234794"/>
    <n v="223500"/>
  </r>
  <r>
    <x v="2219"/>
    <x v="320"/>
    <x v="3"/>
    <x v="0"/>
    <x v="2"/>
    <x v="1"/>
    <s v="Expense"/>
    <n v="84347"/>
    <n v="78300"/>
  </r>
  <r>
    <x v="2220"/>
    <x v="320"/>
    <x v="3"/>
    <x v="0"/>
    <x v="2"/>
    <x v="4"/>
    <s v="Revenue"/>
    <n v="43015"/>
    <n v="47200"/>
  </r>
  <r>
    <x v="2221"/>
    <x v="320"/>
    <x v="4"/>
    <x v="0"/>
    <x v="1"/>
    <x v="1"/>
    <s v="Expense"/>
    <n v="46547"/>
    <n v="48300"/>
  </r>
  <r>
    <x v="2222"/>
    <x v="321"/>
    <x v="7"/>
    <x v="0"/>
    <x v="2"/>
    <x v="0"/>
    <s v="Revenue"/>
    <n v="239724"/>
    <n v="215600"/>
  </r>
  <r>
    <x v="2223"/>
    <x v="321"/>
    <x v="7"/>
    <x v="0"/>
    <x v="2"/>
    <x v="2"/>
    <s v="Revenue"/>
    <n v="105842"/>
    <n v="98700"/>
  </r>
  <r>
    <x v="2224"/>
    <x v="321"/>
    <x v="0"/>
    <x v="0"/>
    <x v="0"/>
    <x v="6"/>
    <s v="Expense"/>
    <n v="25987"/>
    <n v="23200"/>
  </r>
  <r>
    <x v="2225"/>
    <x v="321"/>
    <x v="1"/>
    <x v="0"/>
    <x v="1"/>
    <x v="8"/>
    <s v="Expense"/>
    <n v="30429"/>
    <n v="31600"/>
  </r>
  <r>
    <x v="2226"/>
    <x v="321"/>
    <x v="2"/>
    <x v="0"/>
    <x v="2"/>
    <x v="10"/>
    <s v="Expense"/>
    <n v="72893"/>
    <n v="73800"/>
  </r>
  <r>
    <x v="2227"/>
    <x v="321"/>
    <x v="3"/>
    <x v="0"/>
    <x v="2"/>
    <x v="3"/>
    <s v="Revenue"/>
    <n v="120509"/>
    <n v="125600"/>
  </r>
  <r>
    <x v="2228"/>
    <x v="321"/>
    <x v="3"/>
    <x v="0"/>
    <x v="2"/>
    <x v="2"/>
    <s v="Revenue"/>
    <n v="129992"/>
    <n v="142200"/>
  </r>
  <r>
    <x v="2229"/>
    <x v="321"/>
    <x v="3"/>
    <x v="0"/>
    <x v="2"/>
    <x v="7"/>
    <s v="Revenue"/>
    <n v="64394"/>
    <n v="56500"/>
  </r>
  <r>
    <x v="2230"/>
    <x v="321"/>
    <x v="6"/>
    <x v="0"/>
    <x v="3"/>
    <x v="3"/>
    <s v="Revenue"/>
    <n v="82123"/>
    <n v="69900"/>
  </r>
  <r>
    <x v="2231"/>
    <x v="322"/>
    <x v="7"/>
    <x v="0"/>
    <x v="2"/>
    <x v="2"/>
    <s v="Revenue"/>
    <n v="44051"/>
    <n v="43000"/>
  </r>
  <r>
    <x v="2232"/>
    <x v="322"/>
    <x v="1"/>
    <x v="0"/>
    <x v="1"/>
    <x v="9"/>
    <s v="Expense"/>
    <n v="23828"/>
    <n v="24200"/>
  </r>
  <r>
    <x v="2233"/>
    <x v="322"/>
    <x v="5"/>
    <x v="0"/>
    <x v="3"/>
    <x v="2"/>
    <s v="Revenue"/>
    <n v="67180"/>
    <n v="64400"/>
  </r>
  <r>
    <x v="2234"/>
    <x v="322"/>
    <x v="3"/>
    <x v="0"/>
    <x v="2"/>
    <x v="5"/>
    <s v="Expense"/>
    <n v="82139"/>
    <n v="73300"/>
  </r>
  <r>
    <x v="2235"/>
    <x v="322"/>
    <x v="6"/>
    <x v="0"/>
    <x v="3"/>
    <x v="6"/>
    <s v="Expense"/>
    <n v="93641"/>
    <n v="79300"/>
  </r>
  <r>
    <x v="2236"/>
    <x v="322"/>
    <x v="6"/>
    <x v="0"/>
    <x v="3"/>
    <x v="9"/>
    <s v="Expense"/>
    <n v="41841"/>
    <n v="45600"/>
  </r>
  <r>
    <x v="2237"/>
    <x v="322"/>
    <x v="6"/>
    <x v="0"/>
    <x v="3"/>
    <x v="3"/>
    <s v="Revenue"/>
    <n v="128195"/>
    <n v="136300"/>
  </r>
  <r>
    <x v="2238"/>
    <x v="323"/>
    <x v="7"/>
    <x v="0"/>
    <x v="2"/>
    <x v="3"/>
    <s v="Revenue"/>
    <n v="95680"/>
    <n v="104800"/>
  </r>
  <r>
    <x v="2239"/>
    <x v="323"/>
    <x v="5"/>
    <x v="0"/>
    <x v="3"/>
    <x v="3"/>
    <s v="Revenue"/>
    <n v="51829"/>
    <n v="55600"/>
  </r>
  <r>
    <x v="2240"/>
    <x v="323"/>
    <x v="2"/>
    <x v="0"/>
    <x v="2"/>
    <x v="5"/>
    <s v="Expense"/>
    <n v="94982"/>
    <n v="97300"/>
  </r>
  <r>
    <x v="2241"/>
    <x v="323"/>
    <x v="2"/>
    <x v="0"/>
    <x v="2"/>
    <x v="6"/>
    <s v="Expense"/>
    <n v="44652"/>
    <n v="40900"/>
  </r>
  <r>
    <x v="2242"/>
    <x v="323"/>
    <x v="3"/>
    <x v="0"/>
    <x v="2"/>
    <x v="7"/>
    <s v="Revenue"/>
    <n v="172235"/>
    <n v="154500"/>
  </r>
  <r>
    <x v="2243"/>
    <x v="323"/>
    <x v="4"/>
    <x v="0"/>
    <x v="1"/>
    <x v="2"/>
    <s v="Revenue"/>
    <n v="44837"/>
    <n v="38500"/>
  </r>
  <r>
    <x v="2244"/>
    <x v="323"/>
    <x v="6"/>
    <x v="0"/>
    <x v="3"/>
    <x v="2"/>
    <s v="Revenue"/>
    <n v="228287"/>
    <n v="214900"/>
  </r>
  <r>
    <x v="2245"/>
    <x v="323"/>
    <x v="6"/>
    <x v="0"/>
    <x v="3"/>
    <x v="7"/>
    <s v="Revenue"/>
    <n v="113476"/>
    <n v="101900"/>
  </r>
  <r>
    <x v="2246"/>
    <x v="324"/>
    <x v="7"/>
    <x v="0"/>
    <x v="2"/>
    <x v="1"/>
    <s v="Expense"/>
    <n v="88336"/>
    <n v="97600"/>
  </r>
  <r>
    <x v="2247"/>
    <x v="324"/>
    <x v="7"/>
    <x v="0"/>
    <x v="2"/>
    <x v="11"/>
    <s v="Revenue"/>
    <n v="138847"/>
    <n v="154500"/>
  </r>
  <r>
    <x v="2248"/>
    <x v="324"/>
    <x v="1"/>
    <x v="0"/>
    <x v="1"/>
    <x v="6"/>
    <s v="Expense"/>
    <n v="119150"/>
    <n v="99100"/>
  </r>
  <r>
    <x v="2249"/>
    <x v="324"/>
    <x v="1"/>
    <x v="0"/>
    <x v="1"/>
    <x v="4"/>
    <s v="Revenue"/>
    <n v="224560"/>
    <n v="234400"/>
  </r>
  <r>
    <x v="2250"/>
    <x v="324"/>
    <x v="1"/>
    <x v="0"/>
    <x v="1"/>
    <x v="3"/>
    <s v="Revenue"/>
    <n v="63985"/>
    <n v="60000"/>
  </r>
  <r>
    <x v="2251"/>
    <x v="324"/>
    <x v="3"/>
    <x v="0"/>
    <x v="2"/>
    <x v="10"/>
    <s v="Expense"/>
    <n v="53664"/>
    <n v="58600"/>
  </r>
  <r>
    <x v="2252"/>
    <x v="324"/>
    <x v="3"/>
    <x v="0"/>
    <x v="2"/>
    <x v="7"/>
    <s v="Revenue"/>
    <n v="66092"/>
    <n v="75800"/>
  </r>
  <r>
    <x v="2253"/>
    <x v="324"/>
    <x v="3"/>
    <x v="0"/>
    <x v="2"/>
    <x v="3"/>
    <s v="Revenue"/>
    <n v="40706"/>
    <n v="43200"/>
  </r>
  <r>
    <x v="2254"/>
    <x v="324"/>
    <x v="3"/>
    <x v="0"/>
    <x v="2"/>
    <x v="3"/>
    <s v="Revenue"/>
    <n v="173113"/>
    <n v="155400"/>
  </r>
  <r>
    <x v="2255"/>
    <x v="324"/>
    <x v="4"/>
    <x v="0"/>
    <x v="1"/>
    <x v="10"/>
    <s v="Expense"/>
    <n v="89729"/>
    <n v="80000"/>
  </r>
  <r>
    <x v="2256"/>
    <x v="325"/>
    <x v="7"/>
    <x v="0"/>
    <x v="2"/>
    <x v="11"/>
    <s v="Revenue"/>
    <n v="228789"/>
    <n v="215200"/>
  </r>
  <r>
    <x v="2257"/>
    <x v="325"/>
    <x v="0"/>
    <x v="0"/>
    <x v="0"/>
    <x v="5"/>
    <s v="Expense"/>
    <n v="119048"/>
    <n v="118600"/>
  </r>
  <r>
    <x v="2258"/>
    <x v="325"/>
    <x v="0"/>
    <x v="0"/>
    <x v="0"/>
    <x v="2"/>
    <s v="Revenue"/>
    <n v="27178"/>
    <n v="23600"/>
  </r>
  <r>
    <x v="2259"/>
    <x v="325"/>
    <x v="2"/>
    <x v="0"/>
    <x v="2"/>
    <x v="5"/>
    <s v="Expense"/>
    <n v="28420"/>
    <n v="25500"/>
  </r>
  <r>
    <x v="2260"/>
    <x v="325"/>
    <x v="4"/>
    <x v="0"/>
    <x v="1"/>
    <x v="5"/>
    <s v="Expense"/>
    <n v="31543"/>
    <n v="34500"/>
  </r>
  <r>
    <x v="2261"/>
    <x v="325"/>
    <x v="6"/>
    <x v="0"/>
    <x v="3"/>
    <x v="7"/>
    <s v="Revenue"/>
    <n v="119935"/>
    <n v="121700"/>
  </r>
  <r>
    <x v="2262"/>
    <x v="326"/>
    <x v="0"/>
    <x v="0"/>
    <x v="0"/>
    <x v="3"/>
    <s v="Revenue"/>
    <n v="189180"/>
    <n v="165800"/>
  </r>
  <r>
    <x v="2263"/>
    <x v="326"/>
    <x v="3"/>
    <x v="0"/>
    <x v="2"/>
    <x v="5"/>
    <s v="Expense"/>
    <n v="95334"/>
    <n v="83800"/>
  </r>
  <r>
    <x v="2264"/>
    <x v="327"/>
    <x v="7"/>
    <x v="0"/>
    <x v="2"/>
    <x v="5"/>
    <s v="Expense"/>
    <n v="87016"/>
    <n v="100000"/>
  </r>
  <r>
    <x v="2265"/>
    <x v="327"/>
    <x v="0"/>
    <x v="0"/>
    <x v="0"/>
    <x v="2"/>
    <s v="Revenue"/>
    <n v="38306"/>
    <n v="36400"/>
  </r>
  <r>
    <x v="2266"/>
    <x v="327"/>
    <x v="1"/>
    <x v="0"/>
    <x v="1"/>
    <x v="7"/>
    <s v="Revenue"/>
    <n v="152845"/>
    <n v="151500"/>
  </r>
  <r>
    <x v="2267"/>
    <x v="328"/>
    <x v="7"/>
    <x v="0"/>
    <x v="2"/>
    <x v="10"/>
    <s v="Expense"/>
    <n v="111278"/>
    <n v="109100"/>
  </r>
  <r>
    <x v="2268"/>
    <x v="328"/>
    <x v="1"/>
    <x v="0"/>
    <x v="1"/>
    <x v="5"/>
    <s v="Expense"/>
    <n v="60843"/>
    <n v="66500"/>
  </r>
  <r>
    <x v="2269"/>
    <x v="328"/>
    <x v="3"/>
    <x v="0"/>
    <x v="2"/>
    <x v="11"/>
    <s v="Revenue"/>
    <n v="247053"/>
    <n v="269600"/>
  </r>
  <r>
    <x v="2270"/>
    <x v="328"/>
    <x v="4"/>
    <x v="0"/>
    <x v="1"/>
    <x v="11"/>
    <s v="Revenue"/>
    <n v="156567"/>
    <n v="164800"/>
  </r>
  <r>
    <x v="2271"/>
    <x v="328"/>
    <x v="6"/>
    <x v="0"/>
    <x v="3"/>
    <x v="8"/>
    <s v="Expense"/>
    <n v="96563"/>
    <n v="106900"/>
  </r>
  <r>
    <x v="2272"/>
    <x v="328"/>
    <x v="6"/>
    <x v="0"/>
    <x v="3"/>
    <x v="10"/>
    <s v="Expense"/>
    <n v="109506"/>
    <n v="118300"/>
  </r>
  <r>
    <x v="2273"/>
    <x v="329"/>
    <x v="0"/>
    <x v="0"/>
    <x v="0"/>
    <x v="1"/>
    <s v="Expense"/>
    <n v="56053"/>
    <n v="51300"/>
  </r>
  <r>
    <x v="2274"/>
    <x v="329"/>
    <x v="0"/>
    <x v="0"/>
    <x v="0"/>
    <x v="3"/>
    <s v="Revenue"/>
    <n v="215025"/>
    <n v="162600"/>
  </r>
  <r>
    <x v="2275"/>
    <x v="329"/>
    <x v="5"/>
    <x v="0"/>
    <x v="3"/>
    <x v="10"/>
    <s v="Expense"/>
    <n v="97032"/>
    <n v="92300"/>
  </r>
  <r>
    <x v="2276"/>
    <x v="329"/>
    <x v="5"/>
    <x v="0"/>
    <x v="3"/>
    <x v="3"/>
    <s v="Revenue"/>
    <n v="27686"/>
    <n v="27400"/>
  </r>
  <r>
    <x v="2277"/>
    <x v="329"/>
    <x v="2"/>
    <x v="0"/>
    <x v="2"/>
    <x v="10"/>
    <s v="Expense"/>
    <n v="95299"/>
    <n v="92900"/>
  </r>
  <r>
    <x v="2278"/>
    <x v="329"/>
    <x v="2"/>
    <x v="0"/>
    <x v="2"/>
    <x v="5"/>
    <s v="Expense"/>
    <n v="115674"/>
    <n v="106700"/>
  </r>
  <r>
    <x v="2279"/>
    <x v="329"/>
    <x v="2"/>
    <x v="0"/>
    <x v="2"/>
    <x v="4"/>
    <s v="Revenue"/>
    <n v="243664"/>
    <n v="270700"/>
  </r>
  <r>
    <x v="2280"/>
    <x v="329"/>
    <x v="6"/>
    <x v="0"/>
    <x v="3"/>
    <x v="2"/>
    <s v="Revenue"/>
    <n v="225841"/>
    <n v="253000"/>
  </r>
  <r>
    <x v="2281"/>
    <x v="330"/>
    <x v="3"/>
    <x v="0"/>
    <x v="2"/>
    <x v="10"/>
    <s v="Expense"/>
    <n v="64778"/>
    <n v="67100"/>
  </r>
  <r>
    <x v="2282"/>
    <x v="330"/>
    <x v="3"/>
    <x v="0"/>
    <x v="2"/>
    <x v="11"/>
    <s v="Revenue"/>
    <n v="156304"/>
    <n v="184200"/>
  </r>
  <r>
    <x v="2283"/>
    <x v="330"/>
    <x v="4"/>
    <x v="0"/>
    <x v="1"/>
    <x v="7"/>
    <s v="Revenue"/>
    <n v="220097"/>
    <n v="242000"/>
  </r>
  <r>
    <x v="2284"/>
    <x v="331"/>
    <x v="7"/>
    <x v="0"/>
    <x v="2"/>
    <x v="0"/>
    <s v="Revenue"/>
    <n v="97786"/>
    <n v="112200"/>
  </r>
  <r>
    <x v="2285"/>
    <x v="331"/>
    <x v="1"/>
    <x v="0"/>
    <x v="1"/>
    <x v="1"/>
    <s v="Expense"/>
    <n v="69349"/>
    <n v="66500"/>
  </r>
  <r>
    <x v="2286"/>
    <x v="331"/>
    <x v="5"/>
    <x v="0"/>
    <x v="3"/>
    <x v="0"/>
    <s v="Revenue"/>
    <n v="189480"/>
    <n v="191100"/>
  </r>
  <r>
    <x v="2287"/>
    <x v="331"/>
    <x v="2"/>
    <x v="0"/>
    <x v="2"/>
    <x v="3"/>
    <s v="Revenue"/>
    <n v="87690"/>
    <n v="65000"/>
  </r>
  <r>
    <x v="2288"/>
    <x v="331"/>
    <x v="3"/>
    <x v="0"/>
    <x v="2"/>
    <x v="4"/>
    <s v="Revenue"/>
    <n v="212718"/>
    <n v="177700"/>
  </r>
  <r>
    <x v="2289"/>
    <x v="331"/>
    <x v="4"/>
    <x v="0"/>
    <x v="1"/>
    <x v="9"/>
    <s v="Expense"/>
    <n v="60524"/>
    <n v="50500"/>
  </r>
  <r>
    <x v="2290"/>
    <x v="332"/>
    <x v="7"/>
    <x v="0"/>
    <x v="2"/>
    <x v="0"/>
    <s v="Revenue"/>
    <n v="219617"/>
    <n v="223600"/>
  </r>
  <r>
    <x v="2291"/>
    <x v="332"/>
    <x v="0"/>
    <x v="0"/>
    <x v="0"/>
    <x v="2"/>
    <s v="Revenue"/>
    <n v="71531"/>
    <n v="84000"/>
  </r>
  <r>
    <x v="2292"/>
    <x v="332"/>
    <x v="3"/>
    <x v="0"/>
    <x v="2"/>
    <x v="2"/>
    <s v="Revenue"/>
    <n v="67599"/>
    <n v="66400"/>
  </r>
  <r>
    <x v="2293"/>
    <x v="332"/>
    <x v="4"/>
    <x v="0"/>
    <x v="1"/>
    <x v="10"/>
    <s v="Expense"/>
    <n v="16870"/>
    <n v="14800"/>
  </r>
  <r>
    <x v="2294"/>
    <x v="332"/>
    <x v="6"/>
    <x v="0"/>
    <x v="3"/>
    <x v="11"/>
    <s v="Revenue"/>
    <n v="88376"/>
    <n v="82400"/>
  </r>
  <r>
    <x v="2295"/>
    <x v="333"/>
    <x v="7"/>
    <x v="0"/>
    <x v="2"/>
    <x v="10"/>
    <s v="Expense"/>
    <n v="109692"/>
    <n v="104500"/>
  </r>
  <r>
    <x v="2296"/>
    <x v="333"/>
    <x v="7"/>
    <x v="0"/>
    <x v="2"/>
    <x v="2"/>
    <s v="Revenue"/>
    <n v="38171"/>
    <n v="37200"/>
  </r>
  <r>
    <x v="2297"/>
    <x v="333"/>
    <x v="7"/>
    <x v="0"/>
    <x v="2"/>
    <x v="0"/>
    <s v="Revenue"/>
    <n v="110369"/>
    <n v="117500"/>
  </r>
  <r>
    <x v="2298"/>
    <x v="333"/>
    <x v="0"/>
    <x v="0"/>
    <x v="0"/>
    <x v="7"/>
    <s v="Revenue"/>
    <n v="229957"/>
    <n v="192600"/>
  </r>
  <r>
    <x v="2299"/>
    <x v="333"/>
    <x v="0"/>
    <x v="0"/>
    <x v="0"/>
    <x v="2"/>
    <s v="Revenue"/>
    <n v="238456"/>
    <n v="241900"/>
  </r>
  <r>
    <x v="2300"/>
    <x v="333"/>
    <x v="1"/>
    <x v="0"/>
    <x v="1"/>
    <x v="3"/>
    <s v="Revenue"/>
    <n v="33215"/>
    <n v="34500"/>
  </r>
  <r>
    <x v="2301"/>
    <x v="333"/>
    <x v="5"/>
    <x v="0"/>
    <x v="3"/>
    <x v="7"/>
    <s v="Revenue"/>
    <n v="34787"/>
    <n v="32200"/>
  </r>
  <r>
    <x v="2302"/>
    <x v="333"/>
    <x v="2"/>
    <x v="0"/>
    <x v="2"/>
    <x v="9"/>
    <s v="Expense"/>
    <n v="96296"/>
    <n v="101000"/>
  </r>
  <r>
    <x v="2303"/>
    <x v="333"/>
    <x v="2"/>
    <x v="0"/>
    <x v="2"/>
    <x v="4"/>
    <s v="Revenue"/>
    <n v="224791"/>
    <n v="207200"/>
  </r>
  <r>
    <x v="2304"/>
    <x v="333"/>
    <x v="3"/>
    <x v="0"/>
    <x v="2"/>
    <x v="6"/>
    <s v="Expense"/>
    <n v="113636"/>
    <n v="131400"/>
  </r>
  <r>
    <x v="2305"/>
    <x v="333"/>
    <x v="3"/>
    <x v="0"/>
    <x v="2"/>
    <x v="7"/>
    <s v="Revenue"/>
    <n v="201152"/>
    <n v="228600"/>
  </r>
  <r>
    <x v="2306"/>
    <x v="333"/>
    <x v="6"/>
    <x v="0"/>
    <x v="3"/>
    <x v="5"/>
    <s v="Expense"/>
    <n v="39592"/>
    <n v="39700"/>
  </r>
  <r>
    <x v="2307"/>
    <x v="333"/>
    <x v="6"/>
    <x v="0"/>
    <x v="3"/>
    <x v="3"/>
    <s v="Revenue"/>
    <n v="100006"/>
    <n v="102100"/>
  </r>
  <r>
    <x v="2308"/>
    <x v="334"/>
    <x v="7"/>
    <x v="0"/>
    <x v="2"/>
    <x v="2"/>
    <s v="Revenue"/>
    <n v="83308"/>
    <n v="79900"/>
  </r>
  <r>
    <x v="2309"/>
    <x v="334"/>
    <x v="2"/>
    <x v="0"/>
    <x v="2"/>
    <x v="7"/>
    <s v="Revenue"/>
    <n v="164596"/>
    <n v="186700"/>
  </r>
  <r>
    <x v="2310"/>
    <x v="334"/>
    <x v="3"/>
    <x v="0"/>
    <x v="2"/>
    <x v="5"/>
    <s v="Expense"/>
    <n v="102332"/>
    <n v="100100"/>
  </r>
  <r>
    <x v="2311"/>
    <x v="334"/>
    <x v="3"/>
    <x v="0"/>
    <x v="2"/>
    <x v="5"/>
    <s v="Expense"/>
    <n v="103630"/>
    <n v="106800"/>
  </r>
  <r>
    <x v="2312"/>
    <x v="334"/>
    <x v="3"/>
    <x v="0"/>
    <x v="2"/>
    <x v="11"/>
    <s v="Revenue"/>
    <n v="39647"/>
    <n v="44000"/>
  </r>
  <r>
    <x v="2313"/>
    <x v="334"/>
    <x v="3"/>
    <x v="0"/>
    <x v="2"/>
    <x v="11"/>
    <s v="Revenue"/>
    <n v="79266"/>
    <n v="65800"/>
  </r>
  <r>
    <x v="2314"/>
    <x v="334"/>
    <x v="4"/>
    <x v="0"/>
    <x v="1"/>
    <x v="11"/>
    <s v="Revenue"/>
    <n v="164739"/>
    <n v="183700"/>
  </r>
  <r>
    <x v="2315"/>
    <x v="335"/>
    <x v="7"/>
    <x v="0"/>
    <x v="2"/>
    <x v="10"/>
    <s v="Expense"/>
    <n v="54555"/>
    <n v="55300"/>
  </r>
  <r>
    <x v="2316"/>
    <x v="335"/>
    <x v="1"/>
    <x v="0"/>
    <x v="1"/>
    <x v="11"/>
    <s v="Revenue"/>
    <n v="248785"/>
    <n v="260300"/>
  </r>
  <r>
    <x v="2317"/>
    <x v="335"/>
    <x v="5"/>
    <x v="0"/>
    <x v="3"/>
    <x v="6"/>
    <s v="Expense"/>
    <n v="113744"/>
    <n v="129200"/>
  </r>
  <r>
    <x v="2318"/>
    <x v="335"/>
    <x v="3"/>
    <x v="0"/>
    <x v="2"/>
    <x v="11"/>
    <s v="Revenue"/>
    <n v="47959"/>
    <n v="51500"/>
  </r>
  <r>
    <x v="2319"/>
    <x v="335"/>
    <x v="6"/>
    <x v="0"/>
    <x v="3"/>
    <x v="10"/>
    <s v="Expense"/>
    <n v="71358"/>
    <n v="69000"/>
  </r>
  <r>
    <x v="2320"/>
    <x v="335"/>
    <x v="6"/>
    <x v="0"/>
    <x v="3"/>
    <x v="7"/>
    <s v="Revenue"/>
    <n v="237514"/>
    <n v="242500"/>
  </r>
  <r>
    <x v="2321"/>
    <x v="336"/>
    <x v="7"/>
    <x v="0"/>
    <x v="2"/>
    <x v="8"/>
    <s v="Expense"/>
    <n v="66975"/>
    <n v="63500"/>
  </r>
  <r>
    <x v="2322"/>
    <x v="336"/>
    <x v="0"/>
    <x v="0"/>
    <x v="0"/>
    <x v="2"/>
    <s v="Revenue"/>
    <n v="49372"/>
    <n v="51500"/>
  </r>
  <r>
    <x v="2323"/>
    <x v="336"/>
    <x v="1"/>
    <x v="0"/>
    <x v="1"/>
    <x v="6"/>
    <s v="Expense"/>
    <n v="18432"/>
    <n v="19200"/>
  </r>
  <r>
    <x v="2324"/>
    <x v="336"/>
    <x v="1"/>
    <x v="0"/>
    <x v="1"/>
    <x v="6"/>
    <s v="Expense"/>
    <n v="73271"/>
    <n v="69000"/>
  </r>
  <r>
    <x v="2325"/>
    <x v="336"/>
    <x v="5"/>
    <x v="0"/>
    <x v="3"/>
    <x v="10"/>
    <s v="Expense"/>
    <n v="61780"/>
    <n v="52400"/>
  </r>
  <r>
    <x v="2326"/>
    <x v="336"/>
    <x v="2"/>
    <x v="0"/>
    <x v="2"/>
    <x v="9"/>
    <s v="Expense"/>
    <n v="61015"/>
    <n v="68000"/>
  </r>
  <r>
    <x v="2327"/>
    <x v="336"/>
    <x v="2"/>
    <x v="0"/>
    <x v="2"/>
    <x v="11"/>
    <s v="Revenue"/>
    <n v="245704"/>
    <n v="237200"/>
  </r>
  <r>
    <x v="2328"/>
    <x v="336"/>
    <x v="4"/>
    <x v="0"/>
    <x v="1"/>
    <x v="5"/>
    <s v="Expense"/>
    <n v="49064"/>
    <n v="42400"/>
  </r>
  <r>
    <x v="2329"/>
    <x v="337"/>
    <x v="1"/>
    <x v="0"/>
    <x v="1"/>
    <x v="1"/>
    <s v="Expense"/>
    <n v="61215"/>
    <n v="69900"/>
  </r>
  <r>
    <x v="2330"/>
    <x v="337"/>
    <x v="1"/>
    <x v="0"/>
    <x v="1"/>
    <x v="11"/>
    <s v="Revenue"/>
    <n v="241921"/>
    <n v="218700"/>
  </r>
  <r>
    <x v="2331"/>
    <x v="337"/>
    <x v="1"/>
    <x v="0"/>
    <x v="1"/>
    <x v="2"/>
    <s v="Revenue"/>
    <n v="107855"/>
    <n v="109200"/>
  </r>
  <r>
    <x v="2332"/>
    <x v="337"/>
    <x v="3"/>
    <x v="0"/>
    <x v="2"/>
    <x v="8"/>
    <s v="Expense"/>
    <n v="91599"/>
    <n v="94100"/>
  </r>
  <r>
    <x v="2333"/>
    <x v="337"/>
    <x v="4"/>
    <x v="0"/>
    <x v="1"/>
    <x v="4"/>
    <s v="Revenue"/>
    <n v="83028"/>
    <n v="78600"/>
  </r>
  <r>
    <x v="2334"/>
    <x v="337"/>
    <x v="4"/>
    <x v="0"/>
    <x v="1"/>
    <x v="4"/>
    <s v="Revenue"/>
    <n v="76426"/>
    <n v="76500"/>
  </r>
  <r>
    <x v="2335"/>
    <x v="337"/>
    <x v="6"/>
    <x v="0"/>
    <x v="3"/>
    <x v="9"/>
    <s v="Expense"/>
    <n v="56347"/>
    <n v="57300"/>
  </r>
  <r>
    <x v="2336"/>
    <x v="338"/>
    <x v="0"/>
    <x v="0"/>
    <x v="0"/>
    <x v="7"/>
    <s v="Revenue"/>
    <n v="57150"/>
    <n v="53700"/>
  </r>
  <r>
    <x v="2337"/>
    <x v="338"/>
    <x v="1"/>
    <x v="0"/>
    <x v="1"/>
    <x v="3"/>
    <s v="Revenue"/>
    <n v="146518"/>
    <n v="139000"/>
  </r>
  <r>
    <x v="2338"/>
    <x v="338"/>
    <x v="5"/>
    <x v="0"/>
    <x v="3"/>
    <x v="9"/>
    <s v="Expense"/>
    <n v="51633"/>
    <n v="57200"/>
  </r>
  <r>
    <x v="2339"/>
    <x v="338"/>
    <x v="3"/>
    <x v="0"/>
    <x v="2"/>
    <x v="6"/>
    <s v="Expense"/>
    <n v="100099"/>
    <n v="99400"/>
  </r>
  <r>
    <x v="2340"/>
    <x v="338"/>
    <x v="3"/>
    <x v="0"/>
    <x v="2"/>
    <x v="8"/>
    <s v="Expense"/>
    <n v="44427"/>
    <n v="48500"/>
  </r>
  <r>
    <x v="2341"/>
    <x v="338"/>
    <x v="6"/>
    <x v="0"/>
    <x v="3"/>
    <x v="3"/>
    <s v="Revenue"/>
    <n v="196397"/>
    <n v="171400"/>
  </r>
  <r>
    <x v="2342"/>
    <x v="339"/>
    <x v="7"/>
    <x v="0"/>
    <x v="2"/>
    <x v="0"/>
    <s v="Revenue"/>
    <n v="157473"/>
    <n v="138300"/>
  </r>
  <r>
    <x v="2343"/>
    <x v="339"/>
    <x v="5"/>
    <x v="0"/>
    <x v="3"/>
    <x v="0"/>
    <s v="Revenue"/>
    <n v="185761"/>
    <n v="162500"/>
  </r>
  <r>
    <x v="2344"/>
    <x v="339"/>
    <x v="5"/>
    <x v="0"/>
    <x v="3"/>
    <x v="0"/>
    <s v="Revenue"/>
    <n v="161884"/>
    <n v="134700"/>
  </r>
  <r>
    <x v="2345"/>
    <x v="339"/>
    <x v="5"/>
    <x v="0"/>
    <x v="3"/>
    <x v="11"/>
    <s v="Revenue"/>
    <n v="243018"/>
    <n v="271600"/>
  </r>
  <r>
    <x v="2346"/>
    <x v="339"/>
    <x v="3"/>
    <x v="0"/>
    <x v="2"/>
    <x v="0"/>
    <s v="Revenue"/>
    <n v="225531"/>
    <n v="189500"/>
  </r>
  <r>
    <x v="2347"/>
    <x v="339"/>
    <x v="4"/>
    <x v="0"/>
    <x v="1"/>
    <x v="6"/>
    <s v="Expense"/>
    <n v="13523"/>
    <n v="13500"/>
  </r>
  <r>
    <x v="2348"/>
    <x v="339"/>
    <x v="6"/>
    <x v="0"/>
    <x v="3"/>
    <x v="1"/>
    <s v="Expense"/>
    <n v="79352"/>
    <n v="79400"/>
  </r>
  <r>
    <x v="2349"/>
    <x v="340"/>
    <x v="0"/>
    <x v="0"/>
    <x v="0"/>
    <x v="9"/>
    <s v="Expense"/>
    <n v="108629"/>
    <n v="99200"/>
  </r>
  <r>
    <x v="2350"/>
    <x v="340"/>
    <x v="1"/>
    <x v="0"/>
    <x v="1"/>
    <x v="7"/>
    <s v="Revenue"/>
    <n v="80634"/>
    <n v="83800"/>
  </r>
  <r>
    <x v="2351"/>
    <x v="340"/>
    <x v="5"/>
    <x v="0"/>
    <x v="3"/>
    <x v="0"/>
    <s v="Revenue"/>
    <n v="215370"/>
    <n v="204200"/>
  </r>
  <r>
    <x v="2352"/>
    <x v="340"/>
    <x v="5"/>
    <x v="0"/>
    <x v="3"/>
    <x v="0"/>
    <s v="Revenue"/>
    <n v="88070"/>
    <n v="86100"/>
  </r>
  <r>
    <x v="2353"/>
    <x v="340"/>
    <x v="3"/>
    <x v="0"/>
    <x v="2"/>
    <x v="11"/>
    <s v="Revenue"/>
    <n v="70608"/>
    <n v="64100"/>
  </r>
  <r>
    <x v="2354"/>
    <x v="340"/>
    <x v="4"/>
    <x v="0"/>
    <x v="1"/>
    <x v="3"/>
    <s v="Revenue"/>
    <n v="56064"/>
    <n v="63700"/>
  </r>
  <r>
    <x v="2355"/>
    <x v="340"/>
    <x v="4"/>
    <x v="0"/>
    <x v="1"/>
    <x v="3"/>
    <s v="Revenue"/>
    <n v="217191"/>
    <n v="234200"/>
  </r>
  <r>
    <x v="2356"/>
    <x v="341"/>
    <x v="7"/>
    <x v="0"/>
    <x v="2"/>
    <x v="11"/>
    <s v="Revenue"/>
    <n v="212433"/>
    <n v="227800"/>
  </r>
  <r>
    <x v="2357"/>
    <x v="341"/>
    <x v="1"/>
    <x v="0"/>
    <x v="1"/>
    <x v="9"/>
    <s v="Expense"/>
    <n v="38782"/>
    <n v="32400"/>
  </r>
  <r>
    <x v="2358"/>
    <x v="341"/>
    <x v="1"/>
    <x v="0"/>
    <x v="1"/>
    <x v="2"/>
    <s v="Revenue"/>
    <n v="96136"/>
    <n v="94300"/>
  </r>
  <r>
    <x v="2359"/>
    <x v="341"/>
    <x v="2"/>
    <x v="0"/>
    <x v="2"/>
    <x v="10"/>
    <s v="Expense"/>
    <n v="67535"/>
    <n v="70200"/>
  </r>
  <r>
    <x v="2360"/>
    <x v="341"/>
    <x v="3"/>
    <x v="0"/>
    <x v="2"/>
    <x v="8"/>
    <s v="Expense"/>
    <n v="69385"/>
    <n v="68500"/>
  </r>
  <r>
    <x v="2361"/>
    <x v="341"/>
    <x v="3"/>
    <x v="0"/>
    <x v="2"/>
    <x v="7"/>
    <s v="Revenue"/>
    <n v="173993"/>
    <n v="154400"/>
  </r>
  <r>
    <x v="2362"/>
    <x v="341"/>
    <x v="4"/>
    <x v="0"/>
    <x v="1"/>
    <x v="7"/>
    <s v="Revenue"/>
    <n v="78883"/>
    <n v="86900"/>
  </r>
  <r>
    <x v="2363"/>
    <x v="341"/>
    <x v="6"/>
    <x v="0"/>
    <x v="3"/>
    <x v="10"/>
    <s v="Expense"/>
    <n v="70385"/>
    <n v="57900"/>
  </r>
  <r>
    <x v="2364"/>
    <x v="341"/>
    <x v="6"/>
    <x v="0"/>
    <x v="3"/>
    <x v="10"/>
    <s v="Expense"/>
    <n v="36122"/>
    <n v="33300"/>
  </r>
  <r>
    <x v="2365"/>
    <x v="342"/>
    <x v="7"/>
    <x v="0"/>
    <x v="2"/>
    <x v="10"/>
    <s v="Expense"/>
    <n v="114837"/>
    <n v="117400"/>
  </r>
  <r>
    <x v="2366"/>
    <x v="342"/>
    <x v="1"/>
    <x v="0"/>
    <x v="1"/>
    <x v="2"/>
    <s v="Revenue"/>
    <n v="160494"/>
    <n v="176400"/>
  </r>
  <r>
    <x v="2367"/>
    <x v="342"/>
    <x v="1"/>
    <x v="0"/>
    <x v="1"/>
    <x v="0"/>
    <s v="Revenue"/>
    <n v="82299"/>
    <n v="71600"/>
  </r>
  <r>
    <x v="2368"/>
    <x v="342"/>
    <x v="1"/>
    <x v="0"/>
    <x v="1"/>
    <x v="2"/>
    <s v="Revenue"/>
    <n v="103754"/>
    <n v="108700"/>
  </r>
  <r>
    <x v="2369"/>
    <x v="342"/>
    <x v="5"/>
    <x v="0"/>
    <x v="3"/>
    <x v="2"/>
    <s v="Revenue"/>
    <n v="215862"/>
    <n v="206300"/>
  </r>
  <r>
    <x v="2370"/>
    <x v="342"/>
    <x v="2"/>
    <x v="0"/>
    <x v="2"/>
    <x v="5"/>
    <s v="Expense"/>
    <n v="97079"/>
    <n v="80600"/>
  </r>
  <r>
    <x v="2371"/>
    <x v="342"/>
    <x v="2"/>
    <x v="0"/>
    <x v="2"/>
    <x v="7"/>
    <s v="Revenue"/>
    <n v="177028"/>
    <n v="167700"/>
  </r>
  <r>
    <x v="2372"/>
    <x v="342"/>
    <x v="3"/>
    <x v="0"/>
    <x v="2"/>
    <x v="10"/>
    <s v="Expense"/>
    <n v="105054"/>
    <n v="99700"/>
  </r>
  <r>
    <x v="2373"/>
    <x v="342"/>
    <x v="3"/>
    <x v="0"/>
    <x v="2"/>
    <x v="5"/>
    <s v="Expense"/>
    <n v="45653"/>
    <n v="48400"/>
  </r>
  <r>
    <x v="2374"/>
    <x v="342"/>
    <x v="4"/>
    <x v="0"/>
    <x v="1"/>
    <x v="6"/>
    <s v="Expense"/>
    <n v="97543"/>
    <n v="86500"/>
  </r>
  <r>
    <x v="2375"/>
    <x v="342"/>
    <x v="4"/>
    <x v="0"/>
    <x v="1"/>
    <x v="2"/>
    <s v="Revenue"/>
    <n v="243310"/>
    <n v="207300"/>
  </r>
  <r>
    <x v="2376"/>
    <x v="342"/>
    <x v="4"/>
    <x v="0"/>
    <x v="1"/>
    <x v="3"/>
    <s v="Revenue"/>
    <n v="98837"/>
    <n v="83500"/>
  </r>
  <r>
    <x v="2377"/>
    <x v="343"/>
    <x v="1"/>
    <x v="0"/>
    <x v="1"/>
    <x v="8"/>
    <s v="Expense"/>
    <n v="35689"/>
    <n v="28000"/>
  </r>
  <r>
    <x v="2378"/>
    <x v="343"/>
    <x v="2"/>
    <x v="0"/>
    <x v="2"/>
    <x v="10"/>
    <s v="Expense"/>
    <n v="116161"/>
    <n v="125700"/>
  </r>
  <r>
    <x v="2379"/>
    <x v="344"/>
    <x v="7"/>
    <x v="0"/>
    <x v="2"/>
    <x v="5"/>
    <s v="Expense"/>
    <n v="55680"/>
    <n v="55700"/>
  </r>
  <r>
    <x v="2380"/>
    <x v="344"/>
    <x v="7"/>
    <x v="0"/>
    <x v="2"/>
    <x v="6"/>
    <s v="Expense"/>
    <n v="34957"/>
    <n v="27000"/>
  </r>
  <r>
    <x v="2381"/>
    <x v="344"/>
    <x v="0"/>
    <x v="0"/>
    <x v="0"/>
    <x v="9"/>
    <s v="Expense"/>
    <n v="74935"/>
    <n v="77600"/>
  </r>
  <r>
    <x v="2382"/>
    <x v="344"/>
    <x v="0"/>
    <x v="0"/>
    <x v="0"/>
    <x v="4"/>
    <s v="Revenue"/>
    <n v="69241"/>
    <n v="71800"/>
  </r>
  <r>
    <x v="2383"/>
    <x v="344"/>
    <x v="5"/>
    <x v="0"/>
    <x v="3"/>
    <x v="8"/>
    <s v="Expense"/>
    <n v="32711"/>
    <n v="30300"/>
  </r>
  <r>
    <x v="2384"/>
    <x v="344"/>
    <x v="5"/>
    <x v="0"/>
    <x v="3"/>
    <x v="7"/>
    <s v="Revenue"/>
    <n v="160676"/>
    <n v="139200"/>
  </r>
  <r>
    <x v="2385"/>
    <x v="344"/>
    <x v="3"/>
    <x v="0"/>
    <x v="2"/>
    <x v="5"/>
    <s v="Expense"/>
    <n v="12417"/>
    <n v="11900"/>
  </r>
  <r>
    <x v="2386"/>
    <x v="344"/>
    <x v="4"/>
    <x v="0"/>
    <x v="1"/>
    <x v="6"/>
    <s v="Expense"/>
    <n v="59533"/>
    <n v="49500"/>
  </r>
  <r>
    <x v="2387"/>
    <x v="344"/>
    <x v="6"/>
    <x v="0"/>
    <x v="3"/>
    <x v="11"/>
    <s v="Revenue"/>
    <n v="183578"/>
    <n v="173700"/>
  </r>
  <r>
    <x v="2388"/>
    <x v="345"/>
    <x v="3"/>
    <x v="0"/>
    <x v="2"/>
    <x v="8"/>
    <s v="Expense"/>
    <n v="60052"/>
    <n v="60600"/>
  </r>
  <r>
    <x v="2389"/>
    <x v="345"/>
    <x v="4"/>
    <x v="0"/>
    <x v="1"/>
    <x v="6"/>
    <s v="Expense"/>
    <n v="15502"/>
    <n v="15100"/>
  </r>
  <r>
    <x v="2390"/>
    <x v="345"/>
    <x v="6"/>
    <x v="0"/>
    <x v="3"/>
    <x v="0"/>
    <s v="Revenue"/>
    <n v="186010"/>
    <n v="192700"/>
  </r>
  <r>
    <x v="2391"/>
    <x v="346"/>
    <x v="1"/>
    <x v="0"/>
    <x v="1"/>
    <x v="5"/>
    <s v="Expense"/>
    <n v="15425"/>
    <n v="16400"/>
  </r>
  <r>
    <x v="2392"/>
    <x v="346"/>
    <x v="1"/>
    <x v="0"/>
    <x v="1"/>
    <x v="8"/>
    <s v="Expense"/>
    <n v="94504"/>
    <n v="107600"/>
  </r>
  <r>
    <x v="2393"/>
    <x v="346"/>
    <x v="1"/>
    <x v="0"/>
    <x v="1"/>
    <x v="9"/>
    <s v="Expense"/>
    <n v="77641"/>
    <n v="76900"/>
  </r>
  <r>
    <x v="2394"/>
    <x v="346"/>
    <x v="3"/>
    <x v="0"/>
    <x v="2"/>
    <x v="5"/>
    <s v="Expense"/>
    <n v="32328"/>
    <n v="37600"/>
  </r>
  <r>
    <x v="2395"/>
    <x v="346"/>
    <x v="3"/>
    <x v="0"/>
    <x v="2"/>
    <x v="3"/>
    <s v="Revenue"/>
    <n v="160000"/>
    <n v="141300"/>
  </r>
  <r>
    <x v="2396"/>
    <x v="346"/>
    <x v="4"/>
    <x v="0"/>
    <x v="1"/>
    <x v="2"/>
    <s v="Revenue"/>
    <n v="74761"/>
    <n v="84700"/>
  </r>
  <r>
    <x v="2397"/>
    <x v="347"/>
    <x v="1"/>
    <x v="0"/>
    <x v="1"/>
    <x v="10"/>
    <s v="Expense"/>
    <n v="39542"/>
    <n v="34500"/>
  </r>
  <r>
    <x v="2398"/>
    <x v="347"/>
    <x v="1"/>
    <x v="0"/>
    <x v="1"/>
    <x v="6"/>
    <s v="Expense"/>
    <n v="90971"/>
    <n v="89200"/>
  </r>
  <r>
    <x v="2399"/>
    <x v="347"/>
    <x v="3"/>
    <x v="0"/>
    <x v="2"/>
    <x v="7"/>
    <s v="Revenue"/>
    <n v="82723"/>
    <n v="89900"/>
  </r>
  <r>
    <x v="2400"/>
    <x v="347"/>
    <x v="6"/>
    <x v="0"/>
    <x v="3"/>
    <x v="1"/>
    <s v="Expense"/>
    <n v="33497"/>
    <n v="36200"/>
  </r>
  <r>
    <x v="2401"/>
    <x v="347"/>
    <x v="6"/>
    <x v="0"/>
    <x v="3"/>
    <x v="9"/>
    <s v="Expense"/>
    <n v="58107"/>
    <n v="57200"/>
  </r>
  <r>
    <x v="2402"/>
    <x v="348"/>
    <x v="7"/>
    <x v="0"/>
    <x v="2"/>
    <x v="10"/>
    <s v="Expense"/>
    <n v="111943"/>
    <n v="121100"/>
  </r>
  <r>
    <x v="2403"/>
    <x v="348"/>
    <x v="1"/>
    <x v="0"/>
    <x v="1"/>
    <x v="9"/>
    <s v="Expense"/>
    <n v="57680"/>
    <n v="54600"/>
  </r>
  <r>
    <x v="2404"/>
    <x v="348"/>
    <x v="2"/>
    <x v="0"/>
    <x v="2"/>
    <x v="1"/>
    <s v="Expense"/>
    <n v="97388"/>
    <n v="95500"/>
  </r>
  <r>
    <x v="2405"/>
    <x v="348"/>
    <x v="6"/>
    <x v="0"/>
    <x v="3"/>
    <x v="10"/>
    <s v="Expense"/>
    <n v="39331"/>
    <n v="32400"/>
  </r>
  <r>
    <x v="2406"/>
    <x v="349"/>
    <x v="5"/>
    <x v="0"/>
    <x v="3"/>
    <x v="11"/>
    <s v="Revenue"/>
    <n v="100068"/>
    <n v="96700"/>
  </r>
  <r>
    <x v="2407"/>
    <x v="349"/>
    <x v="2"/>
    <x v="0"/>
    <x v="2"/>
    <x v="6"/>
    <s v="Expense"/>
    <n v="43511"/>
    <n v="37200"/>
  </r>
  <r>
    <x v="2408"/>
    <x v="349"/>
    <x v="2"/>
    <x v="0"/>
    <x v="2"/>
    <x v="5"/>
    <s v="Expense"/>
    <n v="108948"/>
    <n v="109900"/>
  </r>
  <r>
    <x v="2409"/>
    <x v="349"/>
    <x v="2"/>
    <x v="0"/>
    <x v="2"/>
    <x v="3"/>
    <s v="Revenue"/>
    <n v="89567"/>
    <n v="78000"/>
  </r>
  <r>
    <x v="2410"/>
    <x v="349"/>
    <x v="3"/>
    <x v="0"/>
    <x v="2"/>
    <x v="9"/>
    <s v="Expense"/>
    <n v="16913"/>
    <n v="17100"/>
  </r>
  <r>
    <x v="2411"/>
    <x v="349"/>
    <x v="4"/>
    <x v="0"/>
    <x v="1"/>
    <x v="8"/>
    <s v="Expense"/>
    <n v="53848"/>
    <n v="50700"/>
  </r>
  <r>
    <x v="2412"/>
    <x v="350"/>
    <x v="5"/>
    <x v="0"/>
    <x v="3"/>
    <x v="11"/>
    <s v="Revenue"/>
    <n v="89809"/>
    <n v="85300"/>
  </r>
  <r>
    <x v="2413"/>
    <x v="350"/>
    <x v="2"/>
    <x v="0"/>
    <x v="2"/>
    <x v="3"/>
    <s v="Revenue"/>
    <n v="193461"/>
    <n v="201200"/>
  </r>
  <r>
    <x v="2414"/>
    <x v="350"/>
    <x v="3"/>
    <x v="0"/>
    <x v="2"/>
    <x v="6"/>
    <s v="Expense"/>
    <n v="92124"/>
    <n v="106100"/>
  </r>
  <r>
    <x v="2415"/>
    <x v="350"/>
    <x v="4"/>
    <x v="0"/>
    <x v="1"/>
    <x v="11"/>
    <s v="Revenue"/>
    <n v="134691"/>
    <n v="113400"/>
  </r>
  <r>
    <x v="2416"/>
    <x v="350"/>
    <x v="4"/>
    <x v="0"/>
    <x v="1"/>
    <x v="7"/>
    <s v="Revenue"/>
    <n v="33581"/>
    <n v="36900"/>
  </r>
  <r>
    <x v="2417"/>
    <x v="350"/>
    <x v="6"/>
    <x v="0"/>
    <x v="3"/>
    <x v="5"/>
    <s v="Expense"/>
    <n v="94143"/>
    <n v="84700"/>
  </r>
  <r>
    <x v="2418"/>
    <x v="351"/>
    <x v="7"/>
    <x v="0"/>
    <x v="2"/>
    <x v="11"/>
    <s v="Revenue"/>
    <n v="173755"/>
    <n v="175300"/>
  </r>
  <r>
    <x v="2419"/>
    <x v="351"/>
    <x v="1"/>
    <x v="0"/>
    <x v="1"/>
    <x v="10"/>
    <s v="Expense"/>
    <n v="71724"/>
    <n v="80000"/>
  </r>
  <r>
    <x v="2420"/>
    <x v="351"/>
    <x v="2"/>
    <x v="0"/>
    <x v="2"/>
    <x v="5"/>
    <s v="Expense"/>
    <n v="118946"/>
    <n v="140700"/>
  </r>
  <r>
    <x v="2421"/>
    <x v="351"/>
    <x v="3"/>
    <x v="0"/>
    <x v="2"/>
    <x v="10"/>
    <s v="Expense"/>
    <n v="73758"/>
    <n v="73900"/>
  </r>
  <r>
    <x v="2422"/>
    <x v="351"/>
    <x v="3"/>
    <x v="0"/>
    <x v="2"/>
    <x v="1"/>
    <s v="Expense"/>
    <n v="69630"/>
    <n v="56800"/>
  </r>
  <r>
    <x v="2423"/>
    <x v="351"/>
    <x v="4"/>
    <x v="0"/>
    <x v="1"/>
    <x v="1"/>
    <s v="Expense"/>
    <n v="90472"/>
    <n v="77200"/>
  </r>
  <r>
    <x v="2424"/>
    <x v="352"/>
    <x v="7"/>
    <x v="0"/>
    <x v="2"/>
    <x v="11"/>
    <s v="Revenue"/>
    <n v="118389"/>
    <n v="123000"/>
  </r>
  <r>
    <x v="2425"/>
    <x v="352"/>
    <x v="0"/>
    <x v="0"/>
    <x v="0"/>
    <x v="0"/>
    <s v="Revenue"/>
    <n v="106187"/>
    <n v="98700"/>
  </r>
  <r>
    <x v="2426"/>
    <x v="352"/>
    <x v="1"/>
    <x v="0"/>
    <x v="1"/>
    <x v="7"/>
    <s v="Revenue"/>
    <n v="141320"/>
    <n v="136800"/>
  </r>
  <r>
    <x v="2427"/>
    <x v="352"/>
    <x v="4"/>
    <x v="0"/>
    <x v="1"/>
    <x v="10"/>
    <s v="Expense"/>
    <n v="26461"/>
    <n v="29400"/>
  </r>
  <r>
    <x v="2428"/>
    <x v="352"/>
    <x v="6"/>
    <x v="0"/>
    <x v="3"/>
    <x v="5"/>
    <s v="Expense"/>
    <n v="118945"/>
    <n v="119900"/>
  </r>
  <r>
    <x v="2429"/>
    <x v="353"/>
    <x v="7"/>
    <x v="0"/>
    <x v="2"/>
    <x v="7"/>
    <s v="Revenue"/>
    <n v="189143"/>
    <n v="192900"/>
  </r>
  <r>
    <x v="2430"/>
    <x v="353"/>
    <x v="5"/>
    <x v="0"/>
    <x v="3"/>
    <x v="10"/>
    <s v="Expense"/>
    <n v="78832"/>
    <n v="70000"/>
  </r>
  <r>
    <x v="2431"/>
    <x v="353"/>
    <x v="2"/>
    <x v="0"/>
    <x v="2"/>
    <x v="3"/>
    <s v="Revenue"/>
    <n v="115442"/>
    <n v="118300"/>
  </r>
  <r>
    <x v="2432"/>
    <x v="353"/>
    <x v="3"/>
    <x v="0"/>
    <x v="2"/>
    <x v="1"/>
    <s v="Expense"/>
    <n v="40019"/>
    <n v="35000"/>
  </r>
  <r>
    <x v="2433"/>
    <x v="353"/>
    <x v="4"/>
    <x v="0"/>
    <x v="1"/>
    <x v="8"/>
    <s v="Expense"/>
    <n v="43726"/>
    <n v="41900"/>
  </r>
  <r>
    <x v="2434"/>
    <x v="354"/>
    <x v="7"/>
    <x v="0"/>
    <x v="2"/>
    <x v="8"/>
    <s v="Expense"/>
    <n v="54623"/>
    <n v="46600"/>
  </r>
  <r>
    <x v="2435"/>
    <x v="354"/>
    <x v="0"/>
    <x v="0"/>
    <x v="0"/>
    <x v="3"/>
    <s v="Revenue"/>
    <n v="31692"/>
    <n v="34200"/>
  </r>
  <r>
    <x v="2436"/>
    <x v="354"/>
    <x v="1"/>
    <x v="0"/>
    <x v="1"/>
    <x v="3"/>
    <s v="Revenue"/>
    <n v="144688"/>
    <n v="153300"/>
  </r>
  <r>
    <x v="2437"/>
    <x v="354"/>
    <x v="1"/>
    <x v="0"/>
    <x v="1"/>
    <x v="2"/>
    <s v="Revenue"/>
    <n v="241006"/>
    <n v="225400"/>
  </r>
  <r>
    <x v="2438"/>
    <x v="354"/>
    <x v="2"/>
    <x v="0"/>
    <x v="2"/>
    <x v="3"/>
    <s v="Revenue"/>
    <n v="194874"/>
    <n v="188900"/>
  </r>
  <r>
    <x v="2439"/>
    <x v="354"/>
    <x v="6"/>
    <x v="0"/>
    <x v="3"/>
    <x v="10"/>
    <s v="Expense"/>
    <n v="104427"/>
    <n v="114100"/>
  </r>
  <r>
    <x v="2440"/>
    <x v="354"/>
    <x v="6"/>
    <x v="0"/>
    <x v="3"/>
    <x v="0"/>
    <s v="Revenue"/>
    <n v="122835"/>
    <n v="133900"/>
  </r>
  <r>
    <x v="2441"/>
    <x v="355"/>
    <x v="2"/>
    <x v="0"/>
    <x v="2"/>
    <x v="5"/>
    <s v="Expense"/>
    <n v="73507"/>
    <n v="64900"/>
  </r>
  <r>
    <x v="2442"/>
    <x v="355"/>
    <x v="2"/>
    <x v="0"/>
    <x v="2"/>
    <x v="8"/>
    <s v="Expense"/>
    <n v="41594"/>
    <n v="41000"/>
  </r>
  <r>
    <x v="2443"/>
    <x v="355"/>
    <x v="2"/>
    <x v="0"/>
    <x v="2"/>
    <x v="7"/>
    <s v="Revenue"/>
    <n v="212451"/>
    <n v="236500"/>
  </r>
  <r>
    <x v="2444"/>
    <x v="355"/>
    <x v="3"/>
    <x v="0"/>
    <x v="2"/>
    <x v="0"/>
    <s v="Revenue"/>
    <n v="118488"/>
    <n v="126000"/>
  </r>
  <r>
    <x v="2445"/>
    <x v="355"/>
    <x v="4"/>
    <x v="0"/>
    <x v="1"/>
    <x v="6"/>
    <s v="Expense"/>
    <n v="109911"/>
    <n v="118300"/>
  </r>
  <r>
    <x v="2446"/>
    <x v="355"/>
    <x v="4"/>
    <x v="0"/>
    <x v="1"/>
    <x v="2"/>
    <s v="Revenue"/>
    <n v="156418"/>
    <n v="144000"/>
  </r>
  <r>
    <x v="2447"/>
    <x v="355"/>
    <x v="6"/>
    <x v="0"/>
    <x v="3"/>
    <x v="8"/>
    <s v="Expense"/>
    <n v="60353"/>
    <n v="59400"/>
  </r>
  <r>
    <x v="2448"/>
    <x v="356"/>
    <x v="4"/>
    <x v="0"/>
    <x v="1"/>
    <x v="10"/>
    <s v="Expense"/>
    <n v="34606"/>
    <n v="34600"/>
  </r>
  <r>
    <x v="2449"/>
    <x v="357"/>
    <x v="0"/>
    <x v="0"/>
    <x v="0"/>
    <x v="5"/>
    <s v="Expense"/>
    <n v="93266"/>
    <n v="113000"/>
  </r>
  <r>
    <x v="2450"/>
    <x v="357"/>
    <x v="1"/>
    <x v="0"/>
    <x v="1"/>
    <x v="7"/>
    <s v="Revenue"/>
    <n v="77255"/>
    <n v="72900"/>
  </r>
  <r>
    <x v="2451"/>
    <x v="357"/>
    <x v="5"/>
    <x v="0"/>
    <x v="3"/>
    <x v="7"/>
    <s v="Revenue"/>
    <n v="247271"/>
    <n v="247500"/>
  </r>
  <r>
    <x v="2452"/>
    <x v="357"/>
    <x v="2"/>
    <x v="0"/>
    <x v="2"/>
    <x v="4"/>
    <s v="Revenue"/>
    <n v="245271"/>
    <n v="253900"/>
  </r>
  <r>
    <x v="2453"/>
    <x v="357"/>
    <x v="6"/>
    <x v="0"/>
    <x v="3"/>
    <x v="6"/>
    <s v="Expense"/>
    <n v="57932"/>
    <n v="63000"/>
  </r>
  <r>
    <x v="2454"/>
    <x v="358"/>
    <x v="7"/>
    <x v="0"/>
    <x v="2"/>
    <x v="9"/>
    <s v="Expense"/>
    <n v="43187"/>
    <n v="45700"/>
  </r>
  <r>
    <x v="2455"/>
    <x v="358"/>
    <x v="2"/>
    <x v="0"/>
    <x v="2"/>
    <x v="8"/>
    <s v="Expense"/>
    <n v="99046"/>
    <n v="98500"/>
  </r>
  <r>
    <x v="2456"/>
    <x v="358"/>
    <x v="3"/>
    <x v="0"/>
    <x v="2"/>
    <x v="3"/>
    <s v="Revenue"/>
    <n v="113091"/>
    <n v="114300"/>
  </r>
  <r>
    <x v="2457"/>
    <x v="358"/>
    <x v="4"/>
    <x v="0"/>
    <x v="1"/>
    <x v="8"/>
    <s v="Expense"/>
    <n v="110364"/>
    <n v="113900"/>
  </r>
  <r>
    <x v="2458"/>
    <x v="359"/>
    <x v="1"/>
    <x v="0"/>
    <x v="1"/>
    <x v="4"/>
    <s v="Revenue"/>
    <n v="25245"/>
    <n v="28800"/>
  </r>
  <r>
    <x v="2459"/>
    <x v="359"/>
    <x v="1"/>
    <x v="0"/>
    <x v="1"/>
    <x v="4"/>
    <s v="Revenue"/>
    <n v="146420"/>
    <n v="150200"/>
  </r>
  <r>
    <x v="2460"/>
    <x v="359"/>
    <x v="2"/>
    <x v="0"/>
    <x v="2"/>
    <x v="8"/>
    <s v="Expense"/>
    <n v="107280"/>
    <n v="110200"/>
  </r>
  <r>
    <x v="2461"/>
    <x v="360"/>
    <x v="7"/>
    <x v="0"/>
    <x v="2"/>
    <x v="4"/>
    <s v="Revenue"/>
    <n v="117797"/>
    <n v="109200"/>
  </r>
  <r>
    <x v="2462"/>
    <x v="360"/>
    <x v="7"/>
    <x v="0"/>
    <x v="2"/>
    <x v="4"/>
    <s v="Revenue"/>
    <n v="137642"/>
    <n v="146000"/>
  </r>
  <r>
    <x v="2463"/>
    <x v="360"/>
    <x v="1"/>
    <x v="0"/>
    <x v="1"/>
    <x v="8"/>
    <s v="Expense"/>
    <n v="50809"/>
    <n v="49300"/>
  </r>
  <r>
    <x v="2464"/>
    <x v="360"/>
    <x v="5"/>
    <x v="0"/>
    <x v="3"/>
    <x v="8"/>
    <s v="Expense"/>
    <n v="36277"/>
    <n v="31600"/>
  </r>
  <r>
    <x v="2465"/>
    <x v="360"/>
    <x v="3"/>
    <x v="0"/>
    <x v="2"/>
    <x v="10"/>
    <s v="Expense"/>
    <n v="53412"/>
    <n v="51100"/>
  </r>
  <r>
    <x v="2466"/>
    <x v="360"/>
    <x v="4"/>
    <x v="0"/>
    <x v="1"/>
    <x v="5"/>
    <s v="Expense"/>
    <n v="30110"/>
    <n v="35600"/>
  </r>
  <r>
    <x v="2467"/>
    <x v="360"/>
    <x v="4"/>
    <x v="0"/>
    <x v="1"/>
    <x v="6"/>
    <s v="Expense"/>
    <n v="87496"/>
    <n v="94200"/>
  </r>
  <r>
    <x v="2468"/>
    <x v="360"/>
    <x v="6"/>
    <x v="0"/>
    <x v="3"/>
    <x v="8"/>
    <s v="Expense"/>
    <n v="116186"/>
    <n v="99800"/>
  </r>
  <r>
    <x v="2469"/>
    <x v="361"/>
    <x v="0"/>
    <x v="0"/>
    <x v="0"/>
    <x v="7"/>
    <s v="Revenue"/>
    <n v="147391"/>
    <n v="162700"/>
  </r>
  <r>
    <x v="2470"/>
    <x v="361"/>
    <x v="1"/>
    <x v="0"/>
    <x v="1"/>
    <x v="9"/>
    <s v="Expense"/>
    <n v="86673"/>
    <n v="101300"/>
  </r>
  <r>
    <x v="2471"/>
    <x v="361"/>
    <x v="1"/>
    <x v="0"/>
    <x v="1"/>
    <x v="1"/>
    <s v="Expense"/>
    <n v="42301"/>
    <n v="35800"/>
  </r>
  <r>
    <x v="2472"/>
    <x v="361"/>
    <x v="1"/>
    <x v="0"/>
    <x v="1"/>
    <x v="2"/>
    <s v="Revenue"/>
    <n v="50578"/>
    <n v="52500"/>
  </r>
  <r>
    <x v="2473"/>
    <x v="361"/>
    <x v="5"/>
    <x v="0"/>
    <x v="3"/>
    <x v="3"/>
    <s v="Revenue"/>
    <n v="211949"/>
    <n v="200600"/>
  </r>
  <r>
    <x v="2474"/>
    <x v="361"/>
    <x v="2"/>
    <x v="0"/>
    <x v="2"/>
    <x v="8"/>
    <s v="Expense"/>
    <n v="74946"/>
    <n v="75500"/>
  </r>
  <r>
    <x v="2475"/>
    <x v="361"/>
    <x v="2"/>
    <x v="0"/>
    <x v="2"/>
    <x v="0"/>
    <s v="Revenue"/>
    <n v="153103"/>
    <n v="137200"/>
  </r>
  <r>
    <x v="2476"/>
    <x v="361"/>
    <x v="3"/>
    <x v="0"/>
    <x v="2"/>
    <x v="11"/>
    <s v="Revenue"/>
    <n v="72227"/>
    <n v="66500"/>
  </r>
  <r>
    <x v="2477"/>
    <x v="361"/>
    <x v="4"/>
    <x v="0"/>
    <x v="1"/>
    <x v="9"/>
    <s v="Expense"/>
    <n v="17699"/>
    <n v="16600"/>
  </r>
  <r>
    <x v="2478"/>
    <x v="361"/>
    <x v="4"/>
    <x v="0"/>
    <x v="1"/>
    <x v="8"/>
    <s v="Expense"/>
    <n v="78762"/>
    <n v="77600"/>
  </r>
  <r>
    <x v="2479"/>
    <x v="361"/>
    <x v="6"/>
    <x v="0"/>
    <x v="3"/>
    <x v="10"/>
    <s v="Expense"/>
    <n v="33368"/>
    <n v="32700"/>
  </r>
  <r>
    <x v="2480"/>
    <x v="362"/>
    <x v="7"/>
    <x v="0"/>
    <x v="2"/>
    <x v="1"/>
    <s v="Expense"/>
    <n v="17816"/>
    <n v="15000"/>
  </r>
  <r>
    <x v="2481"/>
    <x v="362"/>
    <x v="0"/>
    <x v="0"/>
    <x v="0"/>
    <x v="6"/>
    <s v="Expense"/>
    <n v="96994"/>
    <n v="114000"/>
  </r>
  <r>
    <x v="2482"/>
    <x v="362"/>
    <x v="5"/>
    <x v="0"/>
    <x v="3"/>
    <x v="5"/>
    <s v="Expense"/>
    <n v="54671"/>
    <n v="54500"/>
  </r>
  <r>
    <x v="2483"/>
    <x v="362"/>
    <x v="3"/>
    <x v="0"/>
    <x v="2"/>
    <x v="4"/>
    <s v="Revenue"/>
    <n v="136526"/>
    <n v="150500"/>
  </r>
  <r>
    <x v="2484"/>
    <x v="362"/>
    <x v="6"/>
    <x v="0"/>
    <x v="3"/>
    <x v="6"/>
    <s v="Expense"/>
    <n v="70310"/>
    <n v="66800"/>
  </r>
  <r>
    <x v="2485"/>
    <x v="362"/>
    <x v="6"/>
    <x v="0"/>
    <x v="3"/>
    <x v="9"/>
    <s v="Expense"/>
    <n v="64096"/>
    <n v="67100"/>
  </r>
  <r>
    <x v="2486"/>
    <x v="362"/>
    <x v="6"/>
    <x v="0"/>
    <x v="3"/>
    <x v="2"/>
    <s v="Revenue"/>
    <n v="30395"/>
    <n v="27300"/>
  </r>
  <r>
    <x v="2487"/>
    <x v="362"/>
    <x v="6"/>
    <x v="0"/>
    <x v="3"/>
    <x v="2"/>
    <s v="Revenue"/>
    <n v="209451"/>
    <n v="230200"/>
  </r>
  <r>
    <x v="2488"/>
    <x v="363"/>
    <x v="2"/>
    <x v="0"/>
    <x v="2"/>
    <x v="6"/>
    <s v="Expense"/>
    <n v="42605"/>
    <n v="41100"/>
  </r>
  <r>
    <x v="2489"/>
    <x v="363"/>
    <x v="3"/>
    <x v="0"/>
    <x v="2"/>
    <x v="0"/>
    <s v="Revenue"/>
    <n v="164949"/>
    <n v="150300"/>
  </r>
  <r>
    <x v="2490"/>
    <x v="363"/>
    <x v="3"/>
    <x v="0"/>
    <x v="2"/>
    <x v="4"/>
    <s v="Revenue"/>
    <n v="244751"/>
    <n v="244200"/>
  </r>
  <r>
    <x v="2491"/>
    <x v="363"/>
    <x v="6"/>
    <x v="0"/>
    <x v="3"/>
    <x v="4"/>
    <s v="Revenue"/>
    <n v="174105"/>
    <n v="180600"/>
  </r>
  <r>
    <x v="2492"/>
    <x v="364"/>
    <x v="7"/>
    <x v="0"/>
    <x v="2"/>
    <x v="1"/>
    <s v="Expense"/>
    <n v="33073"/>
    <n v="34800"/>
  </r>
  <r>
    <x v="2493"/>
    <x v="364"/>
    <x v="0"/>
    <x v="0"/>
    <x v="0"/>
    <x v="3"/>
    <s v="Revenue"/>
    <n v="100462"/>
    <n v="102900"/>
  </r>
  <r>
    <x v="2494"/>
    <x v="364"/>
    <x v="0"/>
    <x v="0"/>
    <x v="0"/>
    <x v="2"/>
    <s v="Revenue"/>
    <n v="148993"/>
    <n v="167900"/>
  </r>
  <r>
    <x v="2495"/>
    <x v="364"/>
    <x v="1"/>
    <x v="0"/>
    <x v="1"/>
    <x v="5"/>
    <s v="Expense"/>
    <n v="27225"/>
    <n v="27300"/>
  </r>
  <r>
    <x v="2496"/>
    <x v="364"/>
    <x v="1"/>
    <x v="0"/>
    <x v="1"/>
    <x v="8"/>
    <s v="Expense"/>
    <n v="89829"/>
    <n v="78100"/>
  </r>
  <r>
    <x v="2497"/>
    <x v="364"/>
    <x v="1"/>
    <x v="0"/>
    <x v="1"/>
    <x v="10"/>
    <s v="Expense"/>
    <n v="95466"/>
    <n v="87100"/>
  </r>
  <r>
    <x v="2498"/>
    <x v="364"/>
    <x v="4"/>
    <x v="0"/>
    <x v="1"/>
    <x v="5"/>
    <s v="Expense"/>
    <n v="82375"/>
    <n v="87700"/>
  </r>
  <r>
    <x v="2499"/>
    <x v="364"/>
    <x v="4"/>
    <x v="0"/>
    <x v="1"/>
    <x v="7"/>
    <s v="Revenue"/>
    <n v="129402"/>
    <n v="1413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166735100"/>
    <s v="UNFAVORABLE"/>
  </r>
  <r>
    <x v="1"/>
    <m/>
    <m/>
  </r>
  <r>
    <x v="2"/>
    <n v="167418963"/>
    <m/>
  </r>
  <r>
    <x v="1"/>
    <m/>
    <m/>
  </r>
  <r>
    <x v="3"/>
    <n v="-4.0847403886977848E-3"/>
    <m/>
  </r>
  <r>
    <x v="1"/>
    <m/>
    <m/>
  </r>
  <r>
    <x v="4"/>
    <n v="85172500"/>
    <s v="FAVORABLE"/>
  </r>
  <r>
    <x v="1"/>
    <m/>
    <m/>
  </r>
  <r>
    <x v="5"/>
    <n v="85278652"/>
    <m/>
  </r>
  <r>
    <x v="1"/>
    <m/>
    <m/>
  </r>
  <r>
    <x v="6"/>
    <n v="1.2447663924143643E-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6BF811-352B-456E-B369-0FC34D17F88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11" firstHeaderRow="1" firstDataRow="1" firstDataCol="1"/>
  <pivotFields count="3">
    <pivotField axis="axisRow" showAll="0">
      <items count="8">
        <item x="6"/>
        <item x="3"/>
        <item x="4"/>
        <item x="0"/>
        <item x="5"/>
        <item x="2"/>
        <item x="1"/>
        <item t="default"/>
      </items>
    </pivotField>
    <pivotField dataField="1" showAll="0"/>
    <pivotField showAll="0"/>
  </pivotFields>
  <rowFields count="1">
    <field x="0"/>
  </rowFields>
  <rowItems count="8">
    <i>
      <x/>
    </i>
    <i>
      <x v="1"/>
    </i>
    <i>
      <x v="2"/>
    </i>
    <i>
      <x v="3"/>
    </i>
    <i>
      <x v="4"/>
    </i>
    <i>
      <x v="5"/>
    </i>
    <i>
      <x v="6"/>
    </i>
    <i t="grand">
      <x/>
    </i>
  </rowItems>
  <colItems count="1">
    <i/>
  </colItems>
  <dataFields count="1">
    <dataField name="Sum of 2025" fld="1" baseField="0" baseItem="0"/>
  </dataFields>
  <formats count="2">
    <format dxfId="328">
      <pivotArea collapsedLevelsAreSubtotals="1" fieldPosition="0">
        <references count="1">
          <reference field="0" count="1">
            <x v="1"/>
          </reference>
        </references>
      </pivotArea>
    </format>
    <format dxfId="325">
      <pivotArea collapsedLevelsAreSubtotals="1" fieldPosition="0">
        <references count="1">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DAC3C6-05B5-4458-A5F4-E89EE156EAF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F3:H8" firstHeaderRow="0" firstDataRow="1" firstDataCol="1"/>
  <pivotFields count="11">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showAll="0"/>
    <pivotField axis="axisRow"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12">
    <format dxfId="341">
      <pivotArea type="all" dataOnly="0" outline="0" fieldPosition="0"/>
    </format>
    <format dxfId="340">
      <pivotArea outline="0" collapsedLevelsAreSubtotals="1" fieldPosition="0"/>
    </format>
    <format dxfId="339">
      <pivotArea field="4" type="button" dataOnly="0" labelOnly="1" outline="0" axis="axisRow" fieldPosition="0"/>
    </format>
    <format dxfId="338">
      <pivotArea dataOnly="0" labelOnly="1" fieldPosition="0">
        <references count="1">
          <reference field="4" count="0"/>
        </references>
      </pivotArea>
    </format>
    <format dxfId="337">
      <pivotArea dataOnly="0" labelOnly="1" grandRow="1" outline="0" fieldPosition="0"/>
    </format>
    <format dxfId="336">
      <pivotArea dataOnly="0" labelOnly="1" outline="0" fieldPosition="0">
        <references count="1">
          <reference field="4294967294" count="2">
            <x v="0"/>
            <x v="1"/>
          </reference>
        </references>
      </pivotArea>
    </format>
    <format dxfId="335">
      <pivotArea type="all" dataOnly="0" outline="0" fieldPosition="0"/>
    </format>
    <format dxfId="334">
      <pivotArea outline="0" collapsedLevelsAreSubtotals="1" fieldPosition="0"/>
    </format>
    <format dxfId="333">
      <pivotArea field="4" type="button" dataOnly="0" labelOnly="1" outline="0" axis="axisRow" fieldPosition="0"/>
    </format>
    <format dxfId="332">
      <pivotArea dataOnly="0" labelOnly="1" fieldPosition="0">
        <references count="1">
          <reference field="4" count="0"/>
        </references>
      </pivotArea>
    </format>
    <format dxfId="331">
      <pivotArea dataOnly="0" labelOnly="1" grandRow="1" outline="0" fieldPosition="0"/>
    </format>
    <format dxfId="330">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064DAC-8E67-437B-AD49-41C2BC544A3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N5:P18" firstHeaderRow="0" firstDataRow="1" firstDataCol="1"/>
  <pivotFields count="11">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showAll="0"/>
    <pivotField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10">
    <format dxfId="351">
      <pivotArea type="all" dataOnly="0" outline="0" fieldPosition="0"/>
    </format>
    <format dxfId="350">
      <pivotArea outline="0" collapsedLevelsAreSubtotals="1" fieldPosition="0"/>
    </format>
    <format dxfId="349">
      <pivotArea field="4" type="button" dataOnly="0" labelOnly="1" outline="0"/>
    </format>
    <format dxfId="348">
      <pivotArea dataOnly="0" labelOnly="1" grandRow="1" outline="0" fieldPosition="0"/>
    </format>
    <format dxfId="347">
      <pivotArea dataOnly="0" labelOnly="1" outline="0" fieldPosition="0">
        <references count="1">
          <reference field="4294967294" count="2">
            <x v="0"/>
            <x v="1"/>
          </reference>
        </references>
      </pivotArea>
    </format>
    <format dxfId="346">
      <pivotArea type="all" dataOnly="0" outline="0" fieldPosition="0"/>
    </format>
    <format dxfId="345">
      <pivotArea outline="0" collapsedLevelsAreSubtotals="1" fieldPosition="0"/>
    </format>
    <format dxfId="344">
      <pivotArea field="4" type="button" dataOnly="0" labelOnly="1" outline="0"/>
    </format>
    <format dxfId="343">
      <pivotArea dataOnly="0" labelOnly="1" grandRow="1" outline="0" fieldPosition="0"/>
    </format>
    <format dxfId="342">
      <pivotArea dataOnly="0" labelOnly="1" outline="0" fieldPosition="0">
        <references count="1">
          <reference field="4294967294" count="2">
            <x v="0"/>
            <x v="1"/>
          </reference>
        </references>
      </pivotArea>
    </format>
  </formats>
  <chartFormats count="26">
    <chartFormat chart="2" format="28" series="1">
      <pivotArea type="data" outline="0" fieldPosition="0">
        <references count="1">
          <reference field="4294967294" count="1" selected="0">
            <x v="0"/>
          </reference>
        </references>
      </pivotArea>
    </chartFormat>
    <chartFormat chart="2" format="29">
      <pivotArea type="data" outline="0" fieldPosition="0">
        <references count="2">
          <reference field="4294967294" count="1" selected="0">
            <x v="0"/>
          </reference>
          <reference field="9" count="1" selected="0">
            <x v="1"/>
          </reference>
        </references>
      </pivotArea>
    </chartFormat>
    <chartFormat chart="2" format="30">
      <pivotArea type="data" outline="0" fieldPosition="0">
        <references count="2">
          <reference field="4294967294" count="1" selected="0">
            <x v="0"/>
          </reference>
          <reference field="9" count="1" selected="0">
            <x v="2"/>
          </reference>
        </references>
      </pivotArea>
    </chartFormat>
    <chartFormat chart="2" format="31">
      <pivotArea type="data" outline="0" fieldPosition="0">
        <references count="2">
          <reference field="4294967294" count="1" selected="0">
            <x v="0"/>
          </reference>
          <reference field="9" count="1" selected="0">
            <x v="3"/>
          </reference>
        </references>
      </pivotArea>
    </chartFormat>
    <chartFormat chart="2" format="32">
      <pivotArea type="data" outline="0" fieldPosition="0">
        <references count="2">
          <reference field="4294967294" count="1" selected="0">
            <x v="0"/>
          </reference>
          <reference field="9" count="1" selected="0">
            <x v="4"/>
          </reference>
        </references>
      </pivotArea>
    </chartFormat>
    <chartFormat chart="2" format="33">
      <pivotArea type="data" outline="0" fieldPosition="0">
        <references count="2">
          <reference field="4294967294" count="1" selected="0">
            <x v="0"/>
          </reference>
          <reference field="9" count="1" selected="0">
            <x v="5"/>
          </reference>
        </references>
      </pivotArea>
    </chartFormat>
    <chartFormat chart="2" format="34">
      <pivotArea type="data" outline="0" fieldPosition="0">
        <references count="2">
          <reference field="4294967294" count="1" selected="0">
            <x v="0"/>
          </reference>
          <reference field="9" count="1" selected="0">
            <x v="6"/>
          </reference>
        </references>
      </pivotArea>
    </chartFormat>
    <chartFormat chart="2" format="35">
      <pivotArea type="data" outline="0" fieldPosition="0">
        <references count="2">
          <reference field="4294967294" count="1" selected="0">
            <x v="0"/>
          </reference>
          <reference field="9" count="1" selected="0">
            <x v="7"/>
          </reference>
        </references>
      </pivotArea>
    </chartFormat>
    <chartFormat chart="2" format="36">
      <pivotArea type="data" outline="0" fieldPosition="0">
        <references count="2">
          <reference field="4294967294" count="1" selected="0">
            <x v="0"/>
          </reference>
          <reference field="9" count="1" selected="0">
            <x v="8"/>
          </reference>
        </references>
      </pivotArea>
    </chartFormat>
    <chartFormat chart="2" format="37">
      <pivotArea type="data" outline="0" fieldPosition="0">
        <references count="2">
          <reference field="4294967294" count="1" selected="0">
            <x v="0"/>
          </reference>
          <reference field="9" count="1" selected="0">
            <x v="9"/>
          </reference>
        </references>
      </pivotArea>
    </chartFormat>
    <chartFormat chart="2" format="38">
      <pivotArea type="data" outline="0" fieldPosition="0">
        <references count="2">
          <reference field="4294967294" count="1" selected="0">
            <x v="0"/>
          </reference>
          <reference field="9" count="1" selected="0">
            <x v="10"/>
          </reference>
        </references>
      </pivotArea>
    </chartFormat>
    <chartFormat chart="2" format="39">
      <pivotArea type="data" outline="0" fieldPosition="0">
        <references count="2">
          <reference field="4294967294" count="1" selected="0">
            <x v="0"/>
          </reference>
          <reference field="9" count="1" selected="0">
            <x v="11"/>
          </reference>
        </references>
      </pivotArea>
    </chartFormat>
    <chartFormat chart="2" format="40">
      <pivotArea type="data" outline="0" fieldPosition="0">
        <references count="2">
          <reference field="4294967294" count="1" selected="0">
            <x v="0"/>
          </reference>
          <reference field="9" count="1" selected="0">
            <x v="12"/>
          </reference>
        </references>
      </pivotArea>
    </chartFormat>
    <chartFormat chart="2" format="41" series="1">
      <pivotArea type="data" outline="0" fieldPosition="0">
        <references count="1">
          <reference field="4294967294" count="1" selected="0">
            <x v="1"/>
          </reference>
        </references>
      </pivotArea>
    </chartFormat>
    <chartFormat chart="2" format="42">
      <pivotArea type="data" outline="0" fieldPosition="0">
        <references count="2">
          <reference field="4294967294" count="1" selected="0">
            <x v="1"/>
          </reference>
          <reference field="9" count="1" selected="0">
            <x v="1"/>
          </reference>
        </references>
      </pivotArea>
    </chartFormat>
    <chartFormat chart="2" format="43">
      <pivotArea type="data" outline="0" fieldPosition="0">
        <references count="2">
          <reference field="4294967294" count="1" selected="0">
            <x v="1"/>
          </reference>
          <reference field="9" count="1" selected="0">
            <x v="2"/>
          </reference>
        </references>
      </pivotArea>
    </chartFormat>
    <chartFormat chart="2" format="44">
      <pivotArea type="data" outline="0" fieldPosition="0">
        <references count="2">
          <reference field="4294967294" count="1" selected="0">
            <x v="1"/>
          </reference>
          <reference field="9" count="1" selected="0">
            <x v="3"/>
          </reference>
        </references>
      </pivotArea>
    </chartFormat>
    <chartFormat chart="2" format="45">
      <pivotArea type="data" outline="0" fieldPosition="0">
        <references count="2">
          <reference field="4294967294" count="1" selected="0">
            <x v="1"/>
          </reference>
          <reference field="9" count="1" selected="0">
            <x v="4"/>
          </reference>
        </references>
      </pivotArea>
    </chartFormat>
    <chartFormat chart="2" format="46">
      <pivotArea type="data" outline="0" fieldPosition="0">
        <references count="2">
          <reference field="4294967294" count="1" selected="0">
            <x v="1"/>
          </reference>
          <reference field="9" count="1" selected="0">
            <x v="5"/>
          </reference>
        </references>
      </pivotArea>
    </chartFormat>
    <chartFormat chart="2" format="47">
      <pivotArea type="data" outline="0" fieldPosition="0">
        <references count="2">
          <reference field="4294967294" count="1" selected="0">
            <x v="1"/>
          </reference>
          <reference field="9" count="1" selected="0">
            <x v="6"/>
          </reference>
        </references>
      </pivotArea>
    </chartFormat>
    <chartFormat chart="2" format="48">
      <pivotArea type="data" outline="0" fieldPosition="0">
        <references count="2">
          <reference field="4294967294" count="1" selected="0">
            <x v="1"/>
          </reference>
          <reference field="9" count="1" selected="0">
            <x v="7"/>
          </reference>
        </references>
      </pivotArea>
    </chartFormat>
    <chartFormat chart="2" format="49">
      <pivotArea type="data" outline="0" fieldPosition="0">
        <references count="2">
          <reference field="4294967294" count="1" selected="0">
            <x v="1"/>
          </reference>
          <reference field="9" count="1" selected="0">
            <x v="8"/>
          </reference>
        </references>
      </pivotArea>
    </chartFormat>
    <chartFormat chart="2" format="50">
      <pivotArea type="data" outline="0" fieldPosition="0">
        <references count="2">
          <reference field="4294967294" count="1" selected="0">
            <x v="1"/>
          </reference>
          <reference field="9" count="1" selected="0">
            <x v="9"/>
          </reference>
        </references>
      </pivotArea>
    </chartFormat>
    <chartFormat chart="2" format="51">
      <pivotArea type="data" outline="0" fieldPosition="0">
        <references count="2">
          <reference field="4294967294" count="1" selected="0">
            <x v="1"/>
          </reference>
          <reference field="9" count="1" selected="0">
            <x v="10"/>
          </reference>
        </references>
      </pivotArea>
    </chartFormat>
    <chartFormat chart="2" format="52">
      <pivotArea type="data" outline="0" fieldPosition="0">
        <references count="2">
          <reference field="4294967294" count="1" selected="0">
            <x v="1"/>
          </reference>
          <reference field="9" count="1" selected="0">
            <x v="11"/>
          </reference>
        </references>
      </pivotArea>
    </chartFormat>
    <chartFormat chart="2" format="53">
      <pivotArea type="data" outline="0" fieldPosition="0">
        <references count="2">
          <reference field="4294967294" count="1" selected="0">
            <x v="1"/>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8FAD3C-5A30-49AF-980D-DE8FEBA9CE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11">
    <pivotField showAll="0"/>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9">
        <item x="7"/>
        <item x="0"/>
        <item x="1"/>
        <item x="5"/>
        <item x="2"/>
        <item x="3"/>
        <item x="4"/>
        <item x="6"/>
        <item t="default"/>
      </items>
    </pivotField>
    <pivotField showAll="0"/>
    <pivotField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9">
    <i>
      <x/>
    </i>
    <i>
      <x v="1"/>
    </i>
    <i>
      <x v="2"/>
    </i>
    <i>
      <x v="3"/>
    </i>
    <i>
      <x v="4"/>
    </i>
    <i>
      <x v="5"/>
    </i>
    <i>
      <x v="6"/>
    </i>
    <i>
      <x v="7"/>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6">
    <format dxfId="357">
      <pivotArea type="all" dataOnly="0" outline="0" fieldPosition="0"/>
    </format>
    <format dxfId="356">
      <pivotArea outline="0" collapsedLevelsAreSubtotals="1" fieldPosition="0"/>
    </format>
    <format dxfId="355">
      <pivotArea field="2" type="button" dataOnly="0" labelOnly="1" outline="0" axis="axisRow" fieldPosition="0"/>
    </format>
    <format dxfId="354">
      <pivotArea dataOnly="0" labelOnly="1" fieldPosition="0">
        <references count="1">
          <reference field="2" count="0"/>
        </references>
      </pivotArea>
    </format>
    <format dxfId="353">
      <pivotArea dataOnly="0" labelOnly="1" grandRow="1" outline="0" fieldPosition="0"/>
    </format>
    <format dxfId="35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64CD85-C75B-43BC-A037-F5BBE6DD4BB8}"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F28:H30" firstHeaderRow="0" firstDataRow="1" firstDataCol="1"/>
  <pivotFields count="11">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axis="axisRow" showAll="0">
      <items count="2">
        <item x="0"/>
        <item t="default"/>
      </items>
    </pivotField>
    <pivotField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2">
    <i>
      <x/>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6">
    <format dxfId="363">
      <pivotArea type="all" dataOnly="0" outline="0" fieldPosition="0"/>
    </format>
    <format dxfId="362">
      <pivotArea outline="0" collapsedLevelsAreSubtotals="1" fieldPosition="0"/>
    </format>
    <format dxfId="361">
      <pivotArea field="3" type="button" dataOnly="0" labelOnly="1" outline="0" axis="axisRow" fieldPosition="0"/>
    </format>
    <format dxfId="360">
      <pivotArea dataOnly="0" labelOnly="1" fieldPosition="0">
        <references count="1">
          <reference field="3" count="0"/>
        </references>
      </pivotArea>
    </format>
    <format dxfId="359">
      <pivotArea dataOnly="0" labelOnly="1" grandRow="1" outline="0" fieldPosition="0"/>
    </format>
    <format dxfId="358">
      <pivotArea dataOnly="0" labelOnly="1" outline="0" fieldPosition="0">
        <references count="1">
          <reference field="4294967294" count="2">
            <x v="0"/>
            <x v="1"/>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18D0DF-9DB1-4DF4-A02A-A6A4604E9C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397" firstHeaderRow="0" firstDataRow="1" firstDataCol="1"/>
  <pivotFields count="11">
    <pivotField showAll="0"/>
    <pivotField axis="axisRow"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showAll="0"/>
    <pivotField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3">
    <field x="10"/>
    <field x="9"/>
    <field x="1"/>
  </rowFields>
  <rowItems count="382">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1">
      <x v="2"/>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1">
      <x v="3"/>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x v="2"/>
    </i>
    <i r="1">
      <x v="4"/>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1">
      <x v="5"/>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1">
      <x v="6"/>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x v="3"/>
    </i>
    <i r="1">
      <x v="7"/>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1">
      <x v="8"/>
    </i>
    <i r="2">
      <x v="212"/>
    </i>
    <i r="2">
      <x v="213"/>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1">
      <x v="9"/>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x v="4"/>
    </i>
    <i r="1">
      <x v="10"/>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1">
      <x v="11"/>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1">
      <x v="12"/>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4">
    <format dxfId="367">
      <pivotArea type="all" dataOnly="0" outline="0" fieldPosition="0"/>
    </format>
    <format dxfId="366">
      <pivotArea outline="0" collapsedLevelsAreSubtotals="1" fieldPosition="0"/>
    </format>
    <format dxfId="365">
      <pivotArea dataOnly="0" labelOnly="1" grandRow="1" outline="0" fieldPosition="0"/>
    </format>
    <format dxfId="36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AAB6CF-D162-400D-9E21-6A31FDC239C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F12:H25" firstHeaderRow="0" firstDataRow="1" firstDataCol="1"/>
  <pivotFields count="11">
    <pivotField showAll="0"/>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showAll="0"/>
    <pivotField showAll="0">
      <items count="5">
        <item x="3"/>
        <item x="0"/>
        <item x="2"/>
        <item x="1"/>
        <item t="default"/>
      </items>
    </pivotField>
    <pivotField axis="axisRow" showAll="0">
      <items count="13">
        <item x="1"/>
        <item x="0"/>
        <item x="7"/>
        <item x="4"/>
        <item x="10"/>
        <item x="6"/>
        <item x="5"/>
        <item x="3"/>
        <item x="9"/>
        <item x="11"/>
        <item x="2"/>
        <item x="8"/>
        <item t="default"/>
      </items>
    </pivotField>
    <pivotField showAll="0"/>
    <pivotField dataField="1"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6">
    <format dxfId="373">
      <pivotArea type="all" dataOnly="0" outline="0" fieldPosition="0"/>
    </format>
    <format dxfId="372">
      <pivotArea outline="0" collapsedLevelsAreSubtotals="1" fieldPosition="0"/>
    </format>
    <format dxfId="371">
      <pivotArea field="5" type="button" dataOnly="0" labelOnly="1" outline="0" axis="axisRow" fieldPosition="0"/>
    </format>
    <format dxfId="370">
      <pivotArea dataOnly="0" labelOnly="1" fieldPosition="0">
        <references count="1">
          <reference field="5" count="0"/>
        </references>
      </pivotArea>
    </format>
    <format dxfId="369">
      <pivotArea dataOnly="0" labelOnly="1" grandRow="1" outline="0" fieldPosition="0"/>
    </format>
    <format dxfId="368">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A93FFD-167D-4D35-9AF6-3136003A3EF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J8:L25" firstHeaderRow="0" firstDataRow="1" firstDataCol="1"/>
  <pivotFields count="11">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showAll="0"/>
    <pivotField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0"/>
    <field x="9"/>
  </rowFields>
  <rowItems count="17">
    <i>
      <x v="1"/>
    </i>
    <i r="1">
      <x v="1"/>
    </i>
    <i r="1">
      <x v="2"/>
    </i>
    <i r="1">
      <x v="3"/>
    </i>
    <i>
      <x v="2"/>
    </i>
    <i r="1">
      <x v="4"/>
    </i>
    <i r="1">
      <x v="5"/>
    </i>
    <i r="1">
      <x v="6"/>
    </i>
    <i>
      <x v="3"/>
    </i>
    <i r="1">
      <x v="7"/>
    </i>
    <i r="1">
      <x v="8"/>
    </i>
    <i r="1">
      <x v="9"/>
    </i>
    <i>
      <x v="4"/>
    </i>
    <i r="1">
      <x v="10"/>
    </i>
    <i r="1">
      <x v="11"/>
    </i>
    <i r="1">
      <x v="12"/>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10">
    <format dxfId="383">
      <pivotArea type="all" dataOnly="0" outline="0" fieldPosition="0"/>
    </format>
    <format dxfId="382">
      <pivotArea outline="0" collapsedLevelsAreSubtotals="1" fieldPosition="0"/>
    </format>
    <format dxfId="381">
      <pivotArea field="4" type="button" dataOnly="0" labelOnly="1" outline="0"/>
    </format>
    <format dxfId="380">
      <pivotArea dataOnly="0" labelOnly="1" grandRow="1" outline="0" fieldPosition="0"/>
    </format>
    <format dxfId="379">
      <pivotArea dataOnly="0" labelOnly="1" outline="0" fieldPosition="0">
        <references count="1">
          <reference field="4294967294" count="2">
            <x v="0"/>
            <x v="1"/>
          </reference>
        </references>
      </pivotArea>
    </format>
    <format dxfId="378">
      <pivotArea type="all" dataOnly="0" outline="0" fieldPosition="0"/>
    </format>
    <format dxfId="377">
      <pivotArea outline="0" collapsedLevelsAreSubtotals="1" fieldPosition="0"/>
    </format>
    <format dxfId="376">
      <pivotArea field="4" type="button" dataOnly="0" labelOnly="1" outline="0"/>
    </format>
    <format dxfId="375">
      <pivotArea dataOnly="0" labelOnly="1" grandRow="1" outline="0" fieldPosition="0"/>
    </format>
    <format dxfId="374">
      <pivotArea dataOnly="0" labelOnly="1" outline="0" fieldPosition="0">
        <references count="1">
          <reference field="4294967294" count="2">
            <x v="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3">
          <reference field="4294967294" count="1" selected="0">
            <x v="1"/>
          </reference>
          <reference field="9" count="1" selected="0">
            <x v="12"/>
          </reference>
          <reference field="10" count="1" selected="0">
            <x v="4"/>
          </reference>
        </references>
      </pivotArea>
    </chartFormat>
    <chartFormat chart="2" format="7">
      <pivotArea type="data" outline="0" fieldPosition="0">
        <references count="3">
          <reference field="4294967294" count="1" selected="0">
            <x v="1"/>
          </reference>
          <reference field="9"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5073DD2-4387-4D4D-AE5D-59B2F49AC03A}" sourceName="Department">
  <pivotTables>
    <pivotTable tabId="3" name="PivotTable1"/>
    <pivotTable tabId="3" name="PivotTable2"/>
    <pivotTable tabId="3" name="PivotTable3"/>
    <pivotTable tabId="3" name="PivotTable4"/>
    <pivotTable tabId="3" name="PivotTable5"/>
    <pivotTable tabId="3" name="PivotTable6"/>
    <pivotTable tabId="3" name="PivotTable9"/>
  </pivotTables>
  <data>
    <tabular pivotCacheId="1041892459">
      <items count="8">
        <i x="7" s="1"/>
        <i x="0" s="1"/>
        <i x="1" s="1"/>
        <i x="5" s="1"/>
        <i x="2" s="1"/>
        <i x="3"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2BEC6DE4-200A-4ECD-B6B7-D0966F84FF85}" sourceName="Business Unit">
  <pivotTables>
    <pivotTable tabId="3" name="PivotTable1"/>
    <pivotTable tabId="3" name="PivotTable2"/>
    <pivotTable tabId="3" name="PivotTable3"/>
    <pivotTable tabId="3" name="PivotTable4"/>
    <pivotTable tabId="3" name="PivotTable5"/>
    <pivotTable tabId="3" name="PivotTable6"/>
    <pivotTable tabId="3" name="PivotTable9"/>
  </pivotTables>
  <data>
    <tabular pivotCacheId="1041892459">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C158B8-83DB-4BF5-834D-24C5C84E3E31}" sourceName="Category">
  <pivotTables>
    <pivotTable tabId="3" name="PivotTable1"/>
    <pivotTable tabId="3" name="PivotTable2"/>
    <pivotTable tabId="3" name="PivotTable3"/>
    <pivotTable tabId="3" name="PivotTable4"/>
    <pivotTable tabId="3" name="PivotTable5"/>
    <pivotTable tabId="3" name="PivotTable6"/>
    <pivotTable tabId="3" name="PivotTable9"/>
  </pivotTables>
  <data>
    <tabular pivotCacheId="1041892459">
      <items count="12">
        <i x="1" s="1"/>
        <i x="0" s="1"/>
        <i x="7" s="1"/>
        <i x="4" s="1"/>
        <i x="10" s="1"/>
        <i x="6" s="1"/>
        <i x="5" s="1"/>
        <i x="3" s="1"/>
        <i x="9" s="1"/>
        <i x="11" s="1"/>
        <i x="2"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D1B2340-074B-4A1F-AB11-1D0A917DA02A}" sourceName="Months (Date)">
  <pivotTables>
    <pivotTable tabId="3" name="PivotTable1"/>
    <pivotTable tabId="3" name="PivotTable2"/>
    <pivotTable tabId="3" name="PivotTable3"/>
    <pivotTable tabId="3" name="PivotTable4"/>
    <pivotTable tabId="3" name="PivotTable5"/>
    <pivotTable tabId="3" name="PivotTable6"/>
    <pivotTable tabId="3" name="PivotTable9"/>
  </pivotTables>
  <data>
    <tabular pivotCacheId="104189245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DE0C252-6721-462B-B5C7-ADC1CD54274A}" cache="Slicer_Department" caption="Department" style="CUSTOM" rowHeight="247650"/>
  <slicer name="Business Unit" xr10:uid="{B2C40D53-67F3-483A-BB0A-B7622D57399D}" cache="Slicer_Business_Unit" caption="Business Unit" style="CUSTOM" rowHeight="247650"/>
  <slicer name="Category" xr10:uid="{A459CCB2-F3A5-40A8-857D-7F59BC55BD6B}" cache="Slicer_Category" caption="Category" style="CUSTOM" rowHeight="247650"/>
  <slicer name="Months (Date)" xr10:uid="{BF7C4A11-BA77-417F-8C31-7313DBD14A69}" cache="Slicer_Months__Date" caption="Months (Date)" style="CUSTOM"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A2498-BCE2-4D11-AA46-E0D399C649F2}">
  <sheetPr codeName="Sheet1"/>
  <dimension ref="A1:I2501"/>
  <sheetViews>
    <sheetView workbookViewId="0">
      <selection activeCell="L14" sqref="L14"/>
    </sheetView>
  </sheetViews>
  <sheetFormatPr defaultRowHeight="14.4" x14ac:dyDescent="0.3"/>
  <cols>
    <col min="1" max="1" width="15" bestFit="1" customWidth="1"/>
    <col min="2" max="2" width="7.109375" bestFit="1" customWidth="1"/>
    <col min="3" max="3" width="15.21875" bestFit="1" customWidth="1"/>
    <col min="4" max="4" width="8.77734375" bestFit="1" customWidth="1"/>
    <col min="5" max="5" width="17.21875" bestFit="1" customWidth="1"/>
    <col min="6" max="6" width="22.21875" bestFit="1" customWidth="1"/>
    <col min="7" max="7" width="7.88671875" bestFit="1" customWidth="1"/>
    <col min="8" max="8" width="15.88671875" bestFit="1" customWidth="1"/>
    <col min="9" max="9" width="15.44140625" bestFit="1" customWidth="1"/>
  </cols>
  <sheetData>
    <row r="1" spans="1:9" x14ac:dyDescent="0.3">
      <c r="A1" t="s">
        <v>0</v>
      </c>
      <c r="B1" t="s">
        <v>1</v>
      </c>
      <c r="C1" t="s">
        <v>2</v>
      </c>
      <c r="D1" t="s">
        <v>3</v>
      </c>
      <c r="E1" t="s">
        <v>4</v>
      </c>
      <c r="F1" t="s">
        <v>5</v>
      </c>
      <c r="G1" t="s">
        <v>6</v>
      </c>
      <c r="H1" t="s">
        <v>7</v>
      </c>
      <c r="I1" t="s">
        <v>8</v>
      </c>
    </row>
    <row r="2" spans="1:9" x14ac:dyDescent="0.3">
      <c r="A2" t="s">
        <v>9</v>
      </c>
      <c r="B2">
        <v>45658</v>
      </c>
      <c r="C2" t="s">
        <v>10</v>
      </c>
      <c r="D2" t="s">
        <v>11</v>
      </c>
      <c r="E2" t="s">
        <v>12</v>
      </c>
      <c r="F2" t="s">
        <v>13</v>
      </c>
      <c r="G2" t="s">
        <v>14</v>
      </c>
      <c r="H2">
        <v>234633</v>
      </c>
      <c r="I2">
        <v>204200</v>
      </c>
    </row>
    <row r="3" spans="1:9" x14ac:dyDescent="0.3">
      <c r="A3" t="s">
        <v>15</v>
      </c>
      <c r="B3">
        <v>45658</v>
      </c>
      <c r="C3" t="s">
        <v>16</v>
      </c>
      <c r="D3" t="s">
        <v>11</v>
      </c>
      <c r="E3" t="s">
        <v>17</v>
      </c>
      <c r="F3" t="s">
        <v>18</v>
      </c>
      <c r="G3" t="s">
        <v>19</v>
      </c>
      <c r="H3">
        <v>29489</v>
      </c>
      <c r="I3">
        <v>26100</v>
      </c>
    </row>
    <row r="4" spans="1:9" x14ac:dyDescent="0.3">
      <c r="A4" t="s">
        <v>20</v>
      </c>
      <c r="B4">
        <v>45658</v>
      </c>
      <c r="C4" t="s">
        <v>21</v>
      </c>
      <c r="D4" t="s">
        <v>11</v>
      </c>
      <c r="E4" t="s">
        <v>22</v>
      </c>
      <c r="F4" t="s">
        <v>23</v>
      </c>
      <c r="G4" t="s">
        <v>14</v>
      </c>
      <c r="H4">
        <v>59413</v>
      </c>
      <c r="I4">
        <v>64500</v>
      </c>
    </row>
    <row r="5" spans="1:9" x14ac:dyDescent="0.3">
      <c r="A5" t="s">
        <v>24</v>
      </c>
      <c r="B5">
        <v>45658</v>
      </c>
      <c r="C5" t="s">
        <v>25</v>
      </c>
      <c r="D5" t="s">
        <v>11</v>
      </c>
      <c r="E5" t="s">
        <v>22</v>
      </c>
      <c r="F5" t="s">
        <v>26</v>
      </c>
      <c r="G5" t="s">
        <v>14</v>
      </c>
      <c r="H5">
        <v>172361</v>
      </c>
      <c r="I5">
        <v>214700</v>
      </c>
    </row>
    <row r="6" spans="1:9" x14ac:dyDescent="0.3">
      <c r="A6" t="s">
        <v>27</v>
      </c>
      <c r="B6">
        <v>45658</v>
      </c>
      <c r="C6" t="s">
        <v>25</v>
      </c>
      <c r="D6" t="s">
        <v>11</v>
      </c>
      <c r="E6" t="s">
        <v>22</v>
      </c>
      <c r="F6" t="s">
        <v>26</v>
      </c>
      <c r="G6" t="s">
        <v>14</v>
      </c>
      <c r="H6">
        <v>238392</v>
      </c>
      <c r="I6">
        <v>237000</v>
      </c>
    </row>
    <row r="7" spans="1:9" x14ac:dyDescent="0.3">
      <c r="A7" t="s">
        <v>28</v>
      </c>
      <c r="B7">
        <v>45658</v>
      </c>
      <c r="C7" t="s">
        <v>25</v>
      </c>
      <c r="D7" t="s">
        <v>11</v>
      </c>
      <c r="E7" t="s">
        <v>22</v>
      </c>
      <c r="F7" t="s">
        <v>26</v>
      </c>
      <c r="G7" t="s">
        <v>14</v>
      </c>
      <c r="H7">
        <v>99794</v>
      </c>
      <c r="I7">
        <v>111400</v>
      </c>
    </row>
    <row r="8" spans="1:9" x14ac:dyDescent="0.3">
      <c r="A8" t="s">
        <v>29</v>
      </c>
      <c r="B8">
        <v>45658</v>
      </c>
      <c r="C8" t="s">
        <v>25</v>
      </c>
      <c r="D8" t="s">
        <v>11</v>
      </c>
      <c r="E8" t="s">
        <v>22</v>
      </c>
      <c r="F8" t="s">
        <v>12</v>
      </c>
      <c r="G8" t="s">
        <v>14</v>
      </c>
      <c r="H8">
        <v>110782</v>
      </c>
      <c r="I8">
        <v>121700</v>
      </c>
    </row>
    <row r="9" spans="1:9" x14ac:dyDescent="0.3">
      <c r="A9" t="s">
        <v>30</v>
      </c>
      <c r="B9">
        <v>45658</v>
      </c>
      <c r="C9" t="s">
        <v>31</v>
      </c>
      <c r="D9" t="s">
        <v>11</v>
      </c>
      <c r="E9" t="s">
        <v>17</v>
      </c>
      <c r="F9" t="s">
        <v>18</v>
      </c>
      <c r="G9" t="s">
        <v>19</v>
      </c>
      <c r="H9">
        <v>82243</v>
      </c>
      <c r="I9">
        <v>78000</v>
      </c>
    </row>
    <row r="10" spans="1:9" x14ac:dyDescent="0.3">
      <c r="A10" t="s">
        <v>32</v>
      </c>
      <c r="B10">
        <v>45658</v>
      </c>
      <c r="C10" t="s">
        <v>31</v>
      </c>
      <c r="D10" t="s">
        <v>11</v>
      </c>
      <c r="E10" t="s">
        <v>17</v>
      </c>
      <c r="F10" t="s">
        <v>33</v>
      </c>
      <c r="G10" t="s">
        <v>19</v>
      </c>
      <c r="H10">
        <v>67385</v>
      </c>
      <c r="I10">
        <v>71900</v>
      </c>
    </row>
    <row r="11" spans="1:9" x14ac:dyDescent="0.3">
      <c r="A11" t="s">
        <v>34</v>
      </c>
      <c r="B11">
        <v>45659</v>
      </c>
      <c r="C11" t="s">
        <v>10</v>
      </c>
      <c r="D11" t="s">
        <v>11</v>
      </c>
      <c r="E11" t="s">
        <v>12</v>
      </c>
      <c r="F11" t="s">
        <v>12</v>
      </c>
      <c r="G11" t="s">
        <v>14</v>
      </c>
      <c r="H11">
        <v>138538</v>
      </c>
      <c r="I11">
        <v>127300</v>
      </c>
    </row>
    <row r="12" spans="1:9" x14ac:dyDescent="0.3">
      <c r="A12" t="s">
        <v>35</v>
      </c>
      <c r="B12">
        <v>45659</v>
      </c>
      <c r="C12" t="s">
        <v>36</v>
      </c>
      <c r="D12" t="s">
        <v>11</v>
      </c>
      <c r="E12" t="s">
        <v>37</v>
      </c>
      <c r="F12" t="s">
        <v>33</v>
      </c>
      <c r="G12" t="s">
        <v>19</v>
      </c>
      <c r="H12">
        <v>112373</v>
      </c>
      <c r="I12">
        <v>107600</v>
      </c>
    </row>
    <row r="13" spans="1:9" x14ac:dyDescent="0.3">
      <c r="A13" t="s">
        <v>38</v>
      </c>
      <c r="B13">
        <v>45659</v>
      </c>
      <c r="C13" t="s">
        <v>21</v>
      </c>
      <c r="D13" t="s">
        <v>11</v>
      </c>
      <c r="E13" t="s">
        <v>22</v>
      </c>
      <c r="F13" t="s">
        <v>39</v>
      </c>
      <c r="G13" t="s">
        <v>19</v>
      </c>
      <c r="H13">
        <v>117635</v>
      </c>
      <c r="I13">
        <v>96600</v>
      </c>
    </row>
    <row r="14" spans="1:9" x14ac:dyDescent="0.3">
      <c r="A14" t="s">
        <v>40</v>
      </c>
      <c r="B14">
        <v>45659</v>
      </c>
      <c r="C14" t="s">
        <v>21</v>
      </c>
      <c r="D14" t="s">
        <v>11</v>
      </c>
      <c r="E14" t="s">
        <v>22</v>
      </c>
      <c r="F14" t="s">
        <v>37</v>
      </c>
      <c r="G14" t="s">
        <v>14</v>
      </c>
      <c r="H14">
        <v>119260</v>
      </c>
      <c r="I14">
        <v>113000</v>
      </c>
    </row>
    <row r="15" spans="1:9" x14ac:dyDescent="0.3">
      <c r="A15" t="s">
        <v>41</v>
      </c>
      <c r="B15">
        <v>45659</v>
      </c>
      <c r="C15" t="s">
        <v>25</v>
      </c>
      <c r="D15" t="s">
        <v>11</v>
      </c>
      <c r="E15" t="s">
        <v>22</v>
      </c>
      <c r="F15" t="s">
        <v>42</v>
      </c>
      <c r="G15" t="s">
        <v>19</v>
      </c>
      <c r="H15">
        <v>117134</v>
      </c>
      <c r="I15">
        <v>114500</v>
      </c>
    </row>
    <row r="16" spans="1:9" x14ac:dyDescent="0.3">
      <c r="A16" t="s">
        <v>43</v>
      </c>
      <c r="B16">
        <v>45659</v>
      </c>
      <c r="C16" t="s">
        <v>25</v>
      </c>
      <c r="D16" t="s">
        <v>11</v>
      </c>
      <c r="E16" t="s">
        <v>22</v>
      </c>
      <c r="F16" t="s">
        <v>13</v>
      </c>
      <c r="G16" t="s">
        <v>14</v>
      </c>
      <c r="H16">
        <v>146388</v>
      </c>
      <c r="I16">
        <v>149700</v>
      </c>
    </row>
    <row r="17" spans="1:9" x14ac:dyDescent="0.3">
      <c r="A17" t="s">
        <v>44</v>
      </c>
      <c r="B17">
        <v>45659</v>
      </c>
      <c r="C17" t="s">
        <v>31</v>
      </c>
      <c r="D17" t="s">
        <v>11</v>
      </c>
      <c r="E17" t="s">
        <v>17</v>
      </c>
      <c r="F17" t="s">
        <v>42</v>
      </c>
      <c r="G17" t="s">
        <v>19</v>
      </c>
      <c r="H17">
        <v>71882</v>
      </c>
      <c r="I17">
        <v>72500</v>
      </c>
    </row>
    <row r="18" spans="1:9" x14ac:dyDescent="0.3">
      <c r="A18" t="s">
        <v>45</v>
      </c>
      <c r="B18">
        <v>45659</v>
      </c>
      <c r="C18" t="s">
        <v>31</v>
      </c>
      <c r="D18" t="s">
        <v>11</v>
      </c>
      <c r="E18" t="s">
        <v>17</v>
      </c>
      <c r="F18" t="s">
        <v>46</v>
      </c>
      <c r="G18" t="s">
        <v>19</v>
      </c>
      <c r="H18">
        <v>47984</v>
      </c>
      <c r="I18">
        <v>47800</v>
      </c>
    </row>
    <row r="19" spans="1:9" x14ac:dyDescent="0.3">
      <c r="A19" t="s">
        <v>47</v>
      </c>
      <c r="B19">
        <v>45659</v>
      </c>
      <c r="C19" t="s">
        <v>31</v>
      </c>
      <c r="D19" t="s">
        <v>11</v>
      </c>
      <c r="E19" t="s">
        <v>17</v>
      </c>
      <c r="F19" t="s">
        <v>46</v>
      </c>
      <c r="G19" t="s">
        <v>19</v>
      </c>
      <c r="H19">
        <v>54958</v>
      </c>
      <c r="I19">
        <v>67100</v>
      </c>
    </row>
    <row r="20" spans="1:9" x14ac:dyDescent="0.3">
      <c r="A20" t="s">
        <v>48</v>
      </c>
      <c r="B20">
        <v>45659</v>
      </c>
      <c r="C20" t="s">
        <v>31</v>
      </c>
      <c r="D20" t="s">
        <v>11</v>
      </c>
      <c r="E20" t="s">
        <v>17</v>
      </c>
      <c r="F20" t="s">
        <v>26</v>
      </c>
      <c r="G20" t="s">
        <v>14</v>
      </c>
      <c r="H20">
        <v>135720</v>
      </c>
      <c r="I20">
        <v>139500</v>
      </c>
    </row>
    <row r="21" spans="1:9" x14ac:dyDescent="0.3">
      <c r="A21" t="s">
        <v>49</v>
      </c>
      <c r="B21">
        <v>45659</v>
      </c>
      <c r="C21" t="s">
        <v>31</v>
      </c>
      <c r="D21" t="s">
        <v>11</v>
      </c>
      <c r="E21" t="s">
        <v>17</v>
      </c>
      <c r="F21" t="s">
        <v>12</v>
      </c>
      <c r="G21" t="s">
        <v>14</v>
      </c>
      <c r="H21">
        <v>70281</v>
      </c>
      <c r="I21">
        <v>60800</v>
      </c>
    </row>
    <row r="22" spans="1:9" x14ac:dyDescent="0.3">
      <c r="A22" t="s">
        <v>50</v>
      </c>
      <c r="B22">
        <v>45660</v>
      </c>
      <c r="C22" t="s">
        <v>10</v>
      </c>
      <c r="D22" t="s">
        <v>11</v>
      </c>
      <c r="E22" t="s">
        <v>12</v>
      </c>
      <c r="F22" t="s">
        <v>46</v>
      </c>
      <c r="G22" t="s">
        <v>19</v>
      </c>
      <c r="H22">
        <v>17032</v>
      </c>
      <c r="I22">
        <v>19200</v>
      </c>
    </row>
    <row r="23" spans="1:9" x14ac:dyDescent="0.3">
      <c r="A23" t="s">
        <v>51</v>
      </c>
      <c r="B23">
        <v>45660</v>
      </c>
      <c r="C23" t="s">
        <v>10</v>
      </c>
      <c r="D23" t="s">
        <v>11</v>
      </c>
      <c r="E23" t="s">
        <v>12</v>
      </c>
      <c r="F23" t="s">
        <v>12</v>
      </c>
      <c r="G23" t="s">
        <v>14</v>
      </c>
      <c r="H23">
        <v>173139</v>
      </c>
      <c r="I23">
        <v>169100</v>
      </c>
    </row>
    <row r="24" spans="1:9" x14ac:dyDescent="0.3">
      <c r="A24" t="s">
        <v>52</v>
      </c>
      <c r="B24">
        <v>45660</v>
      </c>
      <c r="C24" t="s">
        <v>36</v>
      </c>
      <c r="D24" t="s">
        <v>11</v>
      </c>
      <c r="E24" t="s">
        <v>37</v>
      </c>
      <c r="F24" t="s">
        <v>23</v>
      </c>
      <c r="G24" t="s">
        <v>14</v>
      </c>
      <c r="H24">
        <v>235945</v>
      </c>
      <c r="I24">
        <v>222400</v>
      </c>
    </row>
    <row r="25" spans="1:9" x14ac:dyDescent="0.3">
      <c r="A25" t="s">
        <v>53</v>
      </c>
      <c r="B25">
        <v>45660</v>
      </c>
      <c r="C25" t="s">
        <v>21</v>
      </c>
      <c r="D25" t="s">
        <v>11</v>
      </c>
      <c r="E25" t="s">
        <v>22</v>
      </c>
      <c r="F25" t="s">
        <v>13</v>
      </c>
      <c r="G25" t="s">
        <v>14</v>
      </c>
      <c r="H25">
        <v>113712</v>
      </c>
      <c r="I25">
        <v>106600</v>
      </c>
    </row>
    <row r="26" spans="1:9" x14ac:dyDescent="0.3">
      <c r="A26" t="s">
        <v>54</v>
      </c>
      <c r="B26">
        <v>45660</v>
      </c>
      <c r="C26" t="s">
        <v>55</v>
      </c>
      <c r="D26" t="s">
        <v>11</v>
      </c>
      <c r="E26" t="s">
        <v>37</v>
      </c>
      <c r="F26" t="s">
        <v>56</v>
      </c>
      <c r="G26" t="s">
        <v>19</v>
      </c>
      <c r="H26">
        <v>99060</v>
      </c>
      <c r="I26">
        <v>98500</v>
      </c>
    </row>
    <row r="27" spans="1:9" x14ac:dyDescent="0.3">
      <c r="A27" t="s">
        <v>57</v>
      </c>
      <c r="B27">
        <v>45661</v>
      </c>
      <c r="C27" t="s">
        <v>16</v>
      </c>
      <c r="D27" t="s">
        <v>11</v>
      </c>
      <c r="E27" t="s">
        <v>17</v>
      </c>
      <c r="F27" t="s">
        <v>46</v>
      </c>
      <c r="G27" t="s">
        <v>19</v>
      </c>
      <c r="H27">
        <v>90102</v>
      </c>
      <c r="I27">
        <v>80900</v>
      </c>
    </row>
    <row r="28" spans="1:9" x14ac:dyDescent="0.3">
      <c r="A28" t="s">
        <v>58</v>
      </c>
      <c r="B28">
        <v>45661</v>
      </c>
      <c r="C28" t="s">
        <v>25</v>
      </c>
      <c r="D28" t="s">
        <v>11</v>
      </c>
      <c r="E28" t="s">
        <v>22</v>
      </c>
      <c r="F28" t="s">
        <v>59</v>
      </c>
      <c r="G28" t="s">
        <v>14</v>
      </c>
      <c r="H28">
        <v>203400</v>
      </c>
      <c r="I28">
        <v>169600</v>
      </c>
    </row>
    <row r="29" spans="1:9" x14ac:dyDescent="0.3">
      <c r="A29" t="s">
        <v>60</v>
      </c>
      <c r="B29">
        <v>45661</v>
      </c>
      <c r="C29" t="s">
        <v>55</v>
      </c>
      <c r="D29" t="s">
        <v>11</v>
      </c>
      <c r="E29" t="s">
        <v>37</v>
      </c>
      <c r="F29" t="s">
        <v>33</v>
      </c>
      <c r="G29" t="s">
        <v>19</v>
      </c>
      <c r="H29">
        <v>81277</v>
      </c>
      <c r="I29">
        <v>78200</v>
      </c>
    </row>
    <row r="30" spans="1:9" x14ac:dyDescent="0.3">
      <c r="A30" t="s">
        <v>61</v>
      </c>
      <c r="B30">
        <v>45662</v>
      </c>
      <c r="C30" t="s">
        <v>62</v>
      </c>
      <c r="D30" t="s">
        <v>11</v>
      </c>
      <c r="E30" t="s">
        <v>22</v>
      </c>
      <c r="F30" t="s">
        <v>18</v>
      </c>
      <c r="G30" t="s">
        <v>19</v>
      </c>
      <c r="H30">
        <v>95064</v>
      </c>
      <c r="I30">
        <v>96700</v>
      </c>
    </row>
    <row r="31" spans="1:9" x14ac:dyDescent="0.3">
      <c r="A31" t="s">
        <v>63</v>
      </c>
      <c r="B31">
        <v>45662</v>
      </c>
      <c r="C31" t="s">
        <v>10</v>
      </c>
      <c r="D31" t="s">
        <v>11</v>
      </c>
      <c r="E31" t="s">
        <v>12</v>
      </c>
      <c r="F31" t="s">
        <v>56</v>
      </c>
      <c r="G31" t="s">
        <v>19</v>
      </c>
      <c r="H31">
        <v>107852</v>
      </c>
      <c r="I31">
        <v>113300</v>
      </c>
    </row>
    <row r="32" spans="1:9" x14ac:dyDescent="0.3">
      <c r="A32" t="s">
        <v>64</v>
      </c>
      <c r="B32">
        <v>45662</v>
      </c>
      <c r="C32" t="s">
        <v>36</v>
      </c>
      <c r="D32" t="s">
        <v>11</v>
      </c>
      <c r="E32" t="s">
        <v>37</v>
      </c>
      <c r="F32" t="s">
        <v>46</v>
      </c>
      <c r="G32" t="s">
        <v>19</v>
      </c>
      <c r="H32">
        <v>73990</v>
      </c>
      <c r="I32">
        <v>67100</v>
      </c>
    </row>
    <row r="33" spans="1:9" x14ac:dyDescent="0.3">
      <c r="A33" t="s">
        <v>65</v>
      </c>
      <c r="B33">
        <v>45662</v>
      </c>
      <c r="C33" t="s">
        <v>25</v>
      </c>
      <c r="D33" t="s">
        <v>11</v>
      </c>
      <c r="E33" t="s">
        <v>22</v>
      </c>
      <c r="F33" t="s">
        <v>33</v>
      </c>
      <c r="G33" t="s">
        <v>19</v>
      </c>
      <c r="H33">
        <v>25960</v>
      </c>
      <c r="I33">
        <v>29000</v>
      </c>
    </row>
    <row r="34" spans="1:9" x14ac:dyDescent="0.3">
      <c r="A34" t="s">
        <v>66</v>
      </c>
      <c r="B34">
        <v>45662</v>
      </c>
      <c r="C34" t="s">
        <v>25</v>
      </c>
      <c r="D34" t="s">
        <v>11</v>
      </c>
      <c r="E34" t="s">
        <v>22</v>
      </c>
      <c r="F34" t="s">
        <v>33</v>
      </c>
      <c r="G34" t="s">
        <v>19</v>
      </c>
      <c r="H34">
        <v>79268</v>
      </c>
      <c r="I34">
        <v>84600</v>
      </c>
    </row>
    <row r="35" spans="1:9" x14ac:dyDescent="0.3">
      <c r="A35" t="s">
        <v>67</v>
      </c>
      <c r="B35">
        <v>45662</v>
      </c>
      <c r="C35" t="s">
        <v>31</v>
      </c>
      <c r="D35" t="s">
        <v>11</v>
      </c>
      <c r="E35" t="s">
        <v>17</v>
      </c>
      <c r="F35" t="s">
        <v>56</v>
      </c>
      <c r="G35" t="s">
        <v>19</v>
      </c>
      <c r="H35">
        <v>39686</v>
      </c>
      <c r="I35">
        <v>45500</v>
      </c>
    </row>
    <row r="36" spans="1:9" x14ac:dyDescent="0.3">
      <c r="A36" t="s">
        <v>68</v>
      </c>
      <c r="B36">
        <v>45662</v>
      </c>
      <c r="C36" t="s">
        <v>31</v>
      </c>
      <c r="D36" t="s">
        <v>11</v>
      </c>
      <c r="E36" t="s">
        <v>17</v>
      </c>
      <c r="F36" t="s">
        <v>37</v>
      </c>
      <c r="G36" t="s">
        <v>14</v>
      </c>
      <c r="H36">
        <v>46720</v>
      </c>
      <c r="I36">
        <v>44200</v>
      </c>
    </row>
    <row r="37" spans="1:9" x14ac:dyDescent="0.3">
      <c r="A37" t="s">
        <v>69</v>
      </c>
      <c r="B37">
        <v>45662</v>
      </c>
      <c r="C37" t="s">
        <v>31</v>
      </c>
      <c r="D37" t="s">
        <v>11</v>
      </c>
      <c r="E37" t="s">
        <v>17</v>
      </c>
      <c r="F37" t="s">
        <v>12</v>
      </c>
      <c r="G37" t="s">
        <v>14</v>
      </c>
      <c r="H37">
        <v>33222</v>
      </c>
      <c r="I37">
        <v>31800</v>
      </c>
    </row>
    <row r="38" spans="1:9" x14ac:dyDescent="0.3">
      <c r="A38" t="s">
        <v>70</v>
      </c>
      <c r="B38">
        <v>45663</v>
      </c>
      <c r="C38" t="s">
        <v>62</v>
      </c>
      <c r="D38" t="s">
        <v>11</v>
      </c>
      <c r="E38" t="s">
        <v>22</v>
      </c>
      <c r="F38" t="s">
        <v>18</v>
      </c>
      <c r="G38" t="s">
        <v>19</v>
      </c>
      <c r="H38">
        <v>12833</v>
      </c>
      <c r="I38">
        <v>11900</v>
      </c>
    </row>
    <row r="39" spans="1:9" x14ac:dyDescent="0.3">
      <c r="A39" t="s">
        <v>71</v>
      </c>
      <c r="B39">
        <v>45663</v>
      </c>
      <c r="C39" t="s">
        <v>62</v>
      </c>
      <c r="D39" t="s">
        <v>11</v>
      </c>
      <c r="E39" t="s">
        <v>22</v>
      </c>
      <c r="F39" t="s">
        <v>13</v>
      </c>
      <c r="G39" t="s">
        <v>14</v>
      </c>
      <c r="H39">
        <v>61904</v>
      </c>
      <c r="I39">
        <v>61200</v>
      </c>
    </row>
    <row r="40" spans="1:9" x14ac:dyDescent="0.3">
      <c r="A40" t="s">
        <v>72</v>
      </c>
      <c r="B40">
        <v>45663</v>
      </c>
      <c r="C40" t="s">
        <v>16</v>
      </c>
      <c r="D40" t="s">
        <v>11</v>
      </c>
      <c r="E40" t="s">
        <v>17</v>
      </c>
      <c r="F40" t="s">
        <v>37</v>
      </c>
      <c r="G40" t="s">
        <v>14</v>
      </c>
      <c r="H40">
        <v>119333</v>
      </c>
      <c r="I40">
        <v>127400</v>
      </c>
    </row>
    <row r="41" spans="1:9" x14ac:dyDescent="0.3">
      <c r="A41" t="s">
        <v>73</v>
      </c>
      <c r="B41">
        <v>45663</v>
      </c>
      <c r="C41" t="s">
        <v>36</v>
      </c>
      <c r="D41" t="s">
        <v>11</v>
      </c>
      <c r="E41" t="s">
        <v>37</v>
      </c>
      <c r="F41" t="s">
        <v>23</v>
      </c>
      <c r="G41" t="s">
        <v>14</v>
      </c>
      <c r="H41">
        <v>217934</v>
      </c>
      <c r="I41">
        <v>233300</v>
      </c>
    </row>
    <row r="42" spans="1:9" x14ac:dyDescent="0.3">
      <c r="A42" t="s">
        <v>74</v>
      </c>
      <c r="B42">
        <v>45663</v>
      </c>
      <c r="C42" t="s">
        <v>25</v>
      </c>
      <c r="D42" t="s">
        <v>11</v>
      </c>
      <c r="E42" t="s">
        <v>22</v>
      </c>
      <c r="F42" t="s">
        <v>56</v>
      </c>
      <c r="G42" t="s">
        <v>19</v>
      </c>
      <c r="H42">
        <v>57825</v>
      </c>
      <c r="I42">
        <v>48900</v>
      </c>
    </row>
    <row r="43" spans="1:9" x14ac:dyDescent="0.3">
      <c r="A43" t="s">
        <v>75</v>
      </c>
      <c r="B43">
        <v>45663</v>
      </c>
      <c r="C43" t="s">
        <v>31</v>
      </c>
      <c r="D43" t="s">
        <v>11</v>
      </c>
      <c r="E43" t="s">
        <v>17</v>
      </c>
      <c r="F43" t="s">
        <v>39</v>
      </c>
      <c r="G43" t="s">
        <v>19</v>
      </c>
      <c r="H43">
        <v>111060</v>
      </c>
      <c r="I43">
        <v>120700</v>
      </c>
    </row>
    <row r="44" spans="1:9" x14ac:dyDescent="0.3">
      <c r="A44" t="s">
        <v>76</v>
      </c>
      <c r="B44">
        <v>45663</v>
      </c>
      <c r="C44" t="s">
        <v>55</v>
      </c>
      <c r="D44" t="s">
        <v>11</v>
      </c>
      <c r="E44" t="s">
        <v>37</v>
      </c>
      <c r="F44" t="s">
        <v>46</v>
      </c>
      <c r="G44" t="s">
        <v>19</v>
      </c>
      <c r="H44">
        <v>82214</v>
      </c>
      <c r="I44">
        <v>83900</v>
      </c>
    </row>
    <row r="45" spans="1:9" x14ac:dyDescent="0.3">
      <c r="A45" t="s">
        <v>77</v>
      </c>
      <c r="B45">
        <v>45663</v>
      </c>
      <c r="C45" t="s">
        <v>55</v>
      </c>
      <c r="D45" t="s">
        <v>11</v>
      </c>
      <c r="E45" t="s">
        <v>37</v>
      </c>
      <c r="F45" t="s">
        <v>33</v>
      </c>
      <c r="G45" t="s">
        <v>19</v>
      </c>
      <c r="H45">
        <v>104963</v>
      </c>
      <c r="I45">
        <v>111000</v>
      </c>
    </row>
    <row r="46" spans="1:9" x14ac:dyDescent="0.3">
      <c r="A46" t="s">
        <v>78</v>
      </c>
      <c r="B46">
        <v>45664</v>
      </c>
      <c r="C46" t="s">
        <v>25</v>
      </c>
      <c r="D46" t="s">
        <v>11</v>
      </c>
      <c r="E46" t="s">
        <v>22</v>
      </c>
      <c r="F46" t="s">
        <v>46</v>
      </c>
      <c r="G46" t="s">
        <v>19</v>
      </c>
      <c r="H46">
        <v>119899</v>
      </c>
      <c r="I46">
        <v>128100</v>
      </c>
    </row>
    <row r="47" spans="1:9" x14ac:dyDescent="0.3">
      <c r="A47" t="s">
        <v>79</v>
      </c>
      <c r="B47">
        <v>45664</v>
      </c>
      <c r="C47" t="s">
        <v>25</v>
      </c>
      <c r="D47" t="s">
        <v>11</v>
      </c>
      <c r="E47" t="s">
        <v>22</v>
      </c>
      <c r="F47" t="s">
        <v>23</v>
      </c>
      <c r="G47" t="s">
        <v>14</v>
      </c>
      <c r="H47">
        <v>35247</v>
      </c>
      <c r="I47">
        <v>33700</v>
      </c>
    </row>
    <row r="48" spans="1:9" x14ac:dyDescent="0.3">
      <c r="A48" t="s">
        <v>80</v>
      </c>
      <c r="B48">
        <v>45664</v>
      </c>
      <c r="C48" t="s">
        <v>55</v>
      </c>
      <c r="D48" t="s">
        <v>11</v>
      </c>
      <c r="E48" t="s">
        <v>37</v>
      </c>
      <c r="F48" t="s">
        <v>23</v>
      </c>
      <c r="G48" t="s">
        <v>14</v>
      </c>
      <c r="H48">
        <v>33554</v>
      </c>
      <c r="I48">
        <v>37800</v>
      </c>
    </row>
    <row r="49" spans="1:9" x14ac:dyDescent="0.3">
      <c r="A49" t="s">
        <v>81</v>
      </c>
      <c r="B49">
        <v>45665</v>
      </c>
      <c r="C49" t="s">
        <v>10</v>
      </c>
      <c r="D49" t="s">
        <v>11</v>
      </c>
      <c r="E49" t="s">
        <v>12</v>
      </c>
      <c r="F49" t="s">
        <v>46</v>
      </c>
      <c r="G49" t="s">
        <v>19</v>
      </c>
      <c r="H49">
        <v>82819</v>
      </c>
      <c r="I49">
        <v>79000</v>
      </c>
    </row>
    <row r="50" spans="1:9" x14ac:dyDescent="0.3">
      <c r="A50" t="s">
        <v>82</v>
      </c>
      <c r="B50">
        <v>45665</v>
      </c>
      <c r="C50" t="s">
        <v>10</v>
      </c>
      <c r="D50" t="s">
        <v>11</v>
      </c>
      <c r="E50" t="s">
        <v>12</v>
      </c>
      <c r="F50" t="s">
        <v>37</v>
      </c>
      <c r="G50" t="s">
        <v>14</v>
      </c>
      <c r="H50">
        <v>223314</v>
      </c>
      <c r="I50">
        <v>221300</v>
      </c>
    </row>
    <row r="51" spans="1:9" x14ac:dyDescent="0.3">
      <c r="A51" t="s">
        <v>83</v>
      </c>
      <c r="B51">
        <v>45665</v>
      </c>
      <c r="C51" t="s">
        <v>16</v>
      </c>
      <c r="D51" t="s">
        <v>11</v>
      </c>
      <c r="E51" t="s">
        <v>17</v>
      </c>
      <c r="F51" t="s">
        <v>18</v>
      </c>
      <c r="G51" t="s">
        <v>19</v>
      </c>
      <c r="H51">
        <v>95165</v>
      </c>
      <c r="I51">
        <v>99500</v>
      </c>
    </row>
    <row r="52" spans="1:9" x14ac:dyDescent="0.3">
      <c r="A52" t="s">
        <v>84</v>
      </c>
      <c r="B52">
        <v>45665</v>
      </c>
      <c r="C52" t="s">
        <v>16</v>
      </c>
      <c r="D52" t="s">
        <v>11</v>
      </c>
      <c r="E52" t="s">
        <v>17</v>
      </c>
      <c r="F52" t="s">
        <v>23</v>
      </c>
      <c r="G52" t="s">
        <v>14</v>
      </c>
      <c r="H52">
        <v>130016</v>
      </c>
      <c r="I52">
        <v>149200</v>
      </c>
    </row>
    <row r="53" spans="1:9" x14ac:dyDescent="0.3">
      <c r="A53" t="s">
        <v>85</v>
      </c>
      <c r="B53">
        <v>45665</v>
      </c>
      <c r="C53" t="s">
        <v>36</v>
      </c>
      <c r="D53" t="s">
        <v>11</v>
      </c>
      <c r="E53" t="s">
        <v>37</v>
      </c>
      <c r="F53" t="s">
        <v>56</v>
      </c>
      <c r="G53" t="s">
        <v>19</v>
      </c>
      <c r="H53">
        <v>25761</v>
      </c>
      <c r="I53">
        <v>23900</v>
      </c>
    </row>
    <row r="54" spans="1:9" x14ac:dyDescent="0.3">
      <c r="A54" t="s">
        <v>86</v>
      </c>
      <c r="B54">
        <v>45665</v>
      </c>
      <c r="C54" t="s">
        <v>25</v>
      </c>
      <c r="D54" t="s">
        <v>11</v>
      </c>
      <c r="E54" t="s">
        <v>22</v>
      </c>
      <c r="F54" t="s">
        <v>39</v>
      </c>
      <c r="G54" t="s">
        <v>19</v>
      </c>
      <c r="H54">
        <v>97402</v>
      </c>
      <c r="I54">
        <v>112000</v>
      </c>
    </row>
    <row r="55" spans="1:9" x14ac:dyDescent="0.3">
      <c r="A55" t="s">
        <v>87</v>
      </c>
      <c r="B55">
        <v>45665</v>
      </c>
      <c r="C55" t="s">
        <v>25</v>
      </c>
      <c r="D55" t="s">
        <v>11</v>
      </c>
      <c r="E55" t="s">
        <v>22</v>
      </c>
      <c r="F55" t="s">
        <v>39</v>
      </c>
      <c r="G55" t="s">
        <v>19</v>
      </c>
      <c r="H55">
        <v>40221</v>
      </c>
      <c r="I55">
        <v>40200</v>
      </c>
    </row>
    <row r="56" spans="1:9" x14ac:dyDescent="0.3">
      <c r="A56" t="s">
        <v>88</v>
      </c>
      <c r="B56">
        <v>45666</v>
      </c>
      <c r="C56" t="s">
        <v>62</v>
      </c>
      <c r="D56" t="s">
        <v>11</v>
      </c>
      <c r="E56" t="s">
        <v>22</v>
      </c>
      <c r="F56" t="s">
        <v>46</v>
      </c>
      <c r="G56" t="s">
        <v>19</v>
      </c>
      <c r="H56">
        <v>51099</v>
      </c>
      <c r="I56">
        <v>50200</v>
      </c>
    </row>
    <row r="57" spans="1:9" x14ac:dyDescent="0.3">
      <c r="A57" t="s">
        <v>89</v>
      </c>
      <c r="B57">
        <v>45666</v>
      </c>
      <c r="C57" t="s">
        <v>36</v>
      </c>
      <c r="D57" t="s">
        <v>11</v>
      </c>
      <c r="E57" t="s">
        <v>37</v>
      </c>
      <c r="F57" t="s">
        <v>39</v>
      </c>
      <c r="G57" t="s">
        <v>19</v>
      </c>
      <c r="H57">
        <v>44188</v>
      </c>
      <c r="I57">
        <v>41900</v>
      </c>
    </row>
    <row r="58" spans="1:9" x14ac:dyDescent="0.3">
      <c r="A58" t="s">
        <v>90</v>
      </c>
      <c r="B58">
        <v>45666</v>
      </c>
      <c r="C58" t="s">
        <v>21</v>
      </c>
      <c r="D58" t="s">
        <v>11</v>
      </c>
      <c r="E58" t="s">
        <v>22</v>
      </c>
      <c r="F58" t="s">
        <v>59</v>
      </c>
      <c r="G58" t="s">
        <v>14</v>
      </c>
      <c r="H58">
        <v>191477</v>
      </c>
      <c r="I58">
        <v>179000</v>
      </c>
    </row>
    <row r="59" spans="1:9" x14ac:dyDescent="0.3">
      <c r="A59" t="s">
        <v>91</v>
      </c>
      <c r="B59">
        <v>45667</v>
      </c>
      <c r="C59" t="s">
        <v>62</v>
      </c>
      <c r="D59" t="s">
        <v>11</v>
      </c>
      <c r="E59" t="s">
        <v>22</v>
      </c>
      <c r="F59" t="s">
        <v>26</v>
      </c>
      <c r="G59" t="s">
        <v>14</v>
      </c>
      <c r="H59">
        <v>145357</v>
      </c>
      <c r="I59">
        <v>148600</v>
      </c>
    </row>
    <row r="60" spans="1:9" x14ac:dyDescent="0.3">
      <c r="A60" t="s">
        <v>92</v>
      </c>
      <c r="B60">
        <v>45667</v>
      </c>
      <c r="C60" t="s">
        <v>10</v>
      </c>
      <c r="D60" t="s">
        <v>11</v>
      </c>
      <c r="E60" t="s">
        <v>12</v>
      </c>
      <c r="F60" t="s">
        <v>23</v>
      </c>
      <c r="G60" t="s">
        <v>14</v>
      </c>
      <c r="H60">
        <v>175153</v>
      </c>
      <c r="I60">
        <v>189300</v>
      </c>
    </row>
    <row r="61" spans="1:9" x14ac:dyDescent="0.3">
      <c r="A61" t="s">
        <v>93</v>
      </c>
      <c r="B61">
        <v>45667</v>
      </c>
      <c r="C61" t="s">
        <v>16</v>
      </c>
      <c r="D61" t="s">
        <v>11</v>
      </c>
      <c r="E61" t="s">
        <v>17</v>
      </c>
      <c r="F61" t="s">
        <v>18</v>
      </c>
      <c r="G61" t="s">
        <v>19</v>
      </c>
      <c r="H61">
        <v>119021</v>
      </c>
      <c r="I61">
        <v>114600</v>
      </c>
    </row>
    <row r="62" spans="1:9" x14ac:dyDescent="0.3">
      <c r="A62" t="s">
        <v>94</v>
      </c>
      <c r="B62">
        <v>45667</v>
      </c>
      <c r="C62" t="s">
        <v>16</v>
      </c>
      <c r="D62" t="s">
        <v>11</v>
      </c>
      <c r="E62" t="s">
        <v>17</v>
      </c>
      <c r="F62" t="s">
        <v>26</v>
      </c>
      <c r="G62" t="s">
        <v>14</v>
      </c>
      <c r="H62">
        <v>230298</v>
      </c>
      <c r="I62">
        <v>239100</v>
      </c>
    </row>
    <row r="63" spans="1:9" x14ac:dyDescent="0.3">
      <c r="A63" t="s">
        <v>95</v>
      </c>
      <c r="B63">
        <v>45667</v>
      </c>
      <c r="C63" t="s">
        <v>21</v>
      </c>
      <c r="D63" t="s">
        <v>11</v>
      </c>
      <c r="E63" t="s">
        <v>22</v>
      </c>
      <c r="F63" t="s">
        <v>13</v>
      </c>
      <c r="G63" t="s">
        <v>14</v>
      </c>
      <c r="H63">
        <v>102511</v>
      </c>
      <c r="I63">
        <v>98400</v>
      </c>
    </row>
    <row r="64" spans="1:9" x14ac:dyDescent="0.3">
      <c r="A64" t="s">
        <v>96</v>
      </c>
      <c r="B64">
        <v>45667</v>
      </c>
      <c r="C64" t="s">
        <v>25</v>
      </c>
      <c r="D64" t="s">
        <v>11</v>
      </c>
      <c r="E64" t="s">
        <v>22</v>
      </c>
      <c r="F64" t="s">
        <v>42</v>
      </c>
      <c r="G64" t="s">
        <v>19</v>
      </c>
      <c r="H64">
        <v>44307</v>
      </c>
      <c r="I64">
        <v>38100</v>
      </c>
    </row>
    <row r="65" spans="1:9" x14ac:dyDescent="0.3">
      <c r="A65" t="s">
        <v>97</v>
      </c>
      <c r="B65">
        <v>45667</v>
      </c>
      <c r="C65" t="s">
        <v>25</v>
      </c>
      <c r="D65" t="s">
        <v>11</v>
      </c>
      <c r="E65" t="s">
        <v>22</v>
      </c>
      <c r="F65" t="s">
        <v>46</v>
      </c>
      <c r="G65" t="s">
        <v>19</v>
      </c>
      <c r="H65">
        <v>63614</v>
      </c>
      <c r="I65">
        <v>66400</v>
      </c>
    </row>
    <row r="66" spans="1:9" x14ac:dyDescent="0.3">
      <c r="A66" t="s">
        <v>98</v>
      </c>
      <c r="B66">
        <v>45667</v>
      </c>
      <c r="C66" t="s">
        <v>25</v>
      </c>
      <c r="D66" t="s">
        <v>11</v>
      </c>
      <c r="E66" t="s">
        <v>22</v>
      </c>
      <c r="F66" t="s">
        <v>46</v>
      </c>
      <c r="G66" t="s">
        <v>19</v>
      </c>
      <c r="H66">
        <v>84107</v>
      </c>
      <c r="I66">
        <v>94800</v>
      </c>
    </row>
    <row r="67" spans="1:9" x14ac:dyDescent="0.3">
      <c r="A67" t="s">
        <v>99</v>
      </c>
      <c r="B67">
        <v>45667</v>
      </c>
      <c r="C67" t="s">
        <v>25</v>
      </c>
      <c r="D67" t="s">
        <v>11</v>
      </c>
      <c r="E67" t="s">
        <v>22</v>
      </c>
      <c r="F67" t="s">
        <v>37</v>
      </c>
      <c r="G67" t="s">
        <v>14</v>
      </c>
      <c r="H67">
        <v>62193</v>
      </c>
      <c r="I67">
        <v>74900</v>
      </c>
    </row>
    <row r="68" spans="1:9" x14ac:dyDescent="0.3">
      <c r="A68" t="s">
        <v>100</v>
      </c>
      <c r="B68">
        <v>45667</v>
      </c>
      <c r="C68" t="s">
        <v>31</v>
      </c>
      <c r="D68" t="s">
        <v>11</v>
      </c>
      <c r="E68" t="s">
        <v>17</v>
      </c>
      <c r="F68" t="s">
        <v>33</v>
      </c>
      <c r="G68" t="s">
        <v>19</v>
      </c>
      <c r="H68">
        <v>39922</v>
      </c>
      <c r="I68">
        <v>38200</v>
      </c>
    </row>
    <row r="69" spans="1:9" x14ac:dyDescent="0.3">
      <c r="A69" t="s">
        <v>101</v>
      </c>
      <c r="B69">
        <v>45667</v>
      </c>
      <c r="C69" t="s">
        <v>31</v>
      </c>
      <c r="D69" t="s">
        <v>11</v>
      </c>
      <c r="E69" t="s">
        <v>17</v>
      </c>
      <c r="F69" t="s">
        <v>33</v>
      </c>
      <c r="G69" t="s">
        <v>19</v>
      </c>
      <c r="H69">
        <v>103806</v>
      </c>
      <c r="I69">
        <v>115800</v>
      </c>
    </row>
    <row r="70" spans="1:9" x14ac:dyDescent="0.3">
      <c r="A70" t="s">
        <v>102</v>
      </c>
      <c r="B70">
        <v>45667</v>
      </c>
      <c r="C70" t="s">
        <v>31</v>
      </c>
      <c r="D70" t="s">
        <v>11</v>
      </c>
      <c r="E70" t="s">
        <v>17</v>
      </c>
      <c r="F70" t="s">
        <v>42</v>
      </c>
      <c r="G70" t="s">
        <v>19</v>
      </c>
      <c r="H70">
        <v>20670</v>
      </c>
      <c r="I70">
        <v>20400</v>
      </c>
    </row>
    <row r="71" spans="1:9" x14ac:dyDescent="0.3">
      <c r="A71" t="s">
        <v>103</v>
      </c>
      <c r="B71">
        <v>45667</v>
      </c>
      <c r="C71" t="s">
        <v>31</v>
      </c>
      <c r="D71" t="s">
        <v>11</v>
      </c>
      <c r="E71" t="s">
        <v>17</v>
      </c>
      <c r="F71" t="s">
        <v>59</v>
      </c>
      <c r="G71" t="s">
        <v>14</v>
      </c>
      <c r="H71">
        <v>194371</v>
      </c>
      <c r="I71">
        <v>222700</v>
      </c>
    </row>
    <row r="72" spans="1:9" x14ac:dyDescent="0.3">
      <c r="A72" t="s">
        <v>104</v>
      </c>
      <c r="B72">
        <v>45668</v>
      </c>
      <c r="C72" t="s">
        <v>62</v>
      </c>
      <c r="D72" t="s">
        <v>11</v>
      </c>
      <c r="E72" t="s">
        <v>22</v>
      </c>
      <c r="F72" t="s">
        <v>33</v>
      </c>
      <c r="G72" t="s">
        <v>19</v>
      </c>
      <c r="H72">
        <v>71840</v>
      </c>
      <c r="I72">
        <v>68600</v>
      </c>
    </row>
    <row r="73" spans="1:9" x14ac:dyDescent="0.3">
      <c r="A73" t="s">
        <v>105</v>
      </c>
      <c r="B73">
        <v>45668</v>
      </c>
      <c r="C73" t="s">
        <v>62</v>
      </c>
      <c r="D73" t="s">
        <v>11</v>
      </c>
      <c r="E73" t="s">
        <v>22</v>
      </c>
      <c r="F73" t="s">
        <v>12</v>
      </c>
      <c r="G73" t="s">
        <v>14</v>
      </c>
      <c r="H73">
        <v>101824</v>
      </c>
      <c r="I73">
        <v>98800</v>
      </c>
    </row>
    <row r="74" spans="1:9" x14ac:dyDescent="0.3">
      <c r="A74" t="s">
        <v>106</v>
      </c>
      <c r="B74">
        <v>45668</v>
      </c>
      <c r="C74" t="s">
        <v>10</v>
      </c>
      <c r="D74" t="s">
        <v>11</v>
      </c>
      <c r="E74" t="s">
        <v>12</v>
      </c>
      <c r="F74" t="s">
        <v>12</v>
      </c>
      <c r="G74" t="s">
        <v>14</v>
      </c>
      <c r="H74">
        <v>85367</v>
      </c>
      <c r="I74">
        <v>85200</v>
      </c>
    </row>
    <row r="75" spans="1:9" x14ac:dyDescent="0.3">
      <c r="A75" t="s">
        <v>107</v>
      </c>
      <c r="B75">
        <v>45668</v>
      </c>
      <c r="C75" t="s">
        <v>16</v>
      </c>
      <c r="D75" t="s">
        <v>11</v>
      </c>
      <c r="E75" t="s">
        <v>17</v>
      </c>
      <c r="F75" t="s">
        <v>39</v>
      </c>
      <c r="G75" t="s">
        <v>19</v>
      </c>
      <c r="H75">
        <v>87752</v>
      </c>
      <c r="I75">
        <v>92000</v>
      </c>
    </row>
    <row r="76" spans="1:9" x14ac:dyDescent="0.3">
      <c r="A76" t="s">
        <v>108</v>
      </c>
      <c r="B76">
        <v>45668</v>
      </c>
      <c r="C76" t="s">
        <v>55</v>
      </c>
      <c r="D76" t="s">
        <v>11</v>
      </c>
      <c r="E76" t="s">
        <v>37</v>
      </c>
      <c r="F76" t="s">
        <v>23</v>
      </c>
      <c r="G76" t="s">
        <v>14</v>
      </c>
      <c r="H76">
        <v>72532</v>
      </c>
      <c r="I76">
        <v>72100</v>
      </c>
    </row>
    <row r="77" spans="1:9" x14ac:dyDescent="0.3">
      <c r="A77" t="s">
        <v>109</v>
      </c>
      <c r="B77">
        <v>45669</v>
      </c>
      <c r="C77" t="s">
        <v>62</v>
      </c>
      <c r="D77" t="s">
        <v>11</v>
      </c>
      <c r="E77" t="s">
        <v>22</v>
      </c>
      <c r="F77" t="s">
        <v>39</v>
      </c>
      <c r="G77" t="s">
        <v>19</v>
      </c>
      <c r="H77">
        <v>118879</v>
      </c>
      <c r="I77">
        <v>109800</v>
      </c>
    </row>
    <row r="78" spans="1:9" x14ac:dyDescent="0.3">
      <c r="A78" t="s">
        <v>110</v>
      </c>
      <c r="B78">
        <v>45669</v>
      </c>
      <c r="C78" t="s">
        <v>16</v>
      </c>
      <c r="D78" t="s">
        <v>11</v>
      </c>
      <c r="E78" t="s">
        <v>17</v>
      </c>
      <c r="F78" t="s">
        <v>33</v>
      </c>
      <c r="G78" t="s">
        <v>19</v>
      </c>
      <c r="H78">
        <v>109624</v>
      </c>
      <c r="I78">
        <v>86500</v>
      </c>
    </row>
    <row r="79" spans="1:9" x14ac:dyDescent="0.3">
      <c r="A79" t="s">
        <v>111</v>
      </c>
      <c r="B79">
        <v>45669</v>
      </c>
      <c r="C79" t="s">
        <v>36</v>
      </c>
      <c r="D79" t="s">
        <v>11</v>
      </c>
      <c r="E79" t="s">
        <v>37</v>
      </c>
      <c r="F79" t="s">
        <v>46</v>
      </c>
      <c r="G79" t="s">
        <v>19</v>
      </c>
      <c r="H79">
        <v>27660</v>
      </c>
      <c r="I79">
        <v>29700</v>
      </c>
    </row>
    <row r="80" spans="1:9" x14ac:dyDescent="0.3">
      <c r="A80" t="s">
        <v>112</v>
      </c>
      <c r="B80">
        <v>45669</v>
      </c>
      <c r="C80" t="s">
        <v>25</v>
      </c>
      <c r="D80" t="s">
        <v>11</v>
      </c>
      <c r="E80" t="s">
        <v>22</v>
      </c>
      <c r="F80" t="s">
        <v>18</v>
      </c>
      <c r="G80" t="s">
        <v>19</v>
      </c>
      <c r="H80">
        <v>70637</v>
      </c>
      <c r="I80">
        <v>73600</v>
      </c>
    </row>
    <row r="81" spans="1:9" x14ac:dyDescent="0.3">
      <c r="A81" t="s">
        <v>113</v>
      </c>
      <c r="B81">
        <v>45669</v>
      </c>
      <c r="C81" t="s">
        <v>25</v>
      </c>
      <c r="D81" t="s">
        <v>11</v>
      </c>
      <c r="E81" t="s">
        <v>22</v>
      </c>
      <c r="F81" t="s">
        <v>37</v>
      </c>
      <c r="G81" t="s">
        <v>14</v>
      </c>
      <c r="H81">
        <v>211807</v>
      </c>
      <c r="I81">
        <v>189400</v>
      </c>
    </row>
    <row r="82" spans="1:9" x14ac:dyDescent="0.3">
      <c r="A82" t="s">
        <v>114</v>
      </c>
      <c r="B82">
        <v>45669</v>
      </c>
      <c r="C82" t="s">
        <v>31</v>
      </c>
      <c r="D82" t="s">
        <v>11</v>
      </c>
      <c r="E82" t="s">
        <v>17</v>
      </c>
      <c r="F82" t="s">
        <v>42</v>
      </c>
      <c r="G82" t="s">
        <v>19</v>
      </c>
      <c r="H82">
        <v>108485</v>
      </c>
      <c r="I82">
        <v>114400</v>
      </c>
    </row>
    <row r="83" spans="1:9" x14ac:dyDescent="0.3">
      <c r="A83" t="s">
        <v>115</v>
      </c>
      <c r="B83">
        <v>45669</v>
      </c>
      <c r="C83" t="s">
        <v>31</v>
      </c>
      <c r="D83" t="s">
        <v>11</v>
      </c>
      <c r="E83" t="s">
        <v>17</v>
      </c>
      <c r="F83" t="s">
        <v>46</v>
      </c>
      <c r="G83" t="s">
        <v>19</v>
      </c>
      <c r="H83">
        <v>108911</v>
      </c>
      <c r="I83">
        <v>102100</v>
      </c>
    </row>
    <row r="84" spans="1:9" x14ac:dyDescent="0.3">
      <c r="A84" t="s">
        <v>116</v>
      </c>
      <c r="B84">
        <v>45670</v>
      </c>
      <c r="C84" t="s">
        <v>62</v>
      </c>
      <c r="D84" t="s">
        <v>11</v>
      </c>
      <c r="E84" t="s">
        <v>22</v>
      </c>
      <c r="F84" t="s">
        <v>59</v>
      </c>
      <c r="G84" t="s">
        <v>14</v>
      </c>
      <c r="H84">
        <v>174697</v>
      </c>
      <c r="I84">
        <v>169100</v>
      </c>
    </row>
    <row r="85" spans="1:9" x14ac:dyDescent="0.3">
      <c r="A85" t="s">
        <v>117</v>
      </c>
      <c r="B85">
        <v>45670</v>
      </c>
      <c r="C85" t="s">
        <v>10</v>
      </c>
      <c r="D85" t="s">
        <v>11</v>
      </c>
      <c r="E85" t="s">
        <v>12</v>
      </c>
      <c r="F85" t="s">
        <v>46</v>
      </c>
      <c r="G85" t="s">
        <v>19</v>
      </c>
      <c r="H85">
        <v>112415</v>
      </c>
      <c r="I85">
        <v>117900</v>
      </c>
    </row>
    <row r="86" spans="1:9" x14ac:dyDescent="0.3">
      <c r="A86" t="s">
        <v>118</v>
      </c>
      <c r="B86">
        <v>45670</v>
      </c>
      <c r="C86" t="s">
        <v>10</v>
      </c>
      <c r="D86" t="s">
        <v>11</v>
      </c>
      <c r="E86" t="s">
        <v>12</v>
      </c>
      <c r="F86" t="s">
        <v>26</v>
      </c>
      <c r="G86" t="s">
        <v>14</v>
      </c>
      <c r="H86">
        <v>101191</v>
      </c>
      <c r="I86">
        <v>107800</v>
      </c>
    </row>
    <row r="87" spans="1:9" x14ac:dyDescent="0.3">
      <c r="A87" t="s">
        <v>119</v>
      </c>
      <c r="B87">
        <v>45670</v>
      </c>
      <c r="C87" t="s">
        <v>16</v>
      </c>
      <c r="D87" t="s">
        <v>11</v>
      </c>
      <c r="E87" t="s">
        <v>17</v>
      </c>
      <c r="F87" t="s">
        <v>46</v>
      </c>
      <c r="G87" t="s">
        <v>19</v>
      </c>
      <c r="H87">
        <v>76067</v>
      </c>
      <c r="I87">
        <v>66800</v>
      </c>
    </row>
    <row r="88" spans="1:9" x14ac:dyDescent="0.3">
      <c r="A88" t="s">
        <v>120</v>
      </c>
      <c r="B88">
        <v>45670</v>
      </c>
      <c r="C88" t="s">
        <v>16</v>
      </c>
      <c r="D88" t="s">
        <v>11</v>
      </c>
      <c r="E88" t="s">
        <v>17</v>
      </c>
      <c r="F88" t="s">
        <v>26</v>
      </c>
      <c r="G88" t="s">
        <v>14</v>
      </c>
      <c r="H88">
        <v>137847</v>
      </c>
      <c r="I88">
        <v>128300</v>
      </c>
    </row>
    <row r="89" spans="1:9" x14ac:dyDescent="0.3">
      <c r="A89" t="s">
        <v>121</v>
      </c>
      <c r="B89">
        <v>45670</v>
      </c>
      <c r="C89" t="s">
        <v>36</v>
      </c>
      <c r="D89" t="s">
        <v>11</v>
      </c>
      <c r="E89" t="s">
        <v>37</v>
      </c>
      <c r="F89" t="s">
        <v>56</v>
      </c>
      <c r="G89" t="s">
        <v>19</v>
      </c>
      <c r="H89">
        <v>99680</v>
      </c>
      <c r="I89">
        <v>95100</v>
      </c>
    </row>
    <row r="90" spans="1:9" x14ac:dyDescent="0.3">
      <c r="A90" t="s">
        <v>122</v>
      </c>
      <c r="B90">
        <v>45670</v>
      </c>
      <c r="C90" t="s">
        <v>36</v>
      </c>
      <c r="D90" t="s">
        <v>11</v>
      </c>
      <c r="E90" t="s">
        <v>37</v>
      </c>
      <c r="F90" t="s">
        <v>59</v>
      </c>
      <c r="G90" t="s">
        <v>14</v>
      </c>
      <c r="H90">
        <v>244172</v>
      </c>
      <c r="I90">
        <v>226200</v>
      </c>
    </row>
    <row r="91" spans="1:9" x14ac:dyDescent="0.3">
      <c r="A91" t="s">
        <v>123</v>
      </c>
      <c r="B91">
        <v>45670</v>
      </c>
      <c r="C91" t="s">
        <v>21</v>
      </c>
      <c r="D91" t="s">
        <v>11</v>
      </c>
      <c r="E91" t="s">
        <v>22</v>
      </c>
      <c r="F91" t="s">
        <v>39</v>
      </c>
      <c r="G91" t="s">
        <v>19</v>
      </c>
      <c r="H91">
        <v>97953</v>
      </c>
      <c r="I91">
        <v>105500</v>
      </c>
    </row>
    <row r="92" spans="1:9" x14ac:dyDescent="0.3">
      <c r="A92" t="s">
        <v>124</v>
      </c>
      <c r="B92">
        <v>45670</v>
      </c>
      <c r="C92" t="s">
        <v>25</v>
      </c>
      <c r="D92" t="s">
        <v>11</v>
      </c>
      <c r="E92" t="s">
        <v>22</v>
      </c>
      <c r="F92" t="s">
        <v>42</v>
      </c>
      <c r="G92" t="s">
        <v>19</v>
      </c>
      <c r="H92">
        <v>111670</v>
      </c>
      <c r="I92">
        <v>105100</v>
      </c>
    </row>
    <row r="93" spans="1:9" x14ac:dyDescent="0.3">
      <c r="A93" t="s">
        <v>125</v>
      </c>
      <c r="B93">
        <v>45670</v>
      </c>
      <c r="C93" t="s">
        <v>25</v>
      </c>
      <c r="D93" t="s">
        <v>11</v>
      </c>
      <c r="E93" t="s">
        <v>22</v>
      </c>
      <c r="F93" t="s">
        <v>46</v>
      </c>
      <c r="G93" t="s">
        <v>19</v>
      </c>
      <c r="H93">
        <v>59242</v>
      </c>
      <c r="I93">
        <v>57200</v>
      </c>
    </row>
    <row r="94" spans="1:9" x14ac:dyDescent="0.3">
      <c r="A94" t="s">
        <v>126</v>
      </c>
      <c r="B94">
        <v>45670</v>
      </c>
      <c r="C94" t="s">
        <v>55</v>
      </c>
      <c r="D94" t="s">
        <v>11</v>
      </c>
      <c r="E94" t="s">
        <v>37</v>
      </c>
      <c r="F94" t="s">
        <v>42</v>
      </c>
      <c r="G94" t="s">
        <v>19</v>
      </c>
      <c r="H94">
        <v>78968</v>
      </c>
      <c r="I94">
        <v>90000</v>
      </c>
    </row>
    <row r="95" spans="1:9" x14ac:dyDescent="0.3">
      <c r="A95" t="s">
        <v>127</v>
      </c>
      <c r="B95">
        <v>45670</v>
      </c>
      <c r="C95" t="s">
        <v>55</v>
      </c>
      <c r="D95" t="s">
        <v>11</v>
      </c>
      <c r="E95" t="s">
        <v>37</v>
      </c>
      <c r="F95" t="s">
        <v>59</v>
      </c>
      <c r="G95" t="s">
        <v>14</v>
      </c>
      <c r="H95">
        <v>82905</v>
      </c>
      <c r="I95">
        <v>79200</v>
      </c>
    </row>
    <row r="96" spans="1:9" x14ac:dyDescent="0.3">
      <c r="A96" t="s">
        <v>128</v>
      </c>
      <c r="B96">
        <v>45671</v>
      </c>
      <c r="C96" t="s">
        <v>62</v>
      </c>
      <c r="D96" t="s">
        <v>11</v>
      </c>
      <c r="E96" t="s">
        <v>22</v>
      </c>
      <c r="F96" t="s">
        <v>42</v>
      </c>
      <c r="G96" t="s">
        <v>19</v>
      </c>
      <c r="H96">
        <v>61102</v>
      </c>
      <c r="I96">
        <v>59000</v>
      </c>
    </row>
    <row r="97" spans="1:9" x14ac:dyDescent="0.3">
      <c r="A97" t="s">
        <v>129</v>
      </c>
      <c r="B97">
        <v>45671</v>
      </c>
      <c r="C97" t="s">
        <v>10</v>
      </c>
      <c r="D97" t="s">
        <v>11</v>
      </c>
      <c r="E97" t="s">
        <v>12</v>
      </c>
      <c r="F97" t="s">
        <v>39</v>
      </c>
      <c r="G97" t="s">
        <v>19</v>
      </c>
      <c r="H97">
        <v>118550</v>
      </c>
      <c r="I97">
        <v>110100</v>
      </c>
    </row>
    <row r="98" spans="1:9" x14ac:dyDescent="0.3">
      <c r="A98" t="s">
        <v>130</v>
      </c>
      <c r="B98">
        <v>45671</v>
      </c>
      <c r="C98" t="s">
        <v>16</v>
      </c>
      <c r="D98" t="s">
        <v>11</v>
      </c>
      <c r="E98" t="s">
        <v>17</v>
      </c>
      <c r="F98" t="s">
        <v>39</v>
      </c>
      <c r="G98" t="s">
        <v>19</v>
      </c>
      <c r="H98">
        <v>42449</v>
      </c>
      <c r="I98">
        <v>46600</v>
      </c>
    </row>
    <row r="99" spans="1:9" x14ac:dyDescent="0.3">
      <c r="A99" t="s">
        <v>131</v>
      </c>
      <c r="B99">
        <v>45671</v>
      </c>
      <c r="C99" t="s">
        <v>16</v>
      </c>
      <c r="D99" t="s">
        <v>11</v>
      </c>
      <c r="E99" t="s">
        <v>17</v>
      </c>
      <c r="F99" t="s">
        <v>46</v>
      </c>
      <c r="G99" t="s">
        <v>19</v>
      </c>
      <c r="H99">
        <v>19308</v>
      </c>
      <c r="I99">
        <v>17600</v>
      </c>
    </row>
    <row r="100" spans="1:9" x14ac:dyDescent="0.3">
      <c r="A100" t="s">
        <v>132</v>
      </c>
      <c r="B100">
        <v>45671</v>
      </c>
      <c r="C100" t="s">
        <v>16</v>
      </c>
      <c r="D100" t="s">
        <v>11</v>
      </c>
      <c r="E100" t="s">
        <v>17</v>
      </c>
      <c r="F100" t="s">
        <v>13</v>
      </c>
      <c r="G100" t="s">
        <v>14</v>
      </c>
      <c r="H100">
        <v>181199</v>
      </c>
      <c r="I100">
        <v>152200</v>
      </c>
    </row>
    <row r="101" spans="1:9" x14ac:dyDescent="0.3">
      <c r="A101" t="s">
        <v>133</v>
      </c>
      <c r="B101">
        <v>45671</v>
      </c>
      <c r="C101" t="s">
        <v>21</v>
      </c>
      <c r="D101" t="s">
        <v>11</v>
      </c>
      <c r="E101" t="s">
        <v>22</v>
      </c>
      <c r="F101" t="s">
        <v>18</v>
      </c>
      <c r="G101" t="s">
        <v>19</v>
      </c>
      <c r="H101">
        <v>86284</v>
      </c>
      <c r="I101">
        <v>86200</v>
      </c>
    </row>
    <row r="102" spans="1:9" x14ac:dyDescent="0.3">
      <c r="A102" t="s">
        <v>134</v>
      </c>
      <c r="B102">
        <v>45671</v>
      </c>
      <c r="C102" t="s">
        <v>25</v>
      </c>
      <c r="D102" t="s">
        <v>11</v>
      </c>
      <c r="E102" t="s">
        <v>22</v>
      </c>
      <c r="F102" t="s">
        <v>39</v>
      </c>
      <c r="G102" t="s">
        <v>19</v>
      </c>
      <c r="H102">
        <v>71265</v>
      </c>
      <c r="I102">
        <v>74400</v>
      </c>
    </row>
    <row r="103" spans="1:9" x14ac:dyDescent="0.3">
      <c r="A103" t="s">
        <v>135</v>
      </c>
      <c r="B103">
        <v>45672</v>
      </c>
      <c r="C103" t="s">
        <v>10</v>
      </c>
      <c r="D103" t="s">
        <v>11</v>
      </c>
      <c r="E103" t="s">
        <v>12</v>
      </c>
      <c r="F103" t="s">
        <v>37</v>
      </c>
      <c r="G103" t="s">
        <v>14</v>
      </c>
      <c r="H103">
        <v>77075</v>
      </c>
      <c r="I103">
        <v>75500</v>
      </c>
    </row>
    <row r="104" spans="1:9" x14ac:dyDescent="0.3">
      <c r="A104" t="s">
        <v>136</v>
      </c>
      <c r="B104">
        <v>45672</v>
      </c>
      <c r="C104" t="s">
        <v>16</v>
      </c>
      <c r="D104" t="s">
        <v>11</v>
      </c>
      <c r="E104" t="s">
        <v>17</v>
      </c>
      <c r="F104" t="s">
        <v>33</v>
      </c>
      <c r="G104" t="s">
        <v>19</v>
      </c>
      <c r="H104">
        <v>46017</v>
      </c>
      <c r="I104">
        <v>42500</v>
      </c>
    </row>
    <row r="105" spans="1:9" x14ac:dyDescent="0.3">
      <c r="A105" t="s">
        <v>137</v>
      </c>
      <c r="B105">
        <v>45672</v>
      </c>
      <c r="C105" t="s">
        <v>16</v>
      </c>
      <c r="D105" t="s">
        <v>11</v>
      </c>
      <c r="E105" t="s">
        <v>17</v>
      </c>
      <c r="F105" t="s">
        <v>56</v>
      </c>
      <c r="G105" t="s">
        <v>19</v>
      </c>
      <c r="H105">
        <v>99220</v>
      </c>
      <c r="I105">
        <v>105200</v>
      </c>
    </row>
    <row r="106" spans="1:9" x14ac:dyDescent="0.3">
      <c r="A106" t="s">
        <v>138</v>
      </c>
      <c r="B106">
        <v>45672</v>
      </c>
      <c r="C106" t="s">
        <v>16</v>
      </c>
      <c r="D106" t="s">
        <v>11</v>
      </c>
      <c r="E106" t="s">
        <v>17</v>
      </c>
      <c r="F106" t="s">
        <v>42</v>
      </c>
      <c r="G106" t="s">
        <v>19</v>
      </c>
      <c r="H106">
        <v>98682</v>
      </c>
      <c r="I106">
        <v>106100</v>
      </c>
    </row>
    <row r="107" spans="1:9" x14ac:dyDescent="0.3">
      <c r="A107" t="s">
        <v>139</v>
      </c>
      <c r="B107">
        <v>45672</v>
      </c>
      <c r="C107" t="s">
        <v>16</v>
      </c>
      <c r="D107" t="s">
        <v>11</v>
      </c>
      <c r="E107" t="s">
        <v>17</v>
      </c>
      <c r="F107" t="s">
        <v>59</v>
      </c>
      <c r="G107" t="s">
        <v>14</v>
      </c>
      <c r="H107">
        <v>138848</v>
      </c>
      <c r="I107">
        <v>146700</v>
      </c>
    </row>
    <row r="108" spans="1:9" x14ac:dyDescent="0.3">
      <c r="A108" t="s">
        <v>140</v>
      </c>
      <c r="B108">
        <v>45672</v>
      </c>
      <c r="C108" t="s">
        <v>21</v>
      </c>
      <c r="D108" t="s">
        <v>11</v>
      </c>
      <c r="E108" t="s">
        <v>22</v>
      </c>
      <c r="F108" t="s">
        <v>59</v>
      </c>
      <c r="G108" t="s">
        <v>14</v>
      </c>
      <c r="H108">
        <v>81403</v>
      </c>
      <c r="I108">
        <v>80400</v>
      </c>
    </row>
    <row r="109" spans="1:9" x14ac:dyDescent="0.3">
      <c r="A109" t="s">
        <v>141</v>
      </c>
      <c r="B109">
        <v>45672</v>
      </c>
      <c r="C109" t="s">
        <v>25</v>
      </c>
      <c r="D109" t="s">
        <v>11</v>
      </c>
      <c r="E109" t="s">
        <v>22</v>
      </c>
      <c r="F109" t="s">
        <v>46</v>
      </c>
      <c r="G109" t="s">
        <v>19</v>
      </c>
      <c r="H109">
        <v>108485</v>
      </c>
      <c r="I109">
        <v>127600</v>
      </c>
    </row>
    <row r="110" spans="1:9" x14ac:dyDescent="0.3">
      <c r="A110" t="s">
        <v>142</v>
      </c>
      <c r="B110">
        <v>45672</v>
      </c>
      <c r="C110" t="s">
        <v>55</v>
      </c>
      <c r="D110" t="s">
        <v>11</v>
      </c>
      <c r="E110" t="s">
        <v>37</v>
      </c>
      <c r="F110" t="s">
        <v>12</v>
      </c>
      <c r="G110" t="s">
        <v>14</v>
      </c>
      <c r="H110">
        <v>97336</v>
      </c>
      <c r="I110">
        <v>107800</v>
      </c>
    </row>
    <row r="111" spans="1:9" x14ac:dyDescent="0.3">
      <c r="A111" t="s">
        <v>143</v>
      </c>
      <c r="B111">
        <v>45673</v>
      </c>
      <c r="C111" t="s">
        <v>31</v>
      </c>
      <c r="D111" t="s">
        <v>11</v>
      </c>
      <c r="E111" t="s">
        <v>17</v>
      </c>
      <c r="F111" t="s">
        <v>42</v>
      </c>
      <c r="G111" t="s">
        <v>19</v>
      </c>
      <c r="H111">
        <v>101020</v>
      </c>
      <c r="I111">
        <v>87400</v>
      </c>
    </row>
    <row r="112" spans="1:9" x14ac:dyDescent="0.3">
      <c r="A112" t="s">
        <v>144</v>
      </c>
      <c r="B112">
        <v>45673</v>
      </c>
      <c r="C112" t="s">
        <v>31</v>
      </c>
      <c r="D112" t="s">
        <v>11</v>
      </c>
      <c r="E112" t="s">
        <v>17</v>
      </c>
      <c r="F112" t="s">
        <v>12</v>
      </c>
      <c r="G112" t="s">
        <v>14</v>
      </c>
      <c r="H112">
        <v>33242</v>
      </c>
      <c r="I112">
        <v>32300</v>
      </c>
    </row>
    <row r="113" spans="1:9" x14ac:dyDescent="0.3">
      <c r="A113" t="s">
        <v>145</v>
      </c>
      <c r="B113">
        <v>45673</v>
      </c>
      <c r="C113" t="s">
        <v>31</v>
      </c>
      <c r="D113" t="s">
        <v>11</v>
      </c>
      <c r="E113" t="s">
        <v>17</v>
      </c>
      <c r="F113" t="s">
        <v>12</v>
      </c>
      <c r="G113" t="s">
        <v>14</v>
      </c>
      <c r="H113">
        <v>152665</v>
      </c>
      <c r="I113">
        <v>158400</v>
      </c>
    </row>
    <row r="114" spans="1:9" x14ac:dyDescent="0.3">
      <c r="A114" t="s">
        <v>146</v>
      </c>
      <c r="B114">
        <v>45674</v>
      </c>
      <c r="C114" t="s">
        <v>62</v>
      </c>
      <c r="D114" t="s">
        <v>11</v>
      </c>
      <c r="E114" t="s">
        <v>22</v>
      </c>
      <c r="F114" t="s">
        <v>33</v>
      </c>
      <c r="G114" t="s">
        <v>19</v>
      </c>
      <c r="H114">
        <v>26357</v>
      </c>
      <c r="I114">
        <v>27500</v>
      </c>
    </row>
    <row r="115" spans="1:9" x14ac:dyDescent="0.3">
      <c r="A115" t="s">
        <v>147</v>
      </c>
      <c r="B115">
        <v>45674</v>
      </c>
      <c r="C115" t="s">
        <v>62</v>
      </c>
      <c r="D115" t="s">
        <v>11</v>
      </c>
      <c r="E115" t="s">
        <v>22</v>
      </c>
      <c r="F115" t="s">
        <v>12</v>
      </c>
      <c r="G115" t="s">
        <v>14</v>
      </c>
      <c r="H115">
        <v>98621</v>
      </c>
      <c r="I115">
        <v>90500</v>
      </c>
    </row>
    <row r="116" spans="1:9" x14ac:dyDescent="0.3">
      <c r="A116" t="s">
        <v>148</v>
      </c>
      <c r="B116">
        <v>45674</v>
      </c>
      <c r="C116" t="s">
        <v>10</v>
      </c>
      <c r="D116" t="s">
        <v>11</v>
      </c>
      <c r="E116" t="s">
        <v>12</v>
      </c>
      <c r="F116" t="s">
        <v>12</v>
      </c>
      <c r="G116" t="s">
        <v>14</v>
      </c>
      <c r="H116">
        <v>127368</v>
      </c>
      <c r="I116">
        <v>140300</v>
      </c>
    </row>
    <row r="117" spans="1:9" x14ac:dyDescent="0.3">
      <c r="A117" t="s">
        <v>149</v>
      </c>
      <c r="B117">
        <v>45674</v>
      </c>
      <c r="C117" t="s">
        <v>36</v>
      </c>
      <c r="D117" t="s">
        <v>11</v>
      </c>
      <c r="E117" t="s">
        <v>37</v>
      </c>
      <c r="F117" t="s">
        <v>46</v>
      </c>
      <c r="G117" t="s">
        <v>19</v>
      </c>
      <c r="H117">
        <v>20314</v>
      </c>
      <c r="I117">
        <v>24600</v>
      </c>
    </row>
    <row r="118" spans="1:9" x14ac:dyDescent="0.3">
      <c r="A118" t="s">
        <v>150</v>
      </c>
      <c r="B118">
        <v>45674</v>
      </c>
      <c r="C118" t="s">
        <v>25</v>
      </c>
      <c r="D118" t="s">
        <v>11</v>
      </c>
      <c r="E118" t="s">
        <v>22</v>
      </c>
      <c r="F118" t="s">
        <v>46</v>
      </c>
      <c r="G118" t="s">
        <v>19</v>
      </c>
      <c r="H118">
        <v>39167</v>
      </c>
      <c r="I118">
        <v>33300</v>
      </c>
    </row>
    <row r="119" spans="1:9" x14ac:dyDescent="0.3">
      <c r="A119" t="s">
        <v>151</v>
      </c>
      <c r="B119">
        <v>45675</v>
      </c>
      <c r="C119" t="s">
        <v>62</v>
      </c>
      <c r="D119" t="s">
        <v>11</v>
      </c>
      <c r="E119" t="s">
        <v>22</v>
      </c>
      <c r="F119" t="s">
        <v>33</v>
      </c>
      <c r="G119" t="s">
        <v>19</v>
      </c>
      <c r="H119">
        <v>24898</v>
      </c>
      <c r="I119">
        <v>27200</v>
      </c>
    </row>
    <row r="120" spans="1:9" x14ac:dyDescent="0.3">
      <c r="A120" t="s">
        <v>152</v>
      </c>
      <c r="B120">
        <v>45675</v>
      </c>
      <c r="C120" t="s">
        <v>62</v>
      </c>
      <c r="D120" t="s">
        <v>11</v>
      </c>
      <c r="E120" t="s">
        <v>22</v>
      </c>
      <c r="F120" t="s">
        <v>23</v>
      </c>
      <c r="G120" t="s">
        <v>14</v>
      </c>
      <c r="H120">
        <v>218268</v>
      </c>
      <c r="I120">
        <v>189000</v>
      </c>
    </row>
    <row r="121" spans="1:9" x14ac:dyDescent="0.3">
      <c r="A121" t="s">
        <v>153</v>
      </c>
      <c r="B121">
        <v>45675</v>
      </c>
      <c r="C121" t="s">
        <v>62</v>
      </c>
      <c r="D121" t="s">
        <v>11</v>
      </c>
      <c r="E121" t="s">
        <v>22</v>
      </c>
      <c r="F121" t="s">
        <v>26</v>
      </c>
      <c r="G121" t="s">
        <v>14</v>
      </c>
      <c r="H121">
        <v>27054</v>
      </c>
      <c r="I121">
        <v>28600</v>
      </c>
    </row>
    <row r="122" spans="1:9" x14ac:dyDescent="0.3">
      <c r="A122" t="s">
        <v>154</v>
      </c>
      <c r="B122">
        <v>45675</v>
      </c>
      <c r="C122" t="s">
        <v>62</v>
      </c>
      <c r="D122" t="s">
        <v>11</v>
      </c>
      <c r="E122" t="s">
        <v>22</v>
      </c>
      <c r="F122" t="s">
        <v>26</v>
      </c>
      <c r="G122" t="s">
        <v>14</v>
      </c>
      <c r="H122">
        <v>169462</v>
      </c>
      <c r="I122">
        <v>182600</v>
      </c>
    </row>
    <row r="123" spans="1:9" x14ac:dyDescent="0.3">
      <c r="A123" t="s">
        <v>155</v>
      </c>
      <c r="B123">
        <v>45675</v>
      </c>
      <c r="C123" t="s">
        <v>16</v>
      </c>
      <c r="D123" t="s">
        <v>11</v>
      </c>
      <c r="E123" t="s">
        <v>17</v>
      </c>
      <c r="F123" t="s">
        <v>13</v>
      </c>
      <c r="G123" t="s">
        <v>14</v>
      </c>
      <c r="H123">
        <v>239340</v>
      </c>
      <c r="I123">
        <v>243300</v>
      </c>
    </row>
    <row r="124" spans="1:9" x14ac:dyDescent="0.3">
      <c r="A124" t="s">
        <v>156</v>
      </c>
      <c r="B124">
        <v>45675</v>
      </c>
      <c r="C124" t="s">
        <v>55</v>
      </c>
      <c r="D124" t="s">
        <v>11</v>
      </c>
      <c r="E124" t="s">
        <v>37</v>
      </c>
      <c r="F124" t="s">
        <v>33</v>
      </c>
      <c r="G124" t="s">
        <v>19</v>
      </c>
      <c r="H124">
        <v>50718</v>
      </c>
      <c r="I124">
        <v>59800</v>
      </c>
    </row>
    <row r="125" spans="1:9" x14ac:dyDescent="0.3">
      <c r="A125" t="s">
        <v>157</v>
      </c>
      <c r="B125">
        <v>45675</v>
      </c>
      <c r="C125" t="s">
        <v>55</v>
      </c>
      <c r="D125" t="s">
        <v>11</v>
      </c>
      <c r="E125" t="s">
        <v>37</v>
      </c>
      <c r="F125" t="s">
        <v>13</v>
      </c>
      <c r="G125" t="s">
        <v>14</v>
      </c>
      <c r="H125">
        <v>131156</v>
      </c>
      <c r="I125">
        <v>133700</v>
      </c>
    </row>
    <row r="126" spans="1:9" x14ac:dyDescent="0.3">
      <c r="A126" t="s">
        <v>158</v>
      </c>
      <c r="B126">
        <v>45676</v>
      </c>
      <c r="C126" t="s">
        <v>62</v>
      </c>
      <c r="D126" t="s">
        <v>11</v>
      </c>
      <c r="E126" t="s">
        <v>22</v>
      </c>
      <c r="F126" t="s">
        <v>56</v>
      </c>
      <c r="G126" t="s">
        <v>19</v>
      </c>
      <c r="H126">
        <v>86553</v>
      </c>
      <c r="I126">
        <v>87700</v>
      </c>
    </row>
    <row r="127" spans="1:9" x14ac:dyDescent="0.3">
      <c r="A127" t="s">
        <v>159</v>
      </c>
      <c r="B127">
        <v>45676</v>
      </c>
      <c r="C127" t="s">
        <v>21</v>
      </c>
      <c r="D127" t="s">
        <v>11</v>
      </c>
      <c r="E127" t="s">
        <v>22</v>
      </c>
      <c r="F127" t="s">
        <v>33</v>
      </c>
      <c r="G127" t="s">
        <v>19</v>
      </c>
      <c r="H127">
        <v>24891</v>
      </c>
      <c r="I127">
        <v>24500</v>
      </c>
    </row>
    <row r="128" spans="1:9" x14ac:dyDescent="0.3">
      <c r="A128" t="s">
        <v>160</v>
      </c>
      <c r="B128">
        <v>45676</v>
      </c>
      <c r="C128" t="s">
        <v>31</v>
      </c>
      <c r="D128" t="s">
        <v>11</v>
      </c>
      <c r="E128" t="s">
        <v>17</v>
      </c>
      <c r="F128" t="s">
        <v>18</v>
      </c>
      <c r="G128" t="s">
        <v>19</v>
      </c>
      <c r="H128">
        <v>96560</v>
      </c>
      <c r="I128">
        <v>106000</v>
      </c>
    </row>
    <row r="129" spans="1:9" x14ac:dyDescent="0.3">
      <c r="A129" t="s">
        <v>161</v>
      </c>
      <c r="B129">
        <v>45676</v>
      </c>
      <c r="C129" t="s">
        <v>31</v>
      </c>
      <c r="D129" t="s">
        <v>11</v>
      </c>
      <c r="E129" t="s">
        <v>17</v>
      </c>
      <c r="F129" t="s">
        <v>59</v>
      </c>
      <c r="G129" t="s">
        <v>14</v>
      </c>
      <c r="H129">
        <v>97320</v>
      </c>
      <c r="I129">
        <v>93600</v>
      </c>
    </row>
    <row r="130" spans="1:9" x14ac:dyDescent="0.3">
      <c r="A130" t="s">
        <v>162</v>
      </c>
      <c r="B130">
        <v>45676</v>
      </c>
      <c r="C130" t="s">
        <v>55</v>
      </c>
      <c r="D130" t="s">
        <v>11</v>
      </c>
      <c r="E130" t="s">
        <v>37</v>
      </c>
      <c r="F130" t="s">
        <v>59</v>
      </c>
      <c r="G130" t="s">
        <v>14</v>
      </c>
      <c r="H130">
        <v>179613</v>
      </c>
      <c r="I130">
        <v>151800</v>
      </c>
    </row>
    <row r="131" spans="1:9" x14ac:dyDescent="0.3">
      <c r="A131" t="s">
        <v>163</v>
      </c>
      <c r="B131">
        <v>45677</v>
      </c>
      <c r="C131" t="s">
        <v>16</v>
      </c>
      <c r="D131" t="s">
        <v>11</v>
      </c>
      <c r="E131" t="s">
        <v>17</v>
      </c>
      <c r="F131" t="s">
        <v>59</v>
      </c>
      <c r="G131" t="s">
        <v>14</v>
      </c>
      <c r="H131">
        <v>181088</v>
      </c>
      <c r="I131">
        <v>181100</v>
      </c>
    </row>
    <row r="132" spans="1:9" x14ac:dyDescent="0.3">
      <c r="A132" t="s">
        <v>164</v>
      </c>
      <c r="B132">
        <v>45677</v>
      </c>
      <c r="C132" t="s">
        <v>21</v>
      </c>
      <c r="D132" t="s">
        <v>11</v>
      </c>
      <c r="E132" t="s">
        <v>22</v>
      </c>
      <c r="F132" t="s">
        <v>12</v>
      </c>
      <c r="G132" t="s">
        <v>14</v>
      </c>
      <c r="H132">
        <v>126990</v>
      </c>
      <c r="I132">
        <v>127000</v>
      </c>
    </row>
    <row r="133" spans="1:9" x14ac:dyDescent="0.3">
      <c r="A133" t="s">
        <v>165</v>
      </c>
      <c r="B133">
        <v>45677</v>
      </c>
      <c r="C133" t="s">
        <v>25</v>
      </c>
      <c r="D133" t="s">
        <v>11</v>
      </c>
      <c r="E133" t="s">
        <v>22</v>
      </c>
      <c r="F133" t="s">
        <v>18</v>
      </c>
      <c r="G133" t="s">
        <v>19</v>
      </c>
      <c r="H133">
        <v>91441</v>
      </c>
      <c r="I133">
        <v>82900</v>
      </c>
    </row>
    <row r="134" spans="1:9" x14ac:dyDescent="0.3">
      <c r="A134" t="s">
        <v>166</v>
      </c>
      <c r="B134">
        <v>45677</v>
      </c>
      <c r="C134" t="s">
        <v>31</v>
      </c>
      <c r="D134" t="s">
        <v>11</v>
      </c>
      <c r="E134" t="s">
        <v>17</v>
      </c>
      <c r="F134" t="s">
        <v>56</v>
      </c>
      <c r="G134" t="s">
        <v>19</v>
      </c>
      <c r="H134">
        <v>46296</v>
      </c>
      <c r="I134">
        <v>49900</v>
      </c>
    </row>
    <row r="135" spans="1:9" x14ac:dyDescent="0.3">
      <c r="A135" t="s">
        <v>167</v>
      </c>
      <c r="B135">
        <v>45677</v>
      </c>
      <c r="C135" t="s">
        <v>31</v>
      </c>
      <c r="D135" t="s">
        <v>11</v>
      </c>
      <c r="E135" t="s">
        <v>17</v>
      </c>
      <c r="F135" t="s">
        <v>37</v>
      </c>
      <c r="G135" t="s">
        <v>14</v>
      </c>
      <c r="H135">
        <v>94034</v>
      </c>
      <c r="I135">
        <v>87400</v>
      </c>
    </row>
    <row r="136" spans="1:9" x14ac:dyDescent="0.3">
      <c r="A136" t="s">
        <v>168</v>
      </c>
      <c r="B136">
        <v>45677</v>
      </c>
      <c r="C136" t="s">
        <v>55</v>
      </c>
      <c r="D136" t="s">
        <v>11</v>
      </c>
      <c r="E136" t="s">
        <v>37</v>
      </c>
      <c r="F136" t="s">
        <v>42</v>
      </c>
      <c r="G136" t="s">
        <v>19</v>
      </c>
      <c r="H136">
        <v>43793</v>
      </c>
      <c r="I136">
        <v>40800</v>
      </c>
    </row>
    <row r="137" spans="1:9" x14ac:dyDescent="0.3">
      <c r="A137" t="s">
        <v>169</v>
      </c>
      <c r="B137">
        <v>45678</v>
      </c>
      <c r="C137" t="s">
        <v>62</v>
      </c>
      <c r="D137" t="s">
        <v>11</v>
      </c>
      <c r="E137" t="s">
        <v>22</v>
      </c>
      <c r="F137" t="s">
        <v>46</v>
      </c>
      <c r="G137" t="s">
        <v>19</v>
      </c>
      <c r="H137">
        <v>111524</v>
      </c>
      <c r="I137">
        <v>97600</v>
      </c>
    </row>
    <row r="138" spans="1:9" x14ac:dyDescent="0.3">
      <c r="A138" t="s">
        <v>170</v>
      </c>
      <c r="B138">
        <v>45678</v>
      </c>
      <c r="C138" t="s">
        <v>62</v>
      </c>
      <c r="D138" t="s">
        <v>11</v>
      </c>
      <c r="E138" t="s">
        <v>22</v>
      </c>
      <c r="F138" t="s">
        <v>46</v>
      </c>
      <c r="G138" t="s">
        <v>19</v>
      </c>
      <c r="H138">
        <v>57970</v>
      </c>
      <c r="I138">
        <v>64200</v>
      </c>
    </row>
    <row r="139" spans="1:9" x14ac:dyDescent="0.3">
      <c r="A139" t="s">
        <v>171</v>
      </c>
      <c r="B139">
        <v>45678</v>
      </c>
      <c r="C139" t="s">
        <v>10</v>
      </c>
      <c r="D139" t="s">
        <v>11</v>
      </c>
      <c r="E139" t="s">
        <v>12</v>
      </c>
      <c r="F139" t="s">
        <v>42</v>
      </c>
      <c r="G139" t="s">
        <v>19</v>
      </c>
      <c r="H139">
        <v>40263</v>
      </c>
      <c r="I139">
        <v>37600</v>
      </c>
    </row>
    <row r="140" spans="1:9" x14ac:dyDescent="0.3">
      <c r="A140" t="s">
        <v>172</v>
      </c>
      <c r="B140">
        <v>45678</v>
      </c>
      <c r="C140" t="s">
        <v>16</v>
      </c>
      <c r="D140" t="s">
        <v>11</v>
      </c>
      <c r="E140" t="s">
        <v>17</v>
      </c>
      <c r="F140" t="s">
        <v>18</v>
      </c>
      <c r="G140" t="s">
        <v>19</v>
      </c>
      <c r="H140">
        <v>92916</v>
      </c>
      <c r="I140">
        <v>101400</v>
      </c>
    </row>
    <row r="141" spans="1:9" x14ac:dyDescent="0.3">
      <c r="A141" t="s">
        <v>173</v>
      </c>
      <c r="B141">
        <v>45678</v>
      </c>
      <c r="C141" t="s">
        <v>16</v>
      </c>
      <c r="D141" t="s">
        <v>11</v>
      </c>
      <c r="E141" t="s">
        <v>17</v>
      </c>
      <c r="F141" t="s">
        <v>42</v>
      </c>
      <c r="G141" t="s">
        <v>19</v>
      </c>
      <c r="H141">
        <v>35192</v>
      </c>
      <c r="I141">
        <v>35900</v>
      </c>
    </row>
    <row r="142" spans="1:9" x14ac:dyDescent="0.3">
      <c r="A142" t="s">
        <v>174</v>
      </c>
      <c r="B142">
        <v>45678</v>
      </c>
      <c r="C142" t="s">
        <v>16</v>
      </c>
      <c r="D142" t="s">
        <v>11</v>
      </c>
      <c r="E142" t="s">
        <v>17</v>
      </c>
      <c r="F142" t="s">
        <v>13</v>
      </c>
      <c r="G142" t="s">
        <v>14</v>
      </c>
      <c r="H142">
        <v>34942</v>
      </c>
      <c r="I142">
        <v>31600</v>
      </c>
    </row>
    <row r="143" spans="1:9" x14ac:dyDescent="0.3">
      <c r="A143" t="s">
        <v>175</v>
      </c>
      <c r="B143">
        <v>45678</v>
      </c>
      <c r="C143" t="s">
        <v>21</v>
      </c>
      <c r="D143" t="s">
        <v>11</v>
      </c>
      <c r="E143" t="s">
        <v>22</v>
      </c>
      <c r="F143" t="s">
        <v>23</v>
      </c>
      <c r="G143" t="s">
        <v>14</v>
      </c>
      <c r="H143">
        <v>25302</v>
      </c>
      <c r="I143">
        <v>23900</v>
      </c>
    </row>
    <row r="144" spans="1:9" x14ac:dyDescent="0.3">
      <c r="A144" t="s">
        <v>176</v>
      </c>
      <c r="B144">
        <v>45678</v>
      </c>
      <c r="C144" t="s">
        <v>25</v>
      </c>
      <c r="D144" t="s">
        <v>11</v>
      </c>
      <c r="E144" t="s">
        <v>22</v>
      </c>
      <c r="F144" t="s">
        <v>12</v>
      </c>
      <c r="G144" t="s">
        <v>14</v>
      </c>
      <c r="H144">
        <v>100130</v>
      </c>
      <c r="I144">
        <v>95100</v>
      </c>
    </row>
    <row r="145" spans="1:9" x14ac:dyDescent="0.3">
      <c r="A145" t="s">
        <v>177</v>
      </c>
      <c r="B145">
        <v>45679</v>
      </c>
      <c r="C145" t="s">
        <v>16</v>
      </c>
      <c r="D145" t="s">
        <v>11</v>
      </c>
      <c r="E145" t="s">
        <v>17</v>
      </c>
      <c r="F145" t="s">
        <v>12</v>
      </c>
      <c r="G145" t="s">
        <v>14</v>
      </c>
      <c r="H145">
        <v>114796</v>
      </c>
      <c r="I145">
        <v>119400</v>
      </c>
    </row>
    <row r="146" spans="1:9" x14ac:dyDescent="0.3">
      <c r="A146" t="s">
        <v>178</v>
      </c>
      <c r="B146">
        <v>45679</v>
      </c>
      <c r="C146" t="s">
        <v>21</v>
      </c>
      <c r="D146" t="s">
        <v>11</v>
      </c>
      <c r="E146" t="s">
        <v>22</v>
      </c>
      <c r="F146" t="s">
        <v>39</v>
      </c>
      <c r="G146" t="s">
        <v>19</v>
      </c>
      <c r="H146">
        <v>65910</v>
      </c>
      <c r="I146">
        <v>58600</v>
      </c>
    </row>
    <row r="147" spans="1:9" x14ac:dyDescent="0.3">
      <c r="A147" t="s">
        <v>179</v>
      </c>
      <c r="B147">
        <v>45679</v>
      </c>
      <c r="C147" t="s">
        <v>31</v>
      </c>
      <c r="D147" t="s">
        <v>11</v>
      </c>
      <c r="E147" t="s">
        <v>17</v>
      </c>
      <c r="F147" t="s">
        <v>46</v>
      </c>
      <c r="G147" t="s">
        <v>19</v>
      </c>
      <c r="H147">
        <v>115240</v>
      </c>
      <c r="I147">
        <v>123200</v>
      </c>
    </row>
    <row r="148" spans="1:9" x14ac:dyDescent="0.3">
      <c r="A148" t="s">
        <v>180</v>
      </c>
      <c r="B148">
        <v>45679</v>
      </c>
      <c r="C148" t="s">
        <v>31</v>
      </c>
      <c r="D148" t="s">
        <v>11</v>
      </c>
      <c r="E148" t="s">
        <v>17</v>
      </c>
      <c r="F148" t="s">
        <v>42</v>
      </c>
      <c r="G148" t="s">
        <v>19</v>
      </c>
      <c r="H148">
        <v>103319</v>
      </c>
      <c r="I148">
        <v>112200</v>
      </c>
    </row>
    <row r="149" spans="1:9" x14ac:dyDescent="0.3">
      <c r="A149" t="s">
        <v>181</v>
      </c>
      <c r="B149">
        <v>45679</v>
      </c>
      <c r="C149" t="s">
        <v>55</v>
      </c>
      <c r="D149" t="s">
        <v>11</v>
      </c>
      <c r="E149" t="s">
        <v>37</v>
      </c>
      <c r="F149" t="s">
        <v>18</v>
      </c>
      <c r="G149" t="s">
        <v>19</v>
      </c>
      <c r="H149">
        <v>101519</v>
      </c>
      <c r="I149">
        <v>96900</v>
      </c>
    </row>
    <row r="150" spans="1:9" x14ac:dyDescent="0.3">
      <c r="A150" t="s">
        <v>182</v>
      </c>
      <c r="B150">
        <v>45680</v>
      </c>
      <c r="C150" t="s">
        <v>62</v>
      </c>
      <c r="D150" t="s">
        <v>11</v>
      </c>
      <c r="E150" t="s">
        <v>22</v>
      </c>
      <c r="F150" t="s">
        <v>18</v>
      </c>
      <c r="G150" t="s">
        <v>19</v>
      </c>
      <c r="H150">
        <v>32263</v>
      </c>
      <c r="I150">
        <v>34300</v>
      </c>
    </row>
    <row r="151" spans="1:9" x14ac:dyDescent="0.3">
      <c r="A151" t="s">
        <v>183</v>
      </c>
      <c r="B151">
        <v>45680</v>
      </c>
      <c r="C151" t="s">
        <v>10</v>
      </c>
      <c r="D151" t="s">
        <v>11</v>
      </c>
      <c r="E151" t="s">
        <v>12</v>
      </c>
      <c r="F151" t="s">
        <v>42</v>
      </c>
      <c r="G151" t="s">
        <v>19</v>
      </c>
      <c r="H151">
        <v>63705</v>
      </c>
      <c r="I151">
        <v>57700</v>
      </c>
    </row>
    <row r="152" spans="1:9" x14ac:dyDescent="0.3">
      <c r="A152" t="s">
        <v>184</v>
      </c>
      <c r="B152">
        <v>45680</v>
      </c>
      <c r="C152" t="s">
        <v>10</v>
      </c>
      <c r="D152" t="s">
        <v>11</v>
      </c>
      <c r="E152" t="s">
        <v>12</v>
      </c>
      <c r="F152" t="s">
        <v>18</v>
      </c>
      <c r="G152" t="s">
        <v>19</v>
      </c>
      <c r="H152">
        <v>63617</v>
      </c>
      <c r="I152">
        <v>70100</v>
      </c>
    </row>
    <row r="153" spans="1:9" x14ac:dyDescent="0.3">
      <c r="A153" t="s">
        <v>185</v>
      </c>
      <c r="B153">
        <v>45680</v>
      </c>
      <c r="C153" t="s">
        <v>10</v>
      </c>
      <c r="D153" t="s">
        <v>11</v>
      </c>
      <c r="E153" t="s">
        <v>12</v>
      </c>
      <c r="F153" t="s">
        <v>59</v>
      </c>
      <c r="G153" t="s">
        <v>14</v>
      </c>
      <c r="H153">
        <v>180644</v>
      </c>
      <c r="I153">
        <v>185200</v>
      </c>
    </row>
    <row r="154" spans="1:9" x14ac:dyDescent="0.3">
      <c r="A154" t="s">
        <v>186</v>
      </c>
      <c r="B154">
        <v>45680</v>
      </c>
      <c r="C154" t="s">
        <v>16</v>
      </c>
      <c r="D154" t="s">
        <v>11</v>
      </c>
      <c r="E154" t="s">
        <v>17</v>
      </c>
      <c r="F154" t="s">
        <v>39</v>
      </c>
      <c r="G154" t="s">
        <v>19</v>
      </c>
      <c r="H154">
        <v>114055</v>
      </c>
      <c r="I154">
        <v>115100</v>
      </c>
    </row>
    <row r="155" spans="1:9" x14ac:dyDescent="0.3">
      <c r="A155" t="s">
        <v>187</v>
      </c>
      <c r="B155">
        <v>45680</v>
      </c>
      <c r="C155" t="s">
        <v>16</v>
      </c>
      <c r="D155" t="s">
        <v>11</v>
      </c>
      <c r="E155" t="s">
        <v>17</v>
      </c>
      <c r="F155" t="s">
        <v>12</v>
      </c>
      <c r="G155" t="s">
        <v>14</v>
      </c>
      <c r="H155">
        <v>139844</v>
      </c>
      <c r="I155">
        <v>136100</v>
      </c>
    </row>
    <row r="156" spans="1:9" x14ac:dyDescent="0.3">
      <c r="A156" t="s">
        <v>188</v>
      </c>
      <c r="B156">
        <v>45680</v>
      </c>
      <c r="C156" t="s">
        <v>25</v>
      </c>
      <c r="D156" t="s">
        <v>11</v>
      </c>
      <c r="E156" t="s">
        <v>22</v>
      </c>
      <c r="F156" t="s">
        <v>39</v>
      </c>
      <c r="G156" t="s">
        <v>19</v>
      </c>
      <c r="H156">
        <v>113324</v>
      </c>
      <c r="I156">
        <v>94700</v>
      </c>
    </row>
    <row r="157" spans="1:9" x14ac:dyDescent="0.3">
      <c r="A157" t="s">
        <v>189</v>
      </c>
      <c r="B157">
        <v>45680</v>
      </c>
      <c r="C157" t="s">
        <v>25</v>
      </c>
      <c r="D157" t="s">
        <v>11</v>
      </c>
      <c r="E157" t="s">
        <v>22</v>
      </c>
      <c r="F157" t="s">
        <v>33</v>
      </c>
      <c r="G157" t="s">
        <v>19</v>
      </c>
      <c r="H157">
        <v>74943</v>
      </c>
      <c r="I157">
        <v>76200</v>
      </c>
    </row>
    <row r="158" spans="1:9" x14ac:dyDescent="0.3">
      <c r="A158" t="s">
        <v>190</v>
      </c>
      <c r="B158">
        <v>45680</v>
      </c>
      <c r="C158" t="s">
        <v>55</v>
      </c>
      <c r="D158" t="s">
        <v>11</v>
      </c>
      <c r="E158" t="s">
        <v>37</v>
      </c>
      <c r="F158" t="s">
        <v>18</v>
      </c>
      <c r="G158" t="s">
        <v>19</v>
      </c>
      <c r="H158">
        <v>50250</v>
      </c>
      <c r="I158">
        <v>51400</v>
      </c>
    </row>
    <row r="159" spans="1:9" x14ac:dyDescent="0.3">
      <c r="A159" t="s">
        <v>191</v>
      </c>
      <c r="B159">
        <v>45680</v>
      </c>
      <c r="C159" t="s">
        <v>55</v>
      </c>
      <c r="D159" t="s">
        <v>11</v>
      </c>
      <c r="E159" t="s">
        <v>37</v>
      </c>
      <c r="F159" t="s">
        <v>56</v>
      </c>
      <c r="G159" t="s">
        <v>19</v>
      </c>
      <c r="H159">
        <v>48185</v>
      </c>
      <c r="I159">
        <v>40500</v>
      </c>
    </row>
    <row r="160" spans="1:9" x14ac:dyDescent="0.3">
      <c r="A160" t="s">
        <v>192</v>
      </c>
      <c r="B160">
        <v>45681</v>
      </c>
      <c r="C160" t="s">
        <v>10</v>
      </c>
      <c r="D160" t="s">
        <v>11</v>
      </c>
      <c r="E160" t="s">
        <v>12</v>
      </c>
      <c r="F160" t="s">
        <v>33</v>
      </c>
      <c r="G160" t="s">
        <v>19</v>
      </c>
      <c r="H160">
        <v>51402</v>
      </c>
      <c r="I160">
        <v>56000</v>
      </c>
    </row>
    <row r="161" spans="1:9" x14ac:dyDescent="0.3">
      <c r="A161" t="s">
        <v>193</v>
      </c>
      <c r="B161">
        <v>45681</v>
      </c>
      <c r="C161" t="s">
        <v>10</v>
      </c>
      <c r="D161" t="s">
        <v>11</v>
      </c>
      <c r="E161" t="s">
        <v>12</v>
      </c>
      <c r="F161" t="s">
        <v>26</v>
      </c>
      <c r="G161" t="s">
        <v>14</v>
      </c>
      <c r="H161">
        <v>155708</v>
      </c>
      <c r="I161">
        <v>140000</v>
      </c>
    </row>
    <row r="162" spans="1:9" x14ac:dyDescent="0.3">
      <c r="A162" t="s">
        <v>194</v>
      </c>
      <c r="B162">
        <v>45681</v>
      </c>
      <c r="C162" t="s">
        <v>21</v>
      </c>
      <c r="D162" t="s">
        <v>11</v>
      </c>
      <c r="E162" t="s">
        <v>22</v>
      </c>
      <c r="F162" t="s">
        <v>42</v>
      </c>
      <c r="G162" t="s">
        <v>19</v>
      </c>
      <c r="H162">
        <v>55726</v>
      </c>
      <c r="I162">
        <v>59900</v>
      </c>
    </row>
    <row r="163" spans="1:9" x14ac:dyDescent="0.3">
      <c r="A163" t="s">
        <v>195</v>
      </c>
      <c r="B163">
        <v>45681</v>
      </c>
      <c r="C163" t="s">
        <v>21</v>
      </c>
      <c r="D163" t="s">
        <v>11</v>
      </c>
      <c r="E163" t="s">
        <v>22</v>
      </c>
      <c r="F163" t="s">
        <v>13</v>
      </c>
      <c r="G163" t="s">
        <v>14</v>
      </c>
      <c r="H163">
        <v>101053</v>
      </c>
      <c r="I163">
        <v>108700</v>
      </c>
    </row>
    <row r="164" spans="1:9" x14ac:dyDescent="0.3">
      <c r="A164" t="s">
        <v>196</v>
      </c>
      <c r="B164">
        <v>45681</v>
      </c>
      <c r="C164" t="s">
        <v>31</v>
      </c>
      <c r="D164" t="s">
        <v>11</v>
      </c>
      <c r="E164" t="s">
        <v>17</v>
      </c>
      <c r="F164" t="s">
        <v>46</v>
      </c>
      <c r="G164" t="s">
        <v>19</v>
      </c>
      <c r="H164">
        <v>42927</v>
      </c>
      <c r="I164">
        <v>43600</v>
      </c>
    </row>
    <row r="165" spans="1:9" x14ac:dyDescent="0.3">
      <c r="A165" t="s">
        <v>197</v>
      </c>
      <c r="B165">
        <v>45681</v>
      </c>
      <c r="C165" t="s">
        <v>31</v>
      </c>
      <c r="D165" t="s">
        <v>11</v>
      </c>
      <c r="E165" t="s">
        <v>17</v>
      </c>
      <c r="F165" t="s">
        <v>33</v>
      </c>
      <c r="G165" t="s">
        <v>19</v>
      </c>
      <c r="H165">
        <v>18208</v>
      </c>
      <c r="I165">
        <v>21400</v>
      </c>
    </row>
    <row r="166" spans="1:9" x14ac:dyDescent="0.3">
      <c r="A166" t="s">
        <v>198</v>
      </c>
      <c r="B166">
        <v>45681</v>
      </c>
      <c r="C166" t="s">
        <v>31</v>
      </c>
      <c r="D166" t="s">
        <v>11</v>
      </c>
      <c r="E166" t="s">
        <v>17</v>
      </c>
      <c r="F166" t="s">
        <v>23</v>
      </c>
      <c r="G166" t="s">
        <v>14</v>
      </c>
      <c r="H166">
        <v>84024</v>
      </c>
      <c r="I166">
        <v>84200</v>
      </c>
    </row>
    <row r="167" spans="1:9" x14ac:dyDescent="0.3">
      <c r="A167" t="s">
        <v>199</v>
      </c>
      <c r="B167">
        <v>45681</v>
      </c>
      <c r="C167" t="s">
        <v>55</v>
      </c>
      <c r="D167" t="s">
        <v>11</v>
      </c>
      <c r="E167" t="s">
        <v>37</v>
      </c>
      <c r="F167" t="s">
        <v>42</v>
      </c>
      <c r="G167" t="s">
        <v>19</v>
      </c>
      <c r="H167">
        <v>71103</v>
      </c>
      <c r="I167">
        <v>57600</v>
      </c>
    </row>
    <row r="168" spans="1:9" x14ac:dyDescent="0.3">
      <c r="A168" t="s">
        <v>200</v>
      </c>
      <c r="B168">
        <v>45681</v>
      </c>
      <c r="C168" t="s">
        <v>55</v>
      </c>
      <c r="D168" t="s">
        <v>11</v>
      </c>
      <c r="E168" t="s">
        <v>37</v>
      </c>
      <c r="F168" t="s">
        <v>12</v>
      </c>
      <c r="G168" t="s">
        <v>14</v>
      </c>
      <c r="H168">
        <v>233422</v>
      </c>
      <c r="I168">
        <v>252600</v>
      </c>
    </row>
    <row r="169" spans="1:9" x14ac:dyDescent="0.3">
      <c r="A169" t="s">
        <v>201</v>
      </c>
      <c r="B169">
        <v>45682</v>
      </c>
      <c r="C169" t="s">
        <v>10</v>
      </c>
      <c r="D169" t="s">
        <v>11</v>
      </c>
      <c r="E169" t="s">
        <v>12</v>
      </c>
      <c r="F169" t="s">
        <v>18</v>
      </c>
      <c r="G169" t="s">
        <v>19</v>
      </c>
      <c r="H169">
        <v>86765</v>
      </c>
      <c r="I169">
        <v>96900</v>
      </c>
    </row>
    <row r="170" spans="1:9" x14ac:dyDescent="0.3">
      <c r="A170" t="s">
        <v>202</v>
      </c>
      <c r="B170">
        <v>45682</v>
      </c>
      <c r="C170" t="s">
        <v>10</v>
      </c>
      <c r="D170" t="s">
        <v>11</v>
      </c>
      <c r="E170" t="s">
        <v>12</v>
      </c>
      <c r="F170" t="s">
        <v>18</v>
      </c>
      <c r="G170" t="s">
        <v>19</v>
      </c>
      <c r="H170">
        <v>68096</v>
      </c>
      <c r="I170">
        <v>59400</v>
      </c>
    </row>
    <row r="171" spans="1:9" x14ac:dyDescent="0.3">
      <c r="A171" t="s">
        <v>203</v>
      </c>
      <c r="B171">
        <v>45682</v>
      </c>
      <c r="C171" t="s">
        <v>10</v>
      </c>
      <c r="D171" t="s">
        <v>11</v>
      </c>
      <c r="E171" t="s">
        <v>12</v>
      </c>
      <c r="F171" t="s">
        <v>39</v>
      </c>
      <c r="G171" t="s">
        <v>19</v>
      </c>
      <c r="H171">
        <v>71527</v>
      </c>
      <c r="I171">
        <v>65800</v>
      </c>
    </row>
    <row r="172" spans="1:9" x14ac:dyDescent="0.3">
      <c r="A172" t="s">
        <v>204</v>
      </c>
      <c r="B172">
        <v>45682</v>
      </c>
      <c r="C172" t="s">
        <v>21</v>
      </c>
      <c r="D172" t="s">
        <v>11</v>
      </c>
      <c r="E172" t="s">
        <v>22</v>
      </c>
      <c r="F172" t="s">
        <v>23</v>
      </c>
      <c r="G172" t="s">
        <v>14</v>
      </c>
      <c r="H172">
        <v>197872</v>
      </c>
      <c r="I172">
        <v>192700</v>
      </c>
    </row>
    <row r="173" spans="1:9" x14ac:dyDescent="0.3">
      <c r="A173" t="s">
        <v>205</v>
      </c>
      <c r="B173">
        <v>45682</v>
      </c>
      <c r="C173" t="s">
        <v>21</v>
      </c>
      <c r="D173" t="s">
        <v>11</v>
      </c>
      <c r="E173" t="s">
        <v>22</v>
      </c>
      <c r="F173" t="s">
        <v>12</v>
      </c>
      <c r="G173" t="s">
        <v>14</v>
      </c>
      <c r="H173">
        <v>246037</v>
      </c>
      <c r="I173">
        <v>247700</v>
      </c>
    </row>
    <row r="174" spans="1:9" x14ac:dyDescent="0.3">
      <c r="A174" t="s">
        <v>206</v>
      </c>
      <c r="B174">
        <v>45682</v>
      </c>
      <c r="C174" t="s">
        <v>25</v>
      </c>
      <c r="D174" t="s">
        <v>11</v>
      </c>
      <c r="E174" t="s">
        <v>22</v>
      </c>
      <c r="F174" t="s">
        <v>26</v>
      </c>
      <c r="G174" t="s">
        <v>14</v>
      </c>
      <c r="H174">
        <v>92272</v>
      </c>
      <c r="I174">
        <v>106900</v>
      </c>
    </row>
    <row r="175" spans="1:9" x14ac:dyDescent="0.3">
      <c r="A175" t="s">
        <v>207</v>
      </c>
      <c r="B175">
        <v>45682</v>
      </c>
      <c r="C175" t="s">
        <v>31</v>
      </c>
      <c r="D175" t="s">
        <v>11</v>
      </c>
      <c r="E175" t="s">
        <v>17</v>
      </c>
      <c r="F175" t="s">
        <v>23</v>
      </c>
      <c r="G175" t="s">
        <v>14</v>
      </c>
      <c r="H175">
        <v>132277</v>
      </c>
      <c r="I175">
        <v>118100</v>
      </c>
    </row>
    <row r="176" spans="1:9" x14ac:dyDescent="0.3">
      <c r="A176" t="s">
        <v>208</v>
      </c>
      <c r="B176">
        <v>45683</v>
      </c>
      <c r="C176" t="s">
        <v>62</v>
      </c>
      <c r="D176" t="s">
        <v>11</v>
      </c>
      <c r="E176" t="s">
        <v>22</v>
      </c>
      <c r="F176" t="s">
        <v>33</v>
      </c>
      <c r="G176" t="s">
        <v>19</v>
      </c>
      <c r="H176">
        <v>98530</v>
      </c>
      <c r="I176">
        <v>122500</v>
      </c>
    </row>
    <row r="177" spans="1:9" x14ac:dyDescent="0.3">
      <c r="A177" t="s">
        <v>209</v>
      </c>
      <c r="B177">
        <v>45683</v>
      </c>
      <c r="C177" t="s">
        <v>62</v>
      </c>
      <c r="D177" t="s">
        <v>11</v>
      </c>
      <c r="E177" t="s">
        <v>22</v>
      </c>
      <c r="F177" t="s">
        <v>56</v>
      </c>
      <c r="G177" t="s">
        <v>19</v>
      </c>
      <c r="H177">
        <v>66409</v>
      </c>
      <c r="I177">
        <v>62200</v>
      </c>
    </row>
    <row r="178" spans="1:9" x14ac:dyDescent="0.3">
      <c r="A178" t="s">
        <v>210</v>
      </c>
      <c r="B178">
        <v>45683</v>
      </c>
      <c r="C178" t="s">
        <v>10</v>
      </c>
      <c r="D178" t="s">
        <v>11</v>
      </c>
      <c r="E178" t="s">
        <v>12</v>
      </c>
      <c r="F178" t="s">
        <v>46</v>
      </c>
      <c r="G178" t="s">
        <v>19</v>
      </c>
      <c r="H178">
        <v>51729</v>
      </c>
      <c r="I178">
        <v>48000</v>
      </c>
    </row>
    <row r="179" spans="1:9" x14ac:dyDescent="0.3">
      <c r="A179" t="s">
        <v>211</v>
      </c>
      <c r="B179">
        <v>45683</v>
      </c>
      <c r="C179" t="s">
        <v>10</v>
      </c>
      <c r="D179" t="s">
        <v>11</v>
      </c>
      <c r="E179" t="s">
        <v>12</v>
      </c>
      <c r="F179" t="s">
        <v>26</v>
      </c>
      <c r="G179" t="s">
        <v>14</v>
      </c>
      <c r="H179">
        <v>178184</v>
      </c>
      <c r="I179">
        <v>172600</v>
      </c>
    </row>
    <row r="180" spans="1:9" x14ac:dyDescent="0.3">
      <c r="A180" t="s">
        <v>212</v>
      </c>
      <c r="B180">
        <v>45683</v>
      </c>
      <c r="C180" t="s">
        <v>36</v>
      </c>
      <c r="D180" t="s">
        <v>11</v>
      </c>
      <c r="E180" t="s">
        <v>37</v>
      </c>
      <c r="F180" t="s">
        <v>33</v>
      </c>
      <c r="G180" t="s">
        <v>19</v>
      </c>
      <c r="H180">
        <v>119924</v>
      </c>
      <c r="I180">
        <v>126200</v>
      </c>
    </row>
    <row r="181" spans="1:9" x14ac:dyDescent="0.3">
      <c r="A181" t="s">
        <v>213</v>
      </c>
      <c r="B181">
        <v>45683</v>
      </c>
      <c r="C181" t="s">
        <v>21</v>
      </c>
      <c r="D181" t="s">
        <v>11</v>
      </c>
      <c r="E181" t="s">
        <v>22</v>
      </c>
      <c r="F181" t="s">
        <v>33</v>
      </c>
      <c r="G181" t="s">
        <v>19</v>
      </c>
      <c r="H181">
        <v>52346</v>
      </c>
      <c r="I181">
        <v>58300</v>
      </c>
    </row>
    <row r="182" spans="1:9" x14ac:dyDescent="0.3">
      <c r="A182" t="s">
        <v>214</v>
      </c>
      <c r="B182">
        <v>45683</v>
      </c>
      <c r="C182" t="s">
        <v>21</v>
      </c>
      <c r="D182" t="s">
        <v>11</v>
      </c>
      <c r="E182" t="s">
        <v>22</v>
      </c>
      <c r="F182" t="s">
        <v>18</v>
      </c>
      <c r="G182" t="s">
        <v>19</v>
      </c>
      <c r="H182">
        <v>14372</v>
      </c>
      <c r="I182">
        <v>12700</v>
      </c>
    </row>
    <row r="183" spans="1:9" x14ac:dyDescent="0.3">
      <c r="A183" t="s">
        <v>215</v>
      </c>
      <c r="B183">
        <v>45683</v>
      </c>
      <c r="C183" t="s">
        <v>21</v>
      </c>
      <c r="D183" t="s">
        <v>11</v>
      </c>
      <c r="E183" t="s">
        <v>22</v>
      </c>
      <c r="F183" t="s">
        <v>26</v>
      </c>
      <c r="G183" t="s">
        <v>14</v>
      </c>
      <c r="H183">
        <v>221055</v>
      </c>
      <c r="I183">
        <v>230100</v>
      </c>
    </row>
    <row r="184" spans="1:9" x14ac:dyDescent="0.3">
      <c r="A184" t="s">
        <v>216</v>
      </c>
      <c r="B184">
        <v>45683</v>
      </c>
      <c r="C184" t="s">
        <v>55</v>
      </c>
      <c r="D184" t="s">
        <v>11</v>
      </c>
      <c r="E184" t="s">
        <v>37</v>
      </c>
      <c r="F184" t="s">
        <v>13</v>
      </c>
      <c r="G184" t="s">
        <v>14</v>
      </c>
      <c r="H184">
        <v>244073</v>
      </c>
      <c r="I184">
        <v>237500</v>
      </c>
    </row>
    <row r="185" spans="1:9" x14ac:dyDescent="0.3">
      <c r="A185" t="s">
        <v>217</v>
      </c>
      <c r="B185">
        <v>45684</v>
      </c>
      <c r="C185" t="s">
        <v>62</v>
      </c>
      <c r="D185" t="s">
        <v>11</v>
      </c>
      <c r="E185" t="s">
        <v>22</v>
      </c>
      <c r="F185" t="s">
        <v>37</v>
      </c>
      <c r="G185" t="s">
        <v>14</v>
      </c>
      <c r="H185">
        <v>60283</v>
      </c>
      <c r="I185">
        <v>65700</v>
      </c>
    </row>
    <row r="186" spans="1:9" x14ac:dyDescent="0.3">
      <c r="A186" t="s">
        <v>218</v>
      </c>
      <c r="B186">
        <v>45684</v>
      </c>
      <c r="C186" t="s">
        <v>10</v>
      </c>
      <c r="D186" t="s">
        <v>11</v>
      </c>
      <c r="E186" t="s">
        <v>12</v>
      </c>
      <c r="F186" t="s">
        <v>23</v>
      </c>
      <c r="G186" t="s">
        <v>14</v>
      </c>
      <c r="H186">
        <v>108406</v>
      </c>
      <c r="I186">
        <v>105100</v>
      </c>
    </row>
    <row r="187" spans="1:9" x14ac:dyDescent="0.3">
      <c r="A187" t="s">
        <v>219</v>
      </c>
      <c r="B187">
        <v>45684</v>
      </c>
      <c r="C187" t="s">
        <v>36</v>
      </c>
      <c r="D187" t="s">
        <v>11</v>
      </c>
      <c r="E187" t="s">
        <v>37</v>
      </c>
      <c r="F187" t="s">
        <v>42</v>
      </c>
      <c r="G187" t="s">
        <v>19</v>
      </c>
      <c r="H187">
        <v>92395</v>
      </c>
      <c r="I187">
        <v>101200</v>
      </c>
    </row>
    <row r="188" spans="1:9" x14ac:dyDescent="0.3">
      <c r="A188" t="s">
        <v>220</v>
      </c>
      <c r="B188">
        <v>45684</v>
      </c>
      <c r="C188" t="s">
        <v>25</v>
      </c>
      <c r="D188" t="s">
        <v>11</v>
      </c>
      <c r="E188" t="s">
        <v>22</v>
      </c>
      <c r="F188" t="s">
        <v>37</v>
      </c>
      <c r="G188" t="s">
        <v>14</v>
      </c>
      <c r="H188">
        <v>243326</v>
      </c>
      <c r="I188">
        <v>205200</v>
      </c>
    </row>
    <row r="189" spans="1:9" x14ac:dyDescent="0.3">
      <c r="A189" t="s">
        <v>221</v>
      </c>
      <c r="B189">
        <v>45684</v>
      </c>
      <c r="C189" t="s">
        <v>31</v>
      </c>
      <c r="D189" t="s">
        <v>11</v>
      </c>
      <c r="E189" t="s">
        <v>17</v>
      </c>
      <c r="F189" t="s">
        <v>26</v>
      </c>
      <c r="G189" t="s">
        <v>14</v>
      </c>
      <c r="H189">
        <v>123357</v>
      </c>
      <c r="I189">
        <v>118500</v>
      </c>
    </row>
    <row r="190" spans="1:9" x14ac:dyDescent="0.3">
      <c r="A190" t="s">
        <v>222</v>
      </c>
      <c r="B190">
        <v>45684</v>
      </c>
      <c r="C190" t="s">
        <v>55</v>
      </c>
      <c r="D190" t="s">
        <v>11</v>
      </c>
      <c r="E190" t="s">
        <v>37</v>
      </c>
      <c r="F190" t="s">
        <v>23</v>
      </c>
      <c r="G190" t="s">
        <v>14</v>
      </c>
      <c r="H190">
        <v>167836</v>
      </c>
      <c r="I190">
        <v>183800</v>
      </c>
    </row>
    <row r="191" spans="1:9" x14ac:dyDescent="0.3">
      <c r="A191" t="s">
        <v>223</v>
      </c>
      <c r="B191">
        <v>45684</v>
      </c>
      <c r="C191" t="s">
        <v>55</v>
      </c>
      <c r="D191" t="s">
        <v>11</v>
      </c>
      <c r="E191" t="s">
        <v>37</v>
      </c>
      <c r="F191" t="s">
        <v>23</v>
      </c>
      <c r="G191" t="s">
        <v>14</v>
      </c>
      <c r="H191">
        <v>211190</v>
      </c>
      <c r="I191">
        <v>256000</v>
      </c>
    </row>
    <row r="192" spans="1:9" x14ac:dyDescent="0.3">
      <c r="A192" t="s">
        <v>224</v>
      </c>
      <c r="B192">
        <v>45685</v>
      </c>
      <c r="C192" t="s">
        <v>62</v>
      </c>
      <c r="D192" t="s">
        <v>11</v>
      </c>
      <c r="E192" t="s">
        <v>22</v>
      </c>
      <c r="F192" t="s">
        <v>39</v>
      </c>
      <c r="G192" t="s">
        <v>19</v>
      </c>
      <c r="H192">
        <v>94412</v>
      </c>
      <c r="I192">
        <v>104600</v>
      </c>
    </row>
    <row r="193" spans="1:9" x14ac:dyDescent="0.3">
      <c r="A193" t="s">
        <v>225</v>
      </c>
      <c r="B193">
        <v>45685</v>
      </c>
      <c r="C193" t="s">
        <v>10</v>
      </c>
      <c r="D193" t="s">
        <v>11</v>
      </c>
      <c r="E193" t="s">
        <v>12</v>
      </c>
      <c r="F193" t="s">
        <v>42</v>
      </c>
      <c r="G193" t="s">
        <v>19</v>
      </c>
      <c r="H193">
        <v>97400</v>
      </c>
      <c r="I193">
        <v>88900</v>
      </c>
    </row>
    <row r="194" spans="1:9" x14ac:dyDescent="0.3">
      <c r="A194" t="s">
        <v>226</v>
      </c>
      <c r="B194">
        <v>45685</v>
      </c>
      <c r="C194" t="s">
        <v>10</v>
      </c>
      <c r="D194" t="s">
        <v>11</v>
      </c>
      <c r="E194" t="s">
        <v>12</v>
      </c>
      <c r="F194" t="s">
        <v>33</v>
      </c>
      <c r="G194" t="s">
        <v>19</v>
      </c>
      <c r="H194">
        <v>106173</v>
      </c>
      <c r="I194">
        <v>114300</v>
      </c>
    </row>
    <row r="195" spans="1:9" x14ac:dyDescent="0.3">
      <c r="A195" t="s">
        <v>227</v>
      </c>
      <c r="B195">
        <v>45685</v>
      </c>
      <c r="C195" t="s">
        <v>16</v>
      </c>
      <c r="D195" t="s">
        <v>11</v>
      </c>
      <c r="E195" t="s">
        <v>17</v>
      </c>
      <c r="F195" t="s">
        <v>33</v>
      </c>
      <c r="G195" t="s">
        <v>19</v>
      </c>
      <c r="H195">
        <v>71111</v>
      </c>
      <c r="I195">
        <v>73700</v>
      </c>
    </row>
    <row r="196" spans="1:9" x14ac:dyDescent="0.3">
      <c r="A196" t="s">
        <v>228</v>
      </c>
      <c r="B196">
        <v>45685</v>
      </c>
      <c r="C196" t="s">
        <v>21</v>
      </c>
      <c r="D196" t="s">
        <v>11</v>
      </c>
      <c r="E196" t="s">
        <v>22</v>
      </c>
      <c r="F196" t="s">
        <v>23</v>
      </c>
      <c r="G196" t="s">
        <v>14</v>
      </c>
      <c r="H196">
        <v>239772</v>
      </c>
      <c r="I196">
        <v>279500</v>
      </c>
    </row>
    <row r="197" spans="1:9" x14ac:dyDescent="0.3">
      <c r="A197" t="s">
        <v>229</v>
      </c>
      <c r="B197">
        <v>45685</v>
      </c>
      <c r="C197" t="s">
        <v>31</v>
      </c>
      <c r="D197" t="s">
        <v>11</v>
      </c>
      <c r="E197" t="s">
        <v>17</v>
      </c>
      <c r="F197" t="s">
        <v>33</v>
      </c>
      <c r="G197" t="s">
        <v>19</v>
      </c>
      <c r="H197">
        <v>61000</v>
      </c>
      <c r="I197">
        <v>56900</v>
      </c>
    </row>
    <row r="198" spans="1:9" x14ac:dyDescent="0.3">
      <c r="A198" t="s">
        <v>230</v>
      </c>
      <c r="B198">
        <v>45685</v>
      </c>
      <c r="C198" t="s">
        <v>31</v>
      </c>
      <c r="D198" t="s">
        <v>11</v>
      </c>
      <c r="E198" t="s">
        <v>17</v>
      </c>
      <c r="F198" t="s">
        <v>46</v>
      </c>
      <c r="G198" t="s">
        <v>19</v>
      </c>
      <c r="H198">
        <v>33861</v>
      </c>
      <c r="I198">
        <v>34600</v>
      </c>
    </row>
    <row r="199" spans="1:9" x14ac:dyDescent="0.3">
      <c r="A199" t="s">
        <v>231</v>
      </c>
      <c r="B199">
        <v>45685</v>
      </c>
      <c r="C199" t="s">
        <v>31</v>
      </c>
      <c r="D199" t="s">
        <v>11</v>
      </c>
      <c r="E199" t="s">
        <v>17</v>
      </c>
      <c r="F199" t="s">
        <v>13</v>
      </c>
      <c r="G199" t="s">
        <v>14</v>
      </c>
      <c r="H199">
        <v>137628</v>
      </c>
      <c r="I199">
        <v>137200</v>
      </c>
    </row>
    <row r="200" spans="1:9" x14ac:dyDescent="0.3">
      <c r="A200" t="s">
        <v>232</v>
      </c>
      <c r="B200">
        <v>45686</v>
      </c>
      <c r="C200" t="s">
        <v>36</v>
      </c>
      <c r="D200" t="s">
        <v>11</v>
      </c>
      <c r="E200" t="s">
        <v>37</v>
      </c>
      <c r="F200" t="s">
        <v>39</v>
      </c>
      <c r="G200" t="s">
        <v>19</v>
      </c>
      <c r="H200">
        <v>51605</v>
      </c>
      <c r="I200">
        <v>54800</v>
      </c>
    </row>
    <row r="201" spans="1:9" x14ac:dyDescent="0.3">
      <c r="A201" t="s">
        <v>233</v>
      </c>
      <c r="B201">
        <v>45686</v>
      </c>
      <c r="C201" t="s">
        <v>25</v>
      </c>
      <c r="D201" t="s">
        <v>11</v>
      </c>
      <c r="E201" t="s">
        <v>22</v>
      </c>
      <c r="F201" t="s">
        <v>12</v>
      </c>
      <c r="G201" t="s">
        <v>14</v>
      </c>
      <c r="H201">
        <v>61109</v>
      </c>
      <c r="I201">
        <v>58200</v>
      </c>
    </row>
    <row r="202" spans="1:9" x14ac:dyDescent="0.3">
      <c r="A202" t="s">
        <v>234</v>
      </c>
      <c r="B202">
        <v>45686</v>
      </c>
      <c r="C202" t="s">
        <v>25</v>
      </c>
      <c r="D202" t="s">
        <v>11</v>
      </c>
      <c r="E202" t="s">
        <v>22</v>
      </c>
      <c r="F202" t="s">
        <v>23</v>
      </c>
      <c r="G202" t="s">
        <v>14</v>
      </c>
      <c r="H202">
        <v>231716</v>
      </c>
      <c r="I202">
        <v>245900</v>
      </c>
    </row>
    <row r="203" spans="1:9" x14ac:dyDescent="0.3">
      <c r="A203" t="s">
        <v>235</v>
      </c>
      <c r="B203">
        <v>45686</v>
      </c>
      <c r="C203" t="s">
        <v>55</v>
      </c>
      <c r="D203" t="s">
        <v>11</v>
      </c>
      <c r="E203" t="s">
        <v>37</v>
      </c>
      <c r="F203" t="s">
        <v>33</v>
      </c>
      <c r="G203" t="s">
        <v>19</v>
      </c>
      <c r="H203">
        <v>87924</v>
      </c>
      <c r="I203">
        <v>96200</v>
      </c>
    </row>
    <row r="204" spans="1:9" x14ac:dyDescent="0.3">
      <c r="A204" t="s">
        <v>236</v>
      </c>
      <c r="B204">
        <v>45687</v>
      </c>
      <c r="C204" t="s">
        <v>62</v>
      </c>
      <c r="D204" t="s">
        <v>11</v>
      </c>
      <c r="E204" t="s">
        <v>22</v>
      </c>
      <c r="F204" t="s">
        <v>39</v>
      </c>
      <c r="G204" t="s">
        <v>19</v>
      </c>
      <c r="H204">
        <v>28974</v>
      </c>
      <c r="I204">
        <v>26300</v>
      </c>
    </row>
    <row r="205" spans="1:9" x14ac:dyDescent="0.3">
      <c r="A205" t="s">
        <v>237</v>
      </c>
      <c r="B205">
        <v>45687</v>
      </c>
      <c r="C205" t="s">
        <v>62</v>
      </c>
      <c r="D205" t="s">
        <v>11</v>
      </c>
      <c r="E205" t="s">
        <v>22</v>
      </c>
      <c r="F205" t="s">
        <v>18</v>
      </c>
      <c r="G205" t="s">
        <v>19</v>
      </c>
      <c r="H205">
        <v>87893</v>
      </c>
      <c r="I205">
        <v>78200</v>
      </c>
    </row>
    <row r="206" spans="1:9" x14ac:dyDescent="0.3">
      <c r="A206" t="s">
        <v>238</v>
      </c>
      <c r="B206">
        <v>45687</v>
      </c>
      <c r="C206" t="s">
        <v>62</v>
      </c>
      <c r="D206" t="s">
        <v>11</v>
      </c>
      <c r="E206" t="s">
        <v>22</v>
      </c>
      <c r="F206" t="s">
        <v>42</v>
      </c>
      <c r="G206" t="s">
        <v>19</v>
      </c>
      <c r="H206">
        <v>74051</v>
      </c>
      <c r="I206">
        <v>82500</v>
      </c>
    </row>
    <row r="207" spans="1:9" x14ac:dyDescent="0.3">
      <c r="A207" t="s">
        <v>239</v>
      </c>
      <c r="B207">
        <v>45687</v>
      </c>
      <c r="C207" t="s">
        <v>10</v>
      </c>
      <c r="D207" t="s">
        <v>11</v>
      </c>
      <c r="E207" t="s">
        <v>12</v>
      </c>
      <c r="F207" t="s">
        <v>56</v>
      </c>
      <c r="G207" t="s">
        <v>19</v>
      </c>
      <c r="H207">
        <v>55673</v>
      </c>
      <c r="I207">
        <v>62700</v>
      </c>
    </row>
    <row r="208" spans="1:9" x14ac:dyDescent="0.3">
      <c r="A208" t="s">
        <v>240</v>
      </c>
      <c r="B208">
        <v>45687</v>
      </c>
      <c r="C208" t="s">
        <v>16</v>
      </c>
      <c r="D208" t="s">
        <v>11</v>
      </c>
      <c r="E208" t="s">
        <v>17</v>
      </c>
      <c r="F208" t="s">
        <v>33</v>
      </c>
      <c r="G208" t="s">
        <v>19</v>
      </c>
      <c r="H208">
        <v>102729</v>
      </c>
      <c r="I208">
        <v>101000</v>
      </c>
    </row>
    <row r="209" spans="1:9" x14ac:dyDescent="0.3">
      <c r="A209" t="s">
        <v>241</v>
      </c>
      <c r="B209">
        <v>45687</v>
      </c>
      <c r="C209" t="s">
        <v>25</v>
      </c>
      <c r="D209" t="s">
        <v>11</v>
      </c>
      <c r="E209" t="s">
        <v>22</v>
      </c>
      <c r="F209" t="s">
        <v>42</v>
      </c>
      <c r="G209" t="s">
        <v>19</v>
      </c>
      <c r="H209">
        <v>112290</v>
      </c>
      <c r="I209">
        <v>102400</v>
      </c>
    </row>
    <row r="210" spans="1:9" x14ac:dyDescent="0.3">
      <c r="A210" t="s">
        <v>242</v>
      </c>
      <c r="B210">
        <v>45687</v>
      </c>
      <c r="C210" t="s">
        <v>31</v>
      </c>
      <c r="D210" t="s">
        <v>11</v>
      </c>
      <c r="E210" t="s">
        <v>17</v>
      </c>
      <c r="F210" t="s">
        <v>18</v>
      </c>
      <c r="G210" t="s">
        <v>19</v>
      </c>
      <c r="H210">
        <v>103663</v>
      </c>
      <c r="I210">
        <v>100600</v>
      </c>
    </row>
    <row r="211" spans="1:9" x14ac:dyDescent="0.3">
      <c r="A211" t="s">
        <v>243</v>
      </c>
      <c r="B211">
        <v>45687</v>
      </c>
      <c r="C211" t="s">
        <v>55</v>
      </c>
      <c r="D211" t="s">
        <v>11</v>
      </c>
      <c r="E211" t="s">
        <v>37</v>
      </c>
      <c r="F211" t="s">
        <v>46</v>
      </c>
      <c r="G211" t="s">
        <v>19</v>
      </c>
      <c r="H211">
        <v>27017</v>
      </c>
      <c r="I211">
        <v>25500</v>
      </c>
    </row>
    <row r="212" spans="1:9" x14ac:dyDescent="0.3">
      <c r="A212" t="s">
        <v>244</v>
      </c>
      <c r="B212">
        <v>45688</v>
      </c>
      <c r="C212" t="s">
        <v>10</v>
      </c>
      <c r="D212" t="s">
        <v>11</v>
      </c>
      <c r="E212" t="s">
        <v>12</v>
      </c>
      <c r="F212" t="s">
        <v>46</v>
      </c>
      <c r="G212" t="s">
        <v>19</v>
      </c>
      <c r="H212">
        <v>20364</v>
      </c>
      <c r="I212">
        <v>19500</v>
      </c>
    </row>
    <row r="213" spans="1:9" x14ac:dyDescent="0.3">
      <c r="A213" t="s">
        <v>245</v>
      </c>
      <c r="B213">
        <v>45688</v>
      </c>
      <c r="C213" t="s">
        <v>10</v>
      </c>
      <c r="D213" t="s">
        <v>11</v>
      </c>
      <c r="E213" t="s">
        <v>12</v>
      </c>
      <c r="F213" t="s">
        <v>37</v>
      </c>
      <c r="G213" t="s">
        <v>14</v>
      </c>
      <c r="H213">
        <v>199523</v>
      </c>
      <c r="I213">
        <v>191200</v>
      </c>
    </row>
    <row r="214" spans="1:9" x14ac:dyDescent="0.3">
      <c r="A214" t="s">
        <v>246</v>
      </c>
      <c r="B214">
        <v>45688</v>
      </c>
      <c r="C214" t="s">
        <v>21</v>
      </c>
      <c r="D214" t="s">
        <v>11</v>
      </c>
      <c r="E214" t="s">
        <v>22</v>
      </c>
      <c r="F214" t="s">
        <v>42</v>
      </c>
      <c r="G214" t="s">
        <v>19</v>
      </c>
      <c r="H214">
        <v>66958</v>
      </c>
      <c r="I214">
        <v>77000</v>
      </c>
    </row>
    <row r="215" spans="1:9" x14ac:dyDescent="0.3">
      <c r="A215" t="s">
        <v>247</v>
      </c>
      <c r="B215">
        <v>45688</v>
      </c>
      <c r="C215" t="s">
        <v>25</v>
      </c>
      <c r="D215" t="s">
        <v>11</v>
      </c>
      <c r="E215" t="s">
        <v>22</v>
      </c>
      <c r="F215" t="s">
        <v>23</v>
      </c>
      <c r="G215" t="s">
        <v>14</v>
      </c>
      <c r="H215">
        <v>196104</v>
      </c>
      <c r="I215">
        <v>209500</v>
      </c>
    </row>
    <row r="216" spans="1:9" x14ac:dyDescent="0.3">
      <c r="A216" t="s">
        <v>248</v>
      </c>
      <c r="B216">
        <v>45688</v>
      </c>
      <c r="C216" t="s">
        <v>31</v>
      </c>
      <c r="D216" t="s">
        <v>11</v>
      </c>
      <c r="E216" t="s">
        <v>17</v>
      </c>
      <c r="F216" t="s">
        <v>23</v>
      </c>
      <c r="G216" t="s">
        <v>14</v>
      </c>
      <c r="H216">
        <v>71793</v>
      </c>
      <c r="I216">
        <v>76300</v>
      </c>
    </row>
    <row r="217" spans="1:9" x14ac:dyDescent="0.3">
      <c r="A217" t="s">
        <v>249</v>
      </c>
      <c r="B217">
        <v>45689</v>
      </c>
      <c r="C217" t="s">
        <v>62</v>
      </c>
      <c r="D217" t="s">
        <v>11</v>
      </c>
      <c r="E217" t="s">
        <v>22</v>
      </c>
      <c r="F217" t="s">
        <v>56</v>
      </c>
      <c r="G217" t="s">
        <v>19</v>
      </c>
      <c r="H217">
        <v>46884</v>
      </c>
      <c r="I217">
        <v>48500</v>
      </c>
    </row>
    <row r="218" spans="1:9" x14ac:dyDescent="0.3">
      <c r="A218" t="s">
        <v>250</v>
      </c>
      <c r="B218">
        <v>45689</v>
      </c>
      <c r="C218" t="s">
        <v>62</v>
      </c>
      <c r="D218" t="s">
        <v>11</v>
      </c>
      <c r="E218" t="s">
        <v>22</v>
      </c>
      <c r="F218" t="s">
        <v>46</v>
      </c>
      <c r="G218" t="s">
        <v>19</v>
      </c>
      <c r="H218">
        <v>89421</v>
      </c>
      <c r="I218">
        <v>94500</v>
      </c>
    </row>
    <row r="219" spans="1:9" x14ac:dyDescent="0.3">
      <c r="A219" t="s">
        <v>251</v>
      </c>
      <c r="B219">
        <v>45689</v>
      </c>
      <c r="C219" t="s">
        <v>10</v>
      </c>
      <c r="D219" t="s">
        <v>11</v>
      </c>
      <c r="E219" t="s">
        <v>12</v>
      </c>
      <c r="F219" t="s">
        <v>39</v>
      </c>
      <c r="G219" t="s">
        <v>19</v>
      </c>
      <c r="H219">
        <v>97324</v>
      </c>
      <c r="I219">
        <v>100600</v>
      </c>
    </row>
    <row r="220" spans="1:9" x14ac:dyDescent="0.3">
      <c r="A220" t="s">
        <v>252</v>
      </c>
      <c r="B220">
        <v>45689</v>
      </c>
      <c r="C220" t="s">
        <v>16</v>
      </c>
      <c r="D220" t="s">
        <v>11</v>
      </c>
      <c r="E220" t="s">
        <v>17</v>
      </c>
      <c r="F220" t="s">
        <v>56</v>
      </c>
      <c r="G220" t="s">
        <v>19</v>
      </c>
      <c r="H220">
        <v>68712</v>
      </c>
      <c r="I220">
        <v>73500</v>
      </c>
    </row>
    <row r="221" spans="1:9" x14ac:dyDescent="0.3">
      <c r="A221" t="s">
        <v>253</v>
      </c>
      <c r="B221">
        <v>45689</v>
      </c>
      <c r="C221" t="s">
        <v>16</v>
      </c>
      <c r="D221" t="s">
        <v>11</v>
      </c>
      <c r="E221" t="s">
        <v>17</v>
      </c>
      <c r="F221" t="s">
        <v>18</v>
      </c>
      <c r="G221" t="s">
        <v>19</v>
      </c>
      <c r="H221">
        <v>36715</v>
      </c>
      <c r="I221">
        <v>38200</v>
      </c>
    </row>
    <row r="222" spans="1:9" x14ac:dyDescent="0.3">
      <c r="A222" t="s">
        <v>254</v>
      </c>
      <c r="B222">
        <v>45689</v>
      </c>
      <c r="C222" t="s">
        <v>36</v>
      </c>
      <c r="D222" t="s">
        <v>11</v>
      </c>
      <c r="E222" t="s">
        <v>37</v>
      </c>
      <c r="F222" t="s">
        <v>26</v>
      </c>
      <c r="G222" t="s">
        <v>14</v>
      </c>
      <c r="H222">
        <v>141640</v>
      </c>
      <c r="I222">
        <v>134900</v>
      </c>
    </row>
    <row r="223" spans="1:9" x14ac:dyDescent="0.3">
      <c r="A223" t="s">
        <v>255</v>
      </c>
      <c r="B223">
        <v>45689</v>
      </c>
      <c r="C223" t="s">
        <v>21</v>
      </c>
      <c r="D223" t="s">
        <v>11</v>
      </c>
      <c r="E223" t="s">
        <v>22</v>
      </c>
      <c r="F223" t="s">
        <v>33</v>
      </c>
      <c r="G223" t="s">
        <v>19</v>
      </c>
      <c r="H223">
        <v>45029</v>
      </c>
      <c r="I223">
        <v>44600</v>
      </c>
    </row>
    <row r="224" spans="1:9" x14ac:dyDescent="0.3">
      <c r="A224" t="s">
        <v>256</v>
      </c>
      <c r="B224">
        <v>45689</v>
      </c>
      <c r="C224" t="s">
        <v>25</v>
      </c>
      <c r="D224" t="s">
        <v>11</v>
      </c>
      <c r="E224" t="s">
        <v>22</v>
      </c>
      <c r="F224" t="s">
        <v>56</v>
      </c>
      <c r="G224" t="s">
        <v>19</v>
      </c>
      <c r="H224">
        <v>36133</v>
      </c>
      <c r="I224">
        <v>36300</v>
      </c>
    </row>
    <row r="225" spans="1:9" x14ac:dyDescent="0.3">
      <c r="A225" t="s">
        <v>257</v>
      </c>
      <c r="B225">
        <v>45689</v>
      </c>
      <c r="C225" t="s">
        <v>31</v>
      </c>
      <c r="D225" t="s">
        <v>11</v>
      </c>
      <c r="E225" t="s">
        <v>17</v>
      </c>
      <c r="F225" t="s">
        <v>18</v>
      </c>
      <c r="G225" t="s">
        <v>19</v>
      </c>
      <c r="H225">
        <v>41846</v>
      </c>
      <c r="I225">
        <v>41100</v>
      </c>
    </row>
    <row r="226" spans="1:9" x14ac:dyDescent="0.3">
      <c r="A226" t="s">
        <v>258</v>
      </c>
      <c r="B226">
        <v>45689</v>
      </c>
      <c r="C226" t="s">
        <v>31</v>
      </c>
      <c r="D226" t="s">
        <v>11</v>
      </c>
      <c r="E226" t="s">
        <v>17</v>
      </c>
      <c r="F226" t="s">
        <v>39</v>
      </c>
      <c r="G226" t="s">
        <v>19</v>
      </c>
      <c r="H226">
        <v>61303</v>
      </c>
      <c r="I226">
        <v>44100</v>
      </c>
    </row>
    <row r="227" spans="1:9" x14ac:dyDescent="0.3">
      <c r="A227" t="s">
        <v>259</v>
      </c>
      <c r="B227">
        <v>45690</v>
      </c>
      <c r="C227" t="s">
        <v>62</v>
      </c>
      <c r="D227" t="s">
        <v>11</v>
      </c>
      <c r="E227" t="s">
        <v>22</v>
      </c>
      <c r="F227" t="s">
        <v>23</v>
      </c>
      <c r="G227" t="s">
        <v>14</v>
      </c>
      <c r="H227">
        <v>172574</v>
      </c>
      <c r="I227">
        <v>142500</v>
      </c>
    </row>
    <row r="228" spans="1:9" x14ac:dyDescent="0.3">
      <c r="A228" t="s">
        <v>260</v>
      </c>
      <c r="B228">
        <v>45690</v>
      </c>
      <c r="C228" t="s">
        <v>10</v>
      </c>
      <c r="D228" t="s">
        <v>11</v>
      </c>
      <c r="E228" t="s">
        <v>12</v>
      </c>
      <c r="F228" t="s">
        <v>18</v>
      </c>
      <c r="G228" t="s">
        <v>19</v>
      </c>
      <c r="H228">
        <v>49731</v>
      </c>
      <c r="I228">
        <v>48100</v>
      </c>
    </row>
    <row r="229" spans="1:9" x14ac:dyDescent="0.3">
      <c r="A229" t="s">
        <v>261</v>
      </c>
      <c r="B229">
        <v>45690</v>
      </c>
      <c r="C229" t="s">
        <v>10</v>
      </c>
      <c r="D229" t="s">
        <v>11</v>
      </c>
      <c r="E229" t="s">
        <v>12</v>
      </c>
      <c r="F229" t="s">
        <v>59</v>
      </c>
      <c r="G229" t="s">
        <v>14</v>
      </c>
      <c r="H229">
        <v>52705</v>
      </c>
      <c r="I229">
        <v>50400</v>
      </c>
    </row>
    <row r="230" spans="1:9" x14ac:dyDescent="0.3">
      <c r="A230" t="s">
        <v>262</v>
      </c>
      <c r="B230">
        <v>45690</v>
      </c>
      <c r="C230" t="s">
        <v>16</v>
      </c>
      <c r="D230" t="s">
        <v>11</v>
      </c>
      <c r="E230" t="s">
        <v>17</v>
      </c>
      <c r="F230" t="s">
        <v>18</v>
      </c>
      <c r="G230" t="s">
        <v>19</v>
      </c>
      <c r="H230">
        <v>44322</v>
      </c>
      <c r="I230">
        <v>50300</v>
      </c>
    </row>
    <row r="231" spans="1:9" x14ac:dyDescent="0.3">
      <c r="A231" t="s">
        <v>263</v>
      </c>
      <c r="B231">
        <v>45690</v>
      </c>
      <c r="C231" t="s">
        <v>16</v>
      </c>
      <c r="D231" t="s">
        <v>11</v>
      </c>
      <c r="E231" t="s">
        <v>17</v>
      </c>
      <c r="F231" t="s">
        <v>18</v>
      </c>
      <c r="G231" t="s">
        <v>19</v>
      </c>
      <c r="H231">
        <v>73273</v>
      </c>
      <c r="I231">
        <v>90500</v>
      </c>
    </row>
    <row r="232" spans="1:9" x14ac:dyDescent="0.3">
      <c r="A232" t="s">
        <v>264</v>
      </c>
      <c r="B232">
        <v>45690</v>
      </c>
      <c r="C232" t="s">
        <v>21</v>
      </c>
      <c r="D232" t="s">
        <v>11</v>
      </c>
      <c r="E232" t="s">
        <v>22</v>
      </c>
      <c r="F232" t="s">
        <v>18</v>
      </c>
      <c r="G232" t="s">
        <v>19</v>
      </c>
      <c r="H232">
        <v>69928</v>
      </c>
      <c r="I232">
        <v>64700</v>
      </c>
    </row>
    <row r="233" spans="1:9" x14ac:dyDescent="0.3">
      <c r="A233" t="s">
        <v>265</v>
      </c>
      <c r="B233">
        <v>45691</v>
      </c>
      <c r="C233" t="s">
        <v>62</v>
      </c>
      <c r="D233" t="s">
        <v>11</v>
      </c>
      <c r="E233" t="s">
        <v>22</v>
      </c>
      <c r="F233" t="s">
        <v>46</v>
      </c>
      <c r="G233" t="s">
        <v>19</v>
      </c>
      <c r="H233">
        <v>56965</v>
      </c>
      <c r="I233">
        <v>57900</v>
      </c>
    </row>
    <row r="234" spans="1:9" x14ac:dyDescent="0.3">
      <c r="A234" t="s">
        <v>266</v>
      </c>
      <c r="B234">
        <v>45691</v>
      </c>
      <c r="C234" t="s">
        <v>62</v>
      </c>
      <c r="D234" t="s">
        <v>11</v>
      </c>
      <c r="E234" t="s">
        <v>22</v>
      </c>
      <c r="F234" t="s">
        <v>13</v>
      </c>
      <c r="G234" t="s">
        <v>14</v>
      </c>
      <c r="H234">
        <v>139230</v>
      </c>
      <c r="I234">
        <v>125800</v>
      </c>
    </row>
    <row r="235" spans="1:9" x14ac:dyDescent="0.3">
      <c r="A235" t="s">
        <v>267</v>
      </c>
      <c r="B235">
        <v>45691</v>
      </c>
      <c r="C235" t="s">
        <v>16</v>
      </c>
      <c r="D235" t="s">
        <v>11</v>
      </c>
      <c r="E235" t="s">
        <v>17</v>
      </c>
      <c r="F235" t="s">
        <v>33</v>
      </c>
      <c r="G235" t="s">
        <v>19</v>
      </c>
      <c r="H235">
        <v>13358</v>
      </c>
      <c r="I235">
        <v>13300</v>
      </c>
    </row>
    <row r="236" spans="1:9" x14ac:dyDescent="0.3">
      <c r="A236" t="s">
        <v>268</v>
      </c>
      <c r="B236">
        <v>45691</v>
      </c>
      <c r="C236" t="s">
        <v>36</v>
      </c>
      <c r="D236" t="s">
        <v>11</v>
      </c>
      <c r="E236" t="s">
        <v>37</v>
      </c>
      <c r="F236" t="s">
        <v>33</v>
      </c>
      <c r="G236" t="s">
        <v>19</v>
      </c>
      <c r="H236">
        <v>88666</v>
      </c>
      <c r="I236">
        <v>99300</v>
      </c>
    </row>
    <row r="237" spans="1:9" x14ac:dyDescent="0.3">
      <c r="A237" t="s">
        <v>269</v>
      </c>
      <c r="B237">
        <v>45691</v>
      </c>
      <c r="C237" t="s">
        <v>36</v>
      </c>
      <c r="D237" t="s">
        <v>11</v>
      </c>
      <c r="E237" t="s">
        <v>37</v>
      </c>
      <c r="F237" t="s">
        <v>18</v>
      </c>
      <c r="G237" t="s">
        <v>19</v>
      </c>
      <c r="H237">
        <v>74415</v>
      </c>
      <c r="I237">
        <v>71300</v>
      </c>
    </row>
    <row r="238" spans="1:9" x14ac:dyDescent="0.3">
      <c r="A238" t="s">
        <v>270</v>
      </c>
      <c r="B238">
        <v>45691</v>
      </c>
      <c r="C238" t="s">
        <v>36</v>
      </c>
      <c r="D238" t="s">
        <v>11</v>
      </c>
      <c r="E238" t="s">
        <v>37</v>
      </c>
      <c r="F238" t="s">
        <v>59</v>
      </c>
      <c r="G238" t="s">
        <v>14</v>
      </c>
      <c r="H238">
        <v>126058</v>
      </c>
      <c r="I238">
        <v>145900</v>
      </c>
    </row>
    <row r="239" spans="1:9" x14ac:dyDescent="0.3">
      <c r="A239" t="s">
        <v>271</v>
      </c>
      <c r="B239">
        <v>45691</v>
      </c>
      <c r="C239" t="s">
        <v>21</v>
      </c>
      <c r="D239" t="s">
        <v>11</v>
      </c>
      <c r="E239" t="s">
        <v>22</v>
      </c>
      <c r="F239" t="s">
        <v>42</v>
      </c>
      <c r="G239" t="s">
        <v>19</v>
      </c>
      <c r="H239">
        <v>13234</v>
      </c>
      <c r="I239">
        <v>13400</v>
      </c>
    </row>
    <row r="240" spans="1:9" x14ac:dyDescent="0.3">
      <c r="A240" t="s">
        <v>272</v>
      </c>
      <c r="B240">
        <v>45692</v>
      </c>
      <c r="C240" t="s">
        <v>62</v>
      </c>
      <c r="D240" t="s">
        <v>11</v>
      </c>
      <c r="E240" t="s">
        <v>22</v>
      </c>
      <c r="F240" t="s">
        <v>23</v>
      </c>
      <c r="G240" t="s">
        <v>14</v>
      </c>
      <c r="H240">
        <v>31617</v>
      </c>
      <c r="I240">
        <v>31200</v>
      </c>
    </row>
    <row r="241" spans="1:9" x14ac:dyDescent="0.3">
      <c r="A241" t="s">
        <v>273</v>
      </c>
      <c r="B241">
        <v>45692</v>
      </c>
      <c r="C241" t="s">
        <v>62</v>
      </c>
      <c r="D241" t="s">
        <v>11</v>
      </c>
      <c r="E241" t="s">
        <v>22</v>
      </c>
      <c r="F241" t="s">
        <v>13</v>
      </c>
      <c r="G241" t="s">
        <v>14</v>
      </c>
      <c r="H241">
        <v>181181</v>
      </c>
      <c r="I241">
        <v>167100</v>
      </c>
    </row>
    <row r="242" spans="1:9" x14ac:dyDescent="0.3">
      <c r="A242" t="s">
        <v>274</v>
      </c>
      <c r="B242">
        <v>45692</v>
      </c>
      <c r="C242" t="s">
        <v>10</v>
      </c>
      <c r="D242" t="s">
        <v>11</v>
      </c>
      <c r="E242" t="s">
        <v>12</v>
      </c>
      <c r="F242" t="s">
        <v>23</v>
      </c>
      <c r="G242" t="s">
        <v>14</v>
      </c>
      <c r="H242">
        <v>138441</v>
      </c>
      <c r="I242">
        <v>125000</v>
      </c>
    </row>
    <row r="243" spans="1:9" x14ac:dyDescent="0.3">
      <c r="A243" t="s">
        <v>275</v>
      </c>
      <c r="B243">
        <v>45692</v>
      </c>
      <c r="C243" t="s">
        <v>16</v>
      </c>
      <c r="D243" t="s">
        <v>11</v>
      </c>
      <c r="E243" t="s">
        <v>17</v>
      </c>
      <c r="F243" t="s">
        <v>46</v>
      </c>
      <c r="G243" t="s">
        <v>19</v>
      </c>
      <c r="H243">
        <v>15885</v>
      </c>
      <c r="I243">
        <v>18900</v>
      </c>
    </row>
    <row r="244" spans="1:9" x14ac:dyDescent="0.3">
      <c r="A244" t="s">
        <v>276</v>
      </c>
      <c r="B244">
        <v>45692</v>
      </c>
      <c r="C244" t="s">
        <v>36</v>
      </c>
      <c r="D244" t="s">
        <v>11</v>
      </c>
      <c r="E244" t="s">
        <v>37</v>
      </c>
      <c r="F244" t="s">
        <v>26</v>
      </c>
      <c r="G244" t="s">
        <v>14</v>
      </c>
      <c r="H244">
        <v>72883</v>
      </c>
      <c r="I244">
        <v>63300</v>
      </c>
    </row>
    <row r="245" spans="1:9" x14ac:dyDescent="0.3">
      <c r="A245" t="s">
        <v>277</v>
      </c>
      <c r="B245">
        <v>45692</v>
      </c>
      <c r="C245" t="s">
        <v>25</v>
      </c>
      <c r="D245" t="s">
        <v>11</v>
      </c>
      <c r="E245" t="s">
        <v>22</v>
      </c>
      <c r="F245" t="s">
        <v>18</v>
      </c>
      <c r="G245" t="s">
        <v>19</v>
      </c>
      <c r="H245">
        <v>115782</v>
      </c>
      <c r="I245">
        <v>127000</v>
      </c>
    </row>
    <row r="246" spans="1:9" x14ac:dyDescent="0.3">
      <c r="A246" t="s">
        <v>278</v>
      </c>
      <c r="B246">
        <v>45692</v>
      </c>
      <c r="C246" t="s">
        <v>25</v>
      </c>
      <c r="D246" t="s">
        <v>11</v>
      </c>
      <c r="E246" t="s">
        <v>22</v>
      </c>
      <c r="F246" t="s">
        <v>37</v>
      </c>
      <c r="G246" t="s">
        <v>14</v>
      </c>
      <c r="H246">
        <v>53672</v>
      </c>
      <c r="I246">
        <v>47800</v>
      </c>
    </row>
    <row r="247" spans="1:9" x14ac:dyDescent="0.3">
      <c r="A247" t="s">
        <v>279</v>
      </c>
      <c r="B247">
        <v>45693</v>
      </c>
      <c r="C247" t="s">
        <v>62</v>
      </c>
      <c r="D247" t="s">
        <v>11</v>
      </c>
      <c r="E247" t="s">
        <v>22</v>
      </c>
      <c r="F247" t="s">
        <v>56</v>
      </c>
      <c r="G247" t="s">
        <v>19</v>
      </c>
      <c r="H247">
        <v>93145</v>
      </c>
      <c r="I247">
        <v>101100</v>
      </c>
    </row>
    <row r="248" spans="1:9" x14ac:dyDescent="0.3">
      <c r="A248" t="s">
        <v>280</v>
      </c>
      <c r="B248">
        <v>45693</v>
      </c>
      <c r="C248" t="s">
        <v>62</v>
      </c>
      <c r="D248" t="s">
        <v>11</v>
      </c>
      <c r="E248" t="s">
        <v>22</v>
      </c>
      <c r="F248" t="s">
        <v>33</v>
      </c>
      <c r="G248" t="s">
        <v>19</v>
      </c>
      <c r="H248">
        <v>86318</v>
      </c>
      <c r="I248">
        <v>70300</v>
      </c>
    </row>
    <row r="249" spans="1:9" x14ac:dyDescent="0.3">
      <c r="A249" t="s">
        <v>281</v>
      </c>
      <c r="B249">
        <v>45693</v>
      </c>
      <c r="C249" t="s">
        <v>62</v>
      </c>
      <c r="D249" t="s">
        <v>11</v>
      </c>
      <c r="E249" t="s">
        <v>22</v>
      </c>
      <c r="F249" t="s">
        <v>26</v>
      </c>
      <c r="G249" t="s">
        <v>14</v>
      </c>
      <c r="H249">
        <v>182117</v>
      </c>
      <c r="I249">
        <v>189600</v>
      </c>
    </row>
    <row r="250" spans="1:9" x14ac:dyDescent="0.3">
      <c r="A250" t="s">
        <v>282</v>
      </c>
      <c r="B250">
        <v>45693</v>
      </c>
      <c r="C250" t="s">
        <v>62</v>
      </c>
      <c r="D250" t="s">
        <v>11</v>
      </c>
      <c r="E250" t="s">
        <v>22</v>
      </c>
      <c r="F250" t="s">
        <v>26</v>
      </c>
      <c r="G250" t="s">
        <v>14</v>
      </c>
      <c r="H250">
        <v>239217</v>
      </c>
      <c r="I250">
        <v>225600</v>
      </c>
    </row>
    <row r="251" spans="1:9" x14ac:dyDescent="0.3">
      <c r="A251" t="s">
        <v>283</v>
      </c>
      <c r="B251">
        <v>45693</v>
      </c>
      <c r="C251" t="s">
        <v>62</v>
      </c>
      <c r="D251" t="s">
        <v>11</v>
      </c>
      <c r="E251" t="s">
        <v>22</v>
      </c>
      <c r="F251" t="s">
        <v>37</v>
      </c>
      <c r="G251" t="s">
        <v>14</v>
      </c>
      <c r="H251">
        <v>192338</v>
      </c>
      <c r="I251">
        <v>183700</v>
      </c>
    </row>
    <row r="252" spans="1:9" x14ac:dyDescent="0.3">
      <c r="A252" t="s">
        <v>284</v>
      </c>
      <c r="B252">
        <v>45693</v>
      </c>
      <c r="C252" t="s">
        <v>10</v>
      </c>
      <c r="D252" t="s">
        <v>11</v>
      </c>
      <c r="E252" t="s">
        <v>12</v>
      </c>
      <c r="F252" t="s">
        <v>42</v>
      </c>
      <c r="G252" t="s">
        <v>19</v>
      </c>
      <c r="H252">
        <v>98238</v>
      </c>
      <c r="I252">
        <v>103700</v>
      </c>
    </row>
    <row r="253" spans="1:9" x14ac:dyDescent="0.3">
      <c r="A253" t="s">
        <v>285</v>
      </c>
      <c r="B253">
        <v>45693</v>
      </c>
      <c r="C253" t="s">
        <v>25</v>
      </c>
      <c r="D253" t="s">
        <v>11</v>
      </c>
      <c r="E253" t="s">
        <v>22</v>
      </c>
      <c r="F253" t="s">
        <v>33</v>
      </c>
      <c r="G253" t="s">
        <v>19</v>
      </c>
      <c r="H253">
        <v>98431</v>
      </c>
      <c r="I253">
        <v>83900</v>
      </c>
    </row>
    <row r="254" spans="1:9" x14ac:dyDescent="0.3">
      <c r="A254" t="s">
        <v>286</v>
      </c>
      <c r="B254">
        <v>45694</v>
      </c>
      <c r="C254" t="s">
        <v>62</v>
      </c>
      <c r="D254" t="s">
        <v>11</v>
      </c>
      <c r="E254" t="s">
        <v>22</v>
      </c>
      <c r="F254" t="s">
        <v>26</v>
      </c>
      <c r="G254" t="s">
        <v>14</v>
      </c>
      <c r="H254">
        <v>167623</v>
      </c>
      <c r="I254">
        <v>171000</v>
      </c>
    </row>
    <row r="255" spans="1:9" x14ac:dyDescent="0.3">
      <c r="A255" t="s">
        <v>287</v>
      </c>
      <c r="B255">
        <v>45694</v>
      </c>
      <c r="C255" t="s">
        <v>62</v>
      </c>
      <c r="D255" t="s">
        <v>11</v>
      </c>
      <c r="E255" t="s">
        <v>22</v>
      </c>
      <c r="F255" t="s">
        <v>13</v>
      </c>
      <c r="G255" t="s">
        <v>14</v>
      </c>
      <c r="H255">
        <v>82310</v>
      </c>
      <c r="I255">
        <v>75600</v>
      </c>
    </row>
    <row r="256" spans="1:9" x14ac:dyDescent="0.3">
      <c r="A256" t="s">
        <v>288</v>
      </c>
      <c r="B256">
        <v>45694</v>
      </c>
      <c r="C256" t="s">
        <v>62</v>
      </c>
      <c r="D256" t="s">
        <v>11</v>
      </c>
      <c r="E256" t="s">
        <v>22</v>
      </c>
      <c r="F256" t="s">
        <v>26</v>
      </c>
      <c r="G256" t="s">
        <v>14</v>
      </c>
      <c r="H256">
        <v>161768</v>
      </c>
      <c r="I256">
        <v>159000</v>
      </c>
    </row>
    <row r="257" spans="1:9" x14ac:dyDescent="0.3">
      <c r="A257" t="s">
        <v>289</v>
      </c>
      <c r="B257">
        <v>45694</v>
      </c>
      <c r="C257" t="s">
        <v>62</v>
      </c>
      <c r="D257" t="s">
        <v>11</v>
      </c>
      <c r="E257" t="s">
        <v>22</v>
      </c>
      <c r="F257" t="s">
        <v>37</v>
      </c>
      <c r="G257" t="s">
        <v>14</v>
      </c>
      <c r="H257">
        <v>239019</v>
      </c>
      <c r="I257">
        <v>244800</v>
      </c>
    </row>
    <row r="258" spans="1:9" x14ac:dyDescent="0.3">
      <c r="A258" t="s">
        <v>290</v>
      </c>
      <c r="B258">
        <v>45694</v>
      </c>
      <c r="C258" t="s">
        <v>36</v>
      </c>
      <c r="D258" t="s">
        <v>11</v>
      </c>
      <c r="E258" t="s">
        <v>37</v>
      </c>
      <c r="F258" t="s">
        <v>39</v>
      </c>
      <c r="G258" t="s">
        <v>19</v>
      </c>
      <c r="H258">
        <v>85550</v>
      </c>
      <c r="I258">
        <v>86700</v>
      </c>
    </row>
    <row r="259" spans="1:9" x14ac:dyDescent="0.3">
      <c r="A259" t="s">
        <v>291</v>
      </c>
      <c r="B259">
        <v>45694</v>
      </c>
      <c r="C259" t="s">
        <v>21</v>
      </c>
      <c r="D259" t="s">
        <v>11</v>
      </c>
      <c r="E259" t="s">
        <v>22</v>
      </c>
      <c r="F259" t="s">
        <v>18</v>
      </c>
      <c r="G259" t="s">
        <v>19</v>
      </c>
      <c r="H259">
        <v>112110</v>
      </c>
      <c r="I259">
        <v>123300</v>
      </c>
    </row>
    <row r="260" spans="1:9" x14ac:dyDescent="0.3">
      <c r="A260" t="s">
        <v>292</v>
      </c>
      <c r="B260">
        <v>45694</v>
      </c>
      <c r="C260" t="s">
        <v>21</v>
      </c>
      <c r="D260" t="s">
        <v>11</v>
      </c>
      <c r="E260" t="s">
        <v>22</v>
      </c>
      <c r="F260" t="s">
        <v>13</v>
      </c>
      <c r="G260" t="s">
        <v>14</v>
      </c>
      <c r="H260">
        <v>180499</v>
      </c>
      <c r="I260">
        <v>153700</v>
      </c>
    </row>
    <row r="261" spans="1:9" x14ac:dyDescent="0.3">
      <c r="A261" t="s">
        <v>293</v>
      </c>
      <c r="B261">
        <v>45695</v>
      </c>
      <c r="C261" t="s">
        <v>62</v>
      </c>
      <c r="D261" t="s">
        <v>11</v>
      </c>
      <c r="E261" t="s">
        <v>22</v>
      </c>
      <c r="F261" t="s">
        <v>33</v>
      </c>
      <c r="G261" t="s">
        <v>19</v>
      </c>
      <c r="H261">
        <v>111582</v>
      </c>
      <c r="I261">
        <v>121800</v>
      </c>
    </row>
    <row r="262" spans="1:9" x14ac:dyDescent="0.3">
      <c r="A262" t="s">
        <v>294</v>
      </c>
      <c r="B262">
        <v>45695</v>
      </c>
      <c r="C262" t="s">
        <v>62</v>
      </c>
      <c r="D262" t="s">
        <v>11</v>
      </c>
      <c r="E262" t="s">
        <v>22</v>
      </c>
      <c r="F262" t="s">
        <v>37</v>
      </c>
      <c r="G262" t="s">
        <v>14</v>
      </c>
      <c r="H262">
        <v>49664</v>
      </c>
      <c r="I262">
        <v>60000</v>
      </c>
    </row>
    <row r="263" spans="1:9" x14ac:dyDescent="0.3">
      <c r="A263" t="s">
        <v>295</v>
      </c>
      <c r="B263">
        <v>45695</v>
      </c>
      <c r="C263" t="s">
        <v>10</v>
      </c>
      <c r="D263" t="s">
        <v>11</v>
      </c>
      <c r="E263" t="s">
        <v>12</v>
      </c>
      <c r="F263" t="s">
        <v>42</v>
      </c>
      <c r="G263" t="s">
        <v>19</v>
      </c>
      <c r="H263">
        <v>94820</v>
      </c>
      <c r="I263">
        <v>84200</v>
      </c>
    </row>
    <row r="264" spans="1:9" x14ac:dyDescent="0.3">
      <c r="A264" t="s">
        <v>296</v>
      </c>
      <c r="B264">
        <v>45695</v>
      </c>
      <c r="C264" t="s">
        <v>16</v>
      </c>
      <c r="D264" t="s">
        <v>11</v>
      </c>
      <c r="E264" t="s">
        <v>17</v>
      </c>
      <c r="F264" t="s">
        <v>23</v>
      </c>
      <c r="G264" t="s">
        <v>14</v>
      </c>
      <c r="H264">
        <v>174254</v>
      </c>
      <c r="I264">
        <v>197100</v>
      </c>
    </row>
    <row r="265" spans="1:9" x14ac:dyDescent="0.3">
      <c r="A265" t="s">
        <v>297</v>
      </c>
      <c r="B265">
        <v>45695</v>
      </c>
      <c r="C265" t="s">
        <v>36</v>
      </c>
      <c r="D265" t="s">
        <v>11</v>
      </c>
      <c r="E265" t="s">
        <v>37</v>
      </c>
      <c r="F265" t="s">
        <v>18</v>
      </c>
      <c r="G265" t="s">
        <v>19</v>
      </c>
      <c r="H265">
        <v>43823</v>
      </c>
      <c r="I265">
        <v>38400</v>
      </c>
    </row>
    <row r="266" spans="1:9" x14ac:dyDescent="0.3">
      <c r="A266" t="s">
        <v>298</v>
      </c>
      <c r="B266">
        <v>45695</v>
      </c>
      <c r="C266" t="s">
        <v>36</v>
      </c>
      <c r="D266" t="s">
        <v>11</v>
      </c>
      <c r="E266" t="s">
        <v>37</v>
      </c>
      <c r="F266" t="s">
        <v>59</v>
      </c>
      <c r="G266" t="s">
        <v>14</v>
      </c>
      <c r="H266">
        <v>220826</v>
      </c>
      <c r="I266">
        <v>191900</v>
      </c>
    </row>
    <row r="267" spans="1:9" x14ac:dyDescent="0.3">
      <c r="A267" t="s">
        <v>299</v>
      </c>
      <c r="B267">
        <v>45695</v>
      </c>
      <c r="C267" t="s">
        <v>21</v>
      </c>
      <c r="D267" t="s">
        <v>11</v>
      </c>
      <c r="E267" t="s">
        <v>22</v>
      </c>
      <c r="F267" t="s">
        <v>42</v>
      </c>
      <c r="G267" t="s">
        <v>19</v>
      </c>
      <c r="H267">
        <v>50318</v>
      </c>
      <c r="I267">
        <v>50700</v>
      </c>
    </row>
    <row r="268" spans="1:9" x14ac:dyDescent="0.3">
      <c r="A268" t="s">
        <v>300</v>
      </c>
      <c r="B268">
        <v>45695</v>
      </c>
      <c r="C268" t="s">
        <v>25</v>
      </c>
      <c r="D268" t="s">
        <v>11</v>
      </c>
      <c r="E268" t="s">
        <v>22</v>
      </c>
      <c r="F268" t="s">
        <v>18</v>
      </c>
      <c r="G268" t="s">
        <v>19</v>
      </c>
      <c r="H268">
        <v>13799</v>
      </c>
      <c r="I268">
        <v>14900</v>
      </c>
    </row>
    <row r="269" spans="1:9" x14ac:dyDescent="0.3">
      <c r="A269" t="s">
        <v>301</v>
      </c>
      <c r="B269">
        <v>45696</v>
      </c>
      <c r="C269" t="s">
        <v>21</v>
      </c>
      <c r="D269" t="s">
        <v>11</v>
      </c>
      <c r="E269" t="s">
        <v>22</v>
      </c>
      <c r="F269" t="s">
        <v>23</v>
      </c>
      <c r="G269" t="s">
        <v>14</v>
      </c>
      <c r="H269">
        <v>137490</v>
      </c>
      <c r="I269">
        <v>135100</v>
      </c>
    </row>
    <row r="270" spans="1:9" x14ac:dyDescent="0.3">
      <c r="A270" t="s">
        <v>302</v>
      </c>
      <c r="B270">
        <v>45696</v>
      </c>
      <c r="C270" t="s">
        <v>25</v>
      </c>
      <c r="D270" t="s">
        <v>11</v>
      </c>
      <c r="E270" t="s">
        <v>22</v>
      </c>
      <c r="F270" t="s">
        <v>18</v>
      </c>
      <c r="G270" t="s">
        <v>19</v>
      </c>
      <c r="H270">
        <v>46715</v>
      </c>
      <c r="I270">
        <v>39500</v>
      </c>
    </row>
    <row r="271" spans="1:9" x14ac:dyDescent="0.3">
      <c r="A271" t="s">
        <v>303</v>
      </c>
      <c r="B271">
        <v>45696</v>
      </c>
      <c r="C271" t="s">
        <v>55</v>
      </c>
      <c r="D271" t="s">
        <v>11</v>
      </c>
      <c r="E271" t="s">
        <v>37</v>
      </c>
      <c r="F271" t="s">
        <v>56</v>
      </c>
      <c r="G271" t="s">
        <v>19</v>
      </c>
      <c r="H271">
        <v>27378</v>
      </c>
      <c r="I271">
        <v>28500</v>
      </c>
    </row>
    <row r="272" spans="1:9" x14ac:dyDescent="0.3">
      <c r="A272" t="s">
        <v>304</v>
      </c>
      <c r="B272">
        <v>45696</v>
      </c>
      <c r="C272" t="s">
        <v>55</v>
      </c>
      <c r="D272" t="s">
        <v>11</v>
      </c>
      <c r="E272" t="s">
        <v>37</v>
      </c>
      <c r="F272" t="s">
        <v>33</v>
      </c>
      <c r="G272" t="s">
        <v>19</v>
      </c>
      <c r="H272">
        <v>66935</v>
      </c>
      <c r="I272">
        <v>59300</v>
      </c>
    </row>
    <row r="273" spans="1:9" x14ac:dyDescent="0.3">
      <c r="A273" t="s">
        <v>305</v>
      </c>
      <c r="B273">
        <v>45697</v>
      </c>
      <c r="C273" t="s">
        <v>62</v>
      </c>
      <c r="D273" t="s">
        <v>11</v>
      </c>
      <c r="E273" t="s">
        <v>22</v>
      </c>
      <c r="F273" t="s">
        <v>12</v>
      </c>
      <c r="G273" t="s">
        <v>14</v>
      </c>
      <c r="H273">
        <v>157572</v>
      </c>
      <c r="I273">
        <v>139200</v>
      </c>
    </row>
    <row r="274" spans="1:9" x14ac:dyDescent="0.3">
      <c r="A274" t="s">
        <v>306</v>
      </c>
      <c r="B274">
        <v>45697</v>
      </c>
      <c r="C274" t="s">
        <v>16</v>
      </c>
      <c r="D274" t="s">
        <v>11</v>
      </c>
      <c r="E274" t="s">
        <v>17</v>
      </c>
      <c r="F274" t="s">
        <v>18</v>
      </c>
      <c r="G274" t="s">
        <v>19</v>
      </c>
      <c r="H274">
        <v>84200</v>
      </c>
      <c r="I274">
        <v>80700</v>
      </c>
    </row>
    <row r="275" spans="1:9" x14ac:dyDescent="0.3">
      <c r="A275" t="s">
        <v>307</v>
      </c>
      <c r="B275">
        <v>45697</v>
      </c>
      <c r="C275" t="s">
        <v>16</v>
      </c>
      <c r="D275" t="s">
        <v>11</v>
      </c>
      <c r="E275" t="s">
        <v>17</v>
      </c>
      <c r="F275" t="s">
        <v>33</v>
      </c>
      <c r="G275" t="s">
        <v>19</v>
      </c>
      <c r="H275">
        <v>100654</v>
      </c>
      <c r="I275">
        <v>99300</v>
      </c>
    </row>
    <row r="276" spans="1:9" x14ac:dyDescent="0.3">
      <c r="A276" t="s">
        <v>308</v>
      </c>
      <c r="B276">
        <v>45697</v>
      </c>
      <c r="C276" t="s">
        <v>25</v>
      </c>
      <c r="D276" t="s">
        <v>11</v>
      </c>
      <c r="E276" t="s">
        <v>22</v>
      </c>
      <c r="F276" t="s">
        <v>46</v>
      </c>
      <c r="G276" t="s">
        <v>19</v>
      </c>
      <c r="H276">
        <v>38297</v>
      </c>
      <c r="I276">
        <v>40800</v>
      </c>
    </row>
    <row r="277" spans="1:9" x14ac:dyDescent="0.3">
      <c r="A277" t="s">
        <v>309</v>
      </c>
      <c r="B277">
        <v>45697</v>
      </c>
      <c r="C277" t="s">
        <v>55</v>
      </c>
      <c r="D277" t="s">
        <v>11</v>
      </c>
      <c r="E277" t="s">
        <v>37</v>
      </c>
      <c r="F277" t="s">
        <v>42</v>
      </c>
      <c r="G277" t="s">
        <v>19</v>
      </c>
      <c r="H277">
        <v>85535</v>
      </c>
      <c r="I277">
        <v>93600</v>
      </c>
    </row>
    <row r="278" spans="1:9" x14ac:dyDescent="0.3">
      <c r="A278" t="s">
        <v>310</v>
      </c>
      <c r="B278">
        <v>45697</v>
      </c>
      <c r="C278" t="s">
        <v>55</v>
      </c>
      <c r="D278" t="s">
        <v>11</v>
      </c>
      <c r="E278" t="s">
        <v>37</v>
      </c>
      <c r="F278" t="s">
        <v>33</v>
      </c>
      <c r="G278" t="s">
        <v>19</v>
      </c>
      <c r="H278">
        <v>80839</v>
      </c>
      <c r="I278">
        <v>78800</v>
      </c>
    </row>
    <row r="279" spans="1:9" x14ac:dyDescent="0.3">
      <c r="A279" t="s">
        <v>311</v>
      </c>
      <c r="B279">
        <v>45697</v>
      </c>
      <c r="C279" t="s">
        <v>55</v>
      </c>
      <c r="D279" t="s">
        <v>11</v>
      </c>
      <c r="E279" t="s">
        <v>37</v>
      </c>
      <c r="F279" t="s">
        <v>26</v>
      </c>
      <c r="G279" t="s">
        <v>14</v>
      </c>
      <c r="H279">
        <v>183880</v>
      </c>
      <c r="I279">
        <v>152900</v>
      </c>
    </row>
    <row r="280" spans="1:9" x14ac:dyDescent="0.3">
      <c r="A280" t="s">
        <v>312</v>
      </c>
      <c r="B280">
        <v>45698</v>
      </c>
      <c r="C280" t="s">
        <v>10</v>
      </c>
      <c r="D280" t="s">
        <v>11</v>
      </c>
      <c r="E280" t="s">
        <v>12</v>
      </c>
      <c r="F280" t="s">
        <v>59</v>
      </c>
      <c r="G280" t="s">
        <v>14</v>
      </c>
      <c r="H280">
        <v>71984</v>
      </c>
      <c r="I280">
        <v>61800</v>
      </c>
    </row>
    <row r="281" spans="1:9" x14ac:dyDescent="0.3">
      <c r="A281" t="s">
        <v>313</v>
      </c>
      <c r="B281">
        <v>45698</v>
      </c>
      <c r="C281" t="s">
        <v>10</v>
      </c>
      <c r="D281" t="s">
        <v>11</v>
      </c>
      <c r="E281" t="s">
        <v>12</v>
      </c>
      <c r="F281" t="s">
        <v>13</v>
      </c>
      <c r="G281" t="s">
        <v>14</v>
      </c>
      <c r="H281">
        <v>172050</v>
      </c>
      <c r="I281">
        <v>186200</v>
      </c>
    </row>
    <row r="282" spans="1:9" x14ac:dyDescent="0.3">
      <c r="A282" t="s">
        <v>314</v>
      </c>
      <c r="B282">
        <v>45698</v>
      </c>
      <c r="C282" t="s">
        <v>16</v>
      </c>
      <c r="D282" t="s">
        <v>11</v>
      </c>
      <c r="E282" t="s">
        <v>17</v>
      </c>
      <c r="F282" t="s">
        <v>42</v>
      </c>
      <c r="G282" t="s">
        <v>19</v>
      </c>
      <c r="H282">
        <v>91007</v>
      </c>
      <c r="I282">
        <v>84900</v>
      </c>
    </row>
    <row r="283" spans="1:9" x14ac:dyDescent="0.3">
      <c r="A283" t="s">
        <v>315</v>
      </c>
      <c r="B283">
        <v>45698</v>
      </c>
      <c r="C283" t="s">
        <v>16</v>
      </c>
      <c r="D283" t="s">
        <v>11</v>
      </c>
      <c r="E283" t="s">
        <v>17</v>
      </c>
      <c r="F283" t="s">
        <v>23</v>
      </c>
      <c r="G283" t="s">
        <v>14</v>
      </c>
      <c r="H283">
        <v>242719</v>
      </c>
      <c r="I283">
        <v>244000</v>
      </c>
    </row>
    <row r="284" spans="1:9" x14ac:dyDescent="0.3">
      <c r="A284" t="s">
        <v>316</v>
      </c>
      <c r="B284">
        <v>45698</v>
      </c>
      <c r="C284" t="s">
        <v>25</v>
      </c>
      <c r="D284" t="s">
        <v>11</v>
      </c>
      <c r="E284" t="s">
        <v>22</v>
      </c>
      <c r="F284" t="s">
        <v>59</v>
      </c>
      <c r="G284" t="s">
        <v>14</v>
      </c>
      <c r="H284">
        <v>208452</v>
      </c>
      <c r="I284">
        <v>159300</v>
      </c>
    </row>
    <row r="285" spans="1:9" x14ac:dyDescent="0.3">
      <c r="A285" t="s">
        <v>317</v>
      </c>
      <c r="B285">
        <v>45698</v>
      </c>
      <c r="C285" t="s">
        <v>25</v>
      </c>
      <c r="D285" t="s">
        <v>11</v>
      </c>
      <c r="E285" t="s">
        <v>22</v>
      </c>
      <c r="F285" t="s">
        <v>26</v>
      </c>
      <c r="G285" t="s">
        <v>14</v>
      </c>
      <c r="H285">
        <v>195270</v>
      </c>
      <c r="I285">
        <v>171100</v>
      </c>
    </row>
    <row r="286" spans="1:9" x14ac:dyDescent="0.3">
      <c r="A286" t="s">
        <v>318</v>
      </c>
      <c r="B286">
        <v>45699</v>
      </c>
      <c r="C286" t="s">
        <v>62</v>
      </c>
      <c r="D286" t="s">
        <v>11</v>
      </c>
      <c r="E286" t="s">
        <v>22</v>
      </c>
      <c r="F286" t="s">
        <v>39</v>
      </c>
      <c r="G286" t="s">
        <v>19</v>
      </c>
      <c r="H286">
        <v>64750</v>
      </c>
      <c r="I286">
        <v>65700</v>
      </c>
    </row>
    <row r="287" spans="1:9" x14ac:dyDescent="0.3">
      <c r="A287" t="s">
        <v>319</v>
      </c>
      <c r="B287">
        <v>45699</v>
      </c>
      <c r="C287" t="s">
        <v>10</v>
      </c>
      <c r="D287" t="s">
        <v>11</v>
      </c>
      <c r="E287" t="s">
        <v>12</v>
      </c>
      <c r="F287" t="s">
        <v>12</v>
      </c>
      <c r="G287" t="s">
        <v>14</v>
      </c>
      <c r="H287">
        <v>163435</v>
      </c>
      <c r="I287">
        <v>160400</v>
      </c>
    </row>
    <row r="288" spans="1:9" x14ac:dyDescent="0.3">
      <c r="A288" t="s">
        <v>320</v>
      </c>
      <c r="B288">
        <v>45699</v>
      </c>
      <c r="C288" t="s">
        <v>10</v>
      </c>
      <c r="D288" t="s">
        <v>11</v>
      </c>
      <c r="E288" t="s">
        <v>12</v>
      </c>
      <c r="F288" t="s">
        <v>23</v>
      </c>
      <c r="G288" t="s">
        <v>14</v>
      </c>
      <c r="H288">
        <v>74116</v>
      </c>
      <c r="I288">
        <v>83100</v>
      </c>
    </row>
    <row r="289" spans="1:9" x14ac:dyDescent="0.3">
      <c r="A289" t="s">
        <v>321</v>
      </c>
      <c r="B289">
        <v>45699</v>
      </c>
      <c r="C289" t="s">
        <v>16</v>
      </c>
      <c r="D289" t="s">
        <v>11</v>
      </c>
      <c r="E289" t="s">
        <v>17</v>
      </c>
      <c r="F289" t="s">
        <v>26</v>
      </c>
      <c r="G289" t="s">
        <v>14</v>
      </c>
      <c r="H289">
        <v>237371</v>
      </c>
      <c r="I289">
        <v>282000</v>
      </c>
    </row>
    <row r="290" spans="1:9" x14ac:dyDescent="0.3">
      <c r="A290" t="s">
        <v>322</v>
      </c>
      <c r="B290">
        <v>45699</v>
      </c>
      <c r="C290" t="s">
        <v>16</v>
      </c>
      <c r="D290" t="s">
        <v>11</v>
      </c>
      <c r="E290" t="s">
        <v>17</v>
      </c>
      <c r="F290" t="s">
        <v>59</v>
      </c>
      <c r="G290" t="s">
        <v>14</v>
      </c>
      <c r="H290">
        <v>78242</v>
      </c>
      <c r="I290">
        <v>71700</v>
      </c>
    </row>
    <row r="291" spans="1:9" x14ac:dyDescent="0.3">
      <c r="A291" t="s">
        <v>323</v>
      </c>
      <c r="B291">
        <v>45699</v>
      </c>
      <c r="C291" t="s">
        <v>21</v>
      </c>
      <c r="D291" t="s">
        <v>11</v>
      </c>
      <c r="E291" t="s">
        <v>22</v>
      </c>
      <c r="F291" t="s">
        <v>18</v>
      </c>
      <c r="G291" t="s">
        <v>19</v>
      </c>
      <c r="H291">
        <v>92308</v>
      </c>
      <c r="I291">
        <v>102700</v>
      </c>
    </row>
    <row r="292" spans="1:9" x14ac:dyDescent="0.3">
      <c r="A292" t="s">
        <v>324</v>
      </c>
      <c r="B292">
        <v>45699</v>
      </c>
      <c r="C292" t="s">
        <v>21</v>
      </c>
      <c r="D292" t="s">
        <v>11</v>
      </c>
      <c r="E292" t="s">
        <v>22</v>
      </c>
      <c r="F292" t="s">
        <v>59</v>
      </c>
      <c r="G292" t="s">
        <v>14</v>
      </c>
      <c r="H292">
        <v>47707</v>
      </c>
      <c r="I292">
        <v>44900</v>
      </c>
    </row>
    <row r="293" spans="1:9" x14ac:dyDescent="0.3">
      <c r="A293" t="s">
        <v>325</v>
      </c>
      <c r="B293">
        <v>45700</v>
      </c>
      <c r="C293" t="s">
        <v>10</v>
      </c>
      <c r="D293" t="s">
        <v>11</v>
      </c>
      <c r="E293" t="s">
        <v>12</v>
      </c>
      <c r="F293" t="s">
        <v>23</v>
      </c>
      <c r="G293" t="s">
        <v>14</v>
      </c>
      <c r="H293">
        <v>52924</v>
      </c>
      <c r="I293">
        <v>51000</v>
      </c>
    </row>
    <row r="294" spans="1:9" x14ac:dyDescent="0.3">
      <c r="A294" t="s">
        <v>326</v>
      </c>
      <c r="B294">
        <v>45700</v>
      </c>
      <c r="C294" t="s">
        <v>36</v>
      </c>
      <c r="D294" t="s">
        <v>11</v>
      </c>
      <c r="E294" t="s">
        <v>37</v>
      </c>
      <c r="F294" t="s">
        <v>13</v>
      </c>
      <c r="G294" t="s">
        <v>14</v>
      </c>
      <c r="H294">
        <v>196748</v>
      </c>
      <c r="I294">
        <v>204200</v>
      </c>
    </row>
    <row r="295" spans="1:9" x14ac:dyDescent="0.3">
      <c r="A295" t="s">
        <v>327</v>
      </c>
      <c r="B295">
        <v>45700</v>
      </c>
      <c r="C295" t="s">
        <v>21</v>
      </c>
      <c r="D295" t="s">
        <v>11</v>
      </c>
      <c r="E295" t="s">
        <v>22</v>
      </c>
      <c r="F295" t="s">
        <v>46</v>
      </c>
      <c r="G295" t="s">
        <v>19</v>
      </c>
      <c r="H295">
        <v>107326</v>
      </c>
      <c r="I295">
        <v>106600</v>
      </c>
    </row>
    <row r="296" spans="1:9" x14ac:dyDescent="0.3">
      <c r="A296" t="s">
        <v>328</v>
      </c>
      <c r="B296">
        <v>45700</v>
      </c>
      <c r="C296" t="s">
        <v>21</v>
      </c>
      <c r="D296" t="s">
        <v>11</v>
      </c>
      <c r="E296" t="s">
        <v>22</v>
      </c>
      <c r="F296" t="s">
        <v>37</v>
      </c>
      <c r="G296" t="s">
        <v>14</v>
      </c>
      <c r="H296">
        <v>210849</v>
      </c>
      <c r="I296">
        <v>226600</v>
      </c>
    </row>
    <row r="297" spans="1:9" x14ac:dyDescent="0.3">
      <c r="A297" t="s">
        <v>329</v>
      </c>
      <c r="B297">
        <v>45701</v>
      </c>
      <c r="C297" t="s">
        <v>16</v>
      </c>
      <c r="D297" t="s">
        <v>11</v>
      </c>
      <c r="E297" t="s">
        <v>17</v>
      </c>
      <c r="F297" t="s">
        <v>59</v>
      </c>
      <c r="G297" t="s">
        <v>14</v>
      </c>
      <c r="H297">
        <v>33208</v>
      </c>
      <c r="I297">
        <v>33200</v>
      </c>
    </row>
    <row r="298" spans="1:9" x14ac:dyDescent="0.3">
      <c r="A298" t="s">
        <v>330</v>
      </c>
      <c r="B298">
        <v>45701</v>
      </c>
      <c r="C298" t="s">
        <v>36</v>
      </c>
      <c r="D298" t="s">
        <v>11</v>
      </c>
      <c r="E298" t="s">
        <v>37</v>
      </c>
      <c r="F298" t="s">
        <v>39</v>
      </c>
      <c r="G298" t="s">
        <v>19</v>
      </c>
      <c r="H298">
        <v>70530</v>
      </c>
      <c r="I298">
        <v>60100</v>
      </c>
    </row>
    <row r="299" spans="1:9" x14ac:dyDescent="0.3">
      <c r="A299" t="s">
        <v>331</v>
      </c>
      <c r="B299">
        <v>45701</v>
      </c>
      <c r="C299" t="s">
        <v>31</v>
      </c>
      <c r="D299" t="s">
        <v>11</v>
      </c>
      <c r="E299" t="s">
        <v>17</v>
      </c>
      <c r="F299" t="s">
        <v>18</v>
      </c>
      <c r="G299" t="s">
        <v>19</v>
      </c>
      <c r="H299">
        <v>111425</v>
      </c>
      <c r="I299">
        <v>108800</v>
      </c>
    </row>
    <row r="300" spans="1:9" x14ac:dyDescent="0.3">
      <c r="A300" t="s">
        <v>332</v>
      </c>
      <c r="B300">
        <v>45701</v>
      </c>
      <c r="C300" t="s">
        <v>31</v>
      </c>
      <c r="D300" t="s">
        <v>11</v>
      </c>
      <c r="E300" t="s">
        <v>17</v>
      </c>
      <c r="F300" t="s">
        <v>23</v>
      </c>
      <c r="G300" t="s">
        <v>14</v>
      </c>
      <c r="H300">
        <v>38356</v>
      </c>
      <c r="I300">
        <v>35900</v>
      </c>
    </row>
    <row r="301" spans="1:9" x14ac:dyDescent="0.3">
      <c r="A301" t="s">
        <v>333</v>
      </c>
      <c r="B301">
        <v>45701</v>
      </c>
      <c r="C301" t="s">
        <v>31</v>
      </c>
      <c r="D301" t="s">
        <v>11</v>
      </c>
      <c r="E301" t="s">
        <v>17</v>
      </c>
      <c r="F301" t="s">
        <v>13</v>
      </c>
      <c r="G301" t="s">
        <v>14</v>
      </c>
      <c r="H301">
        <v>153056</v>
      </c>
      <c r="I301">
        <v>125800</v>
      </c>
    </row>
    <row r="302" spans="1:9" x14ac:dyDescent="0.3">
      <c r="A302" t="s">
        <v>334</v>
      </c>
      <c r="B302">
        <v>45701</v>
      </c>
      <c r="C302" t="s">
        <v>55</v>
      </c>
      <c r="D302" t="s">
        <v>11</v>
      </c>
      <c r="E302" t="s">
        <v>37</v>
      </c>
      <c r="F302" t="s">
        <v>23</v>
      </c>
      <c r="G302" t="s">
        <v>14</v>
      </c>
      <c r="H302">
        <v>75134</v>
      </c>
      <c r="I302">
        <v>78000</v>
      </c>
    </row>
    <row r="303" spans="1:9" x14ac:dyDescent="0.3">
      <c r="A303" t="s">
        <v>335</v>
      </c>
      <c r="B303">
        <v>45702</v>
      </c>
      <c r="C303" t="s">
        <v>10</v>
      </c>
      <c r="D303" t="s">
        <v>11</v>
      </c>
      <c r="E303" t="s">
        <v>12</v>
      </c>
      <c r="F303" t="s">
        <v>33</v>
      </c>
      <c r="G303" t="s">
        <v>19</v>
      </c>
      <c r="H303">
        <v>13958</v>
      </c>
      <c r="I303">
        <v>12400</v>
      </c>
    </row>
    <row r="304" spans="1:9" x14ac:dyDescent="0.3">
      <c r="A304" t="s">
        <v>336</v>
      </c>
      <c r="B304">
        <v>45702</v>
      </c>
      <c r="C304" t="s">
        <v>16</v>
      </c>
      <c r="D304" t="s">
        <v>11</v>
      </c>
      <c r="E304" t="s">
        <v>17</v>
      </c>
      <c r="F304" t="s">
        <v>46</v>
      </c>
      <c r="G304" t="s">
        <v>19</v>
      </c>
      <c r="H304">
        <v>41116</v>
      </c>
      <c r="I304">
        <v>44400</v>
      </c>
    </row>
    <row r="305" spans="1:9" x14ac:dyDescent="0.3">
      <c r="A305" t="s">
        <v>337</v>
      </c>
      <c r="B305">
        <v>45702</v>
      </c>
      <c r="C305" t="s">
        <v>31</v>
      </c>
      <c r="D305" t="s">
        <v>11</v>
      </c>
      <c r="E305" t="s">
        <v>17</v>
      </c>
      <c r="F305" t="s">
        <v>33</v>
      </c>
      <c r="G305" t="s">
        <v>19</v>
      </c>
      <c r="H305">
        <v>68016</v>
      </c>
      <c r="I305">
        <v>65800</v>
      </c>
    </row>
    <row r="306" spans="1:9" x14ac:dyDescent="0.3">
      <c r="A306" t="s">
        <v>338</v>
      </c>
      <c r="B306">
        <v>45702</v>
      </c>
      <c r="C306" t="s">
        <v>31</v>
      </c>
      <c r="D306" t="s">
        <v>11</v>
      </c>
      <c r="E306" t="s">
        <v>17</v>
      </c>
      <c r="F306" t="s">
        <v>37</v>
      </c>
      <c r="G306" t="s">
        <v>14</v>
      </c>
      <c r="H306">
        <v>237011</v>
      </c>
      <c r="I306">
        <v>230400</v>
      </c>
    </row>
    <row r="307" spans="1:9" x14ac:dyDescent="0.3">
      <c r="A307" t="s">
        <v>339</v>
      </c>
      <c r="B307">
        <v>45703</v>
      </c>
      <c r="C307" t="s">
        <v>62</v>
      </c>
      <c r="D307" t="s">
        <v>11</v>
      </c>
      <c r="E307" t="s">
        <v>22</v>
      </c>
      <c r="F307" t="s">
        <v>42</v>
      </c>
      <c r="G307" t="s">
        <v>19</v>
      </c>
      <c r="H307">
        <v>50667</v>
      </c>
      <c r="I307">
        <v>48500</v>
      </c>
    </row>
    <row r="308" spans="1:9" x14ac:dyDescent="0.3">
      <c r="A308" t="s">
        <v>340</v>
      </c>
      <c r="B308">
        <v>45703</v>
      </c>
      <c r="C308" t="s">
        <v>16</v>
      </c>
      <c r="D308" t="s">
        <v>11</v>
      </c>
      <c r="E308" t="s">
        <v>17</v>
      </c>
      <c r="F308" t="s">
        <v>56</v>
      </c>
      <c r="G308" t="s">
        <v>19</v>
      </c>
      <c r="H308">
        <v>25677</v>
      </c>
      <c r="I308">
        <v>24200</v>
      </c>
    </row>
    <row r="309" spans="1:9" x14ac:dyDescent="0.3">
      <c r="A309" t="s">
        <v>341</v>
      </c>
      <c r="B309">
        <v>45703</v>
      </c>
      <c r="C309" t="s">
        <v>16</v>
      </c>
      <c r="D309" t="s">
        <v>11</v>
      </c>
      <c r="E309" t="s">
        <v>17</v>
      </c>
      <c r="F309" t="s">
        <v>46</v>
      </c>
      <c r="G309" t="s">
        <v>19</v>
      </c>
      <c r="H309">
        <v>107651</v>
      </c>
      <c r="I309">
        <v>104600</v>
      </c>
    </row>
    <row r="310" spans="1:9" x14ac:dyDescent="0.3">
      <c r="A310" t="s">
        <v>342</v>
      </c>
      <c r="B310">
        <v>45703</v>
      </c>
      <c r="C310" t="s">
        <v>16</v>
      </c>
      <c r="D310" t="s">
        <v>11</v>
      </c>
      <c r="E310" t="s">
        <v>17</v>
      </c>
      <c r="F310" t="s">
        <v>37</v>
      </c>
      <c r="G310" t="s">
        <v>14</v>
      </c>
      <c r="H310">
        <v>207517</v>
      </c>
      <c r="I310">
        <v>207100</v>
      </c>
    </row>
    <row r="311" spans="1:9" x14ac:dyDescent="0.3">
      <c r="A311" t="s">
        <v>343</v>
      </c>
      <c r="B311">
        <v>45703</v>
      </c>
      <c r="C311" t="s">
        <v>16</v>
      </c>
      <c r="D311" t="s">
        <v>11</v>
      </c>
      <c r="E311" t="s">
        <v>17</v>
      </c>
      <c r="F311" t="s">
        <v>23</v>
      </c>
      <c r="G311" t="s">
        <v>14</v>
      </c>
      <c r="H311">
        <v>129423</v>
      </c>
      <c r="I311">
        <v>142300</v>
      </c>
    </row>
    <row r="312" spans="1:9" x14ac:dyDescent="0.3">
      <c r="A312" t="s">
        <v>344</v>
      </c>
      <c r="B312">
        <v>45703</v>
      </c>
      <c r="C312" t="s">
        <v>16</v>
      </c>
      <c r="D312" t="s">
        <v>11</v>
      </c>
      <c r="E312" t="s">
        <v>17</v>
      </c>
      <c r="F312" t="s">
        <v>26</v>
      </c>
      <c r="G312" t="s">
        <v>14</v>
      </c>
      <c r="H312">
        <v>110512</v>
      </c>
      <c r="I312">
        <v>105200</v>
      </c>
    </row>
    <row r="313" spans="1:9" x14ac:dyDescent="0.3">
      <c r="A313" t="s">
        <v>345</v>
      </c>
      <c r="B313">
        <v>45703</v>
      </c>
      <c r="C313" t="s">
        <v>21</v>
      </c>
      <c r="D313" t="s">
        <v>11</v>
      </c>
      <c r="E313" t="s">
        <v>22</v>
      </c>
      <c r="F313" t="s">
        <v>59</v>
      </c>
      <c r="G313" t="s">
        <v>14</v>
      </c>
      <c r="H313">
        <v>233848</v>
      </c>
      <c r="I313">
        <v>241200</v>
      </c>
    </row>
    <row r="314" spans="1:9" x14ac:dyDescent="0.3">
      <c r="A314" t="s">
        <v>346</v>
      </c>
      <c r="B314">
        <v>45703</v>
      </c>
      <c r="C314" t="s">
        <v>21</v>
      </c>
      <c r="D314" t="s">
        <v>11</v>
      </c>
      <c r="E314" t="s">
        <v>22</v>
      </c>
      <c r="F314" t="s">
        <v>59</v>
      </c>
      <c r="G314" t="s">
        <v>14</v>
      </c>
      <c r="H314">
        <v>200290</v>
      </c>
      <c r="I314">
        <v>179200</v>
      </c>
    </row>
    <row r="315" spans="1:9" x14ac:dyDescent="0.3">
      <c r="A315" t="s">
        <v>347</v>
      </c>
      <c r="B315">
        <v>45703</v>
      </c>
      <c r="C315" t="s">
        <v>31</v>
      </c>
      <c r="D315" t="s">
        <v>11</v>
      </c>
      <c r="E315" t="s">
        <v>17</v>
      </c>
      <c r="F315" t="s">
        <v>26</v>
      </c>
      <c r="G315" t="s">
        <v>14</v>
      </c>
      <c r="H315">
        <v>190903</v>
      </c>
      <c r="I315">
        <v>175500</v>
      </c>
    </row>
    <row r="316" spans="1:9" x14ac:dyDescent="0.3">
      <c r="A316" t="s">
        <v>348</v>
      </c>
      <c r="B316">
        <v>45704</v>
      </c>
      <c r="C316" t="s">
        <v>62</v>
      </c>
      <c r="D316" t="s">
        <v>11</v>
      </c>
      <c r="E316" t="s">
        <v>22</v>
      </c>
      <c r="F316" t="s">
        <v>37</v>
      </c>
      <c r="G316" t="s">
        <v>14</v>
      </c>
      <c r="H316">
        <v>179198</v>
      </c>
      <c r="I316">
        <v>177200</v>
      </c>
    </row>
    <row r="317" spans="1:9" x14ac:dyDescent="0.3">
      <c r="A317" t="s">
        <v>349</v>
      </c>
      <c r="B317">
        <v>45704</v>
      </c>
      <c r="C317" t="s">
        <v>16</v>
      </c>
      <c r="D317" t="s">
        <v>11</v>
      </c>
      <c r="E317" t="s">
        <v>17</v>
      </c>
      <c r="F317" t="s">
        <v>33</v>
      </c>
      <c r="G317" t="s">
        <v>19</v>
      </c>
      <c r="H317">
        <v>83183</v>
      </c>
      <c r="I317">
        <v>79300</v>
      </c>
    </row>
    <row r="318" spans="1:9" x14ac:dyDescent="0.3">
      <c r="A318" t="s">
        <v>350</v>
      </c>
      <c r="B318">
        <v>45704</v>
      </c>
      <c r="C318" t="s">
        <v>36</v>
      </c>
      <c r="D318" t="s">
        <v>11</v>
      </c>
      <c r="E318" t="s">
        <v>37</v>
      </c>
      <c r="F318" t="s">
        <v>18</v>
      </c>
      <c r="G318" t="s">
        <v>19</v>
      </c>
      <c r="H318">
        <v>86392</v>
      </c>
      <c r="I318">
        <v>77200</v>
      </c>
    </row>
    <row r="319" spans="1:9" x14ac:dyDescent="0.3">
      <c r="A319" t="s">
        <v>351</v>
      </c>
      <c r="B319">
        <v>45704</v>
      </c>
      <c r="C319" t="s">
        <v>55</v>
      </c>
      <c r="D319" t="s">
        <v>11</v>
      </c>
      <c r="E319" t="s">
        <v>37</v>
      </c>
      <c r="F319" t="s">
        <v>37</v>
      </c>
      <c r="G319" t="s">
        <v>14</v>
      </c>
      <c r="H319">
        <v>143114</v>
      </c>
      <c r="I319">
        <v>128100</v>
      </c>
    </row>
    <row r="320" spans="1:9" x14ac:dyDescent="0.3">
      <c r="A320" t="s">
        <v>352</v>
      </c>
      <c r="B320">
        <v>45705</v>
      </c>
      <c r="C320" t="s">
        <v>62</v>
      </c>
      <c r="D320" t="s">
        <v>11</v>
      </c>
      <c r="E320" t="s">
        <v>22</v>
      </c>
      <c r="F320" t="s">
        <v>23</v>
      </c>
      <c r="G320" t="s">
        <v>14</v>
      </c>
      <c r="H320">
        <v>36383</v>
      </c>
      <c r="I320">
        <v>32000</v>
      </c>
    </row>
    <row r="321" spans="1:9" x14ac:dyDescent="0.3">
      <c r="A321" t="s">
        <v>353</v>
      </c>
      <c r="B321">
        <v>45705</v>
      </c>
      <c r="C321" t="s">
        <v>16</v>
      </c>
      <c r="D321" t="s">
        <v>11</v>
      </c>
      <c r="E321" t="s">
        <v>17</v>
      </c>
      <c r="F321" t="s">
        <v>13</v>
      </c>
      <c r="G321" t="s">
        <v>14</v>
      </c>
      <c r="H321">
        <v>41160</v>
      </c>
      <c r="I321">
        <v>36900</v>
      </c>
    </row>
    <row r="322" spans="1:9" x14ac:dyDescent="0.3">
      <c r="A322" t="s">
        <v>354</v>
      </c>
      <c r="B322">
        <v>45705</v>
      </c>
      <c r="C322" t="s">
        <v>16</v>
      </c>
      <c r="D322" t="s">
        <v>11</v>
      </c>
      <c r="E322" t="s">
        <v>17</v>
      </c>
      <c r="F322" t="s">
        <v>13</v>
      </c>
      <c r="G322" t="s">
        <v>14</v>
      </c>
      <c r="H322">
        <v>124037</v>
      </c>
      <c r="I322">
        <v>110400</v>
      </c>
    </row>
    <row r="323" spans="1:9" x14ac:dyDescent="0.3">
      <c r="A323" t="s">
        <v>355</v>
      </c>
      <c r="B323">
        <v>45705</v>
      </c>
      <c r="C323" t="s">
        <v>25</v>
      </c>
      <c r="D323" t="s">
        <v>11</v>
      </c>
      <c r="E323" t="s">
        <v>22</v>
      </c>
      <c r="F323" t="s">
        <v>37</v>
      </c>
      <c r="G323" t="s">
        <v>14</v>
      </c>
      <c r="H323">
        <v>60674</v>
      </c>
      <c r="I323">
        <v>58100</v>
      </c>
    </row>
    <row r="324" spans="1:9" x14ac:dyDescent="0.3">
      <c r="A324" t="s">
        <v>356</v>
      </c>
      <c r="B324">
        <v>45705</v>
      </c>
      <c r="C324" t="s">
        <v>31</v>
      </c>
      <c r="D324" t="s">
        <v>11</v>
      </c>
      <c r="E324" t="s">
        <v>17</v>
      </c>
      <c r="F324" t="s">
        <v>46</v>
      </c>
      <c r="G324" t="s">
        <v>19</v>
      </c>
      <c r="H324">
        <v>87440</v>
      </c>
      <c r="I324">
        <v>77600</v>
      </c>
    </row>
    <row r="325" spans="1:9" x14ac:dyDescent="0.3">
      <c r="A325" t="s">
        <v>357</v>
      </c>
      <c r="B325">
        <v>45705</v>
      </c>
      <c r="C325" t="s">
        <v>31</v>
      </c>
      <c r="D325" t="s">
        <v>11</v>
      </c>
      <c r="E325" t="s">
        <v>17</v>
      </c>
      <c r="F325" t="s">
        <v>37</v>
      </c>
      <c r="G325" t="s">
        <v>14</v>
      </c>
      <c r="H325">
        <v>161151</v>
      </c>
      <c r="I325">
        <v>130300</v>
      </c>
    </row>
    <row r="326" spans="1:9" x14ac:dyDescent="0.3">
      <c r="A326" t="s">
        <v>358</v>
      </c>
      <c r="B326">
        <v>45705</v>
      </c>
      <c r="C326" t="s">
        <v>55</v>
      </c>
      <c r="D326" t="s">
        <v>11</v>
      </c>
      <c r="E326" t="s">
        <v>37</v>
      </c>
      <c r="F326" t="s">
        <v>39</v>
      </c>
      <c r="G326" t="s">
        <v>19</v>
      </c>
      <c r="H326">
        <v>88017</v>
      </c>
      <c r="I326">
        <v>98200</v>
      </c>
    </row>
    <row r="327" spans="1:9" x14ac:dyDescent="0.3">
      <c r="A327" t="s">
        <v>359</v>
      </c>
      <c r="B327">
        <v>45706</v>
      </c>
      <c r="C327" t="s">
        <v>62</v>
      </c>
      <c r="D327" t="s">
        <v>11</v>
      </c>
      <c r="E327" t="s">
        <v>22</v>
      </c>
      <c r="F327" t="s">
        <v>39</v>
      </c>
      <c r="G327" t="s">
        <v>19</v>
      </c>
      <c r="H327">
        <v>65368</v>
      </c>
      <c r="I327">
        <v>79200</v>
      </c>
    </row>
    <row r="328" spans="1:9" x14ac:dyDescent="0.3">
      <c r="A328" t="s">
        <v>360</v>
      </c>
      <c r="B328">
        <v>45706</v>
      </c>
      <c r="C328" t="s">
        <v>16</v>
      </c>
      <c r="D328" t="s">
        <v>11</v>
      </c>
      <c r="E328" t="s">
        <v>17</v>
      </c>
      <c r="F328" t="s">
        <v>12</v>
      </c>
      <c r="G328" t="s">
        <v>14</v>
      </c>
      <c r="H328">
        <v>49800</v>
      </c>
      <c r="I328">
        <v>46600</v>
      </c>
    </row>
    <row r="329" spans="1:9" x14ac:dyDescent="0.3">
      <c r="A329" t="s">
        <v>361</v>
      </c>
      <c r="B329">
        <v>45706</v>
      </c>
      <c r="C329" t="s">
        <v>36</v>
      </c>
      <c r="D329" t="s">
        <v>11</v>
      </c>
      <c r="E329" t="s">
        <v>37</v>
      </c>
      <c r="F329" t="s">
        <v>33</v>
      </c>
      <c r="G329" t="s">
        <v>19</v>
      </c>
      <c r="H329">
        <v>66018</v>
      </c>
      <c r="I329">
        <v>65300</v>
      </c>
    </row>
    <row r="330" spans="1:9" x14ac:dyDescent="0.3">
      <c r="A330" t="s">
        <v>362</v>
      </c>
      <c r="B330">
        <v>45706</v>
      </c>
      <c r="C330" t="s">
        <v>31</v>
      </c>
      <c r="D330" t="s">
        <v>11</v>
      </c>
      <c r="E330" t="s">
        <v>17</v>
      </c>
      <c r="F330" t="s">
        <v>56</v>
      </c>
      <c r="G330" t="s">
        <v>19</v>
      </c>
      <c r="H330">
        <v>78197</v>
      </c>
      <c r="I330">
        <v>66300</v>
      </c>
    </row>
    <row r="331" spans="1:9" x14ac:dyDescent="0.3">
      <c r="A331" t="s">
        <v>363</v>
      </c>
      <c r="B331">
        <v>45706</v>
      </c>
      <c r="C331" t="s">
        <v>31</v>
      </c>
      <c r="D331" t="s">
        <v>11</v>
      </c>
      <c r="E331" t="s">
        <v>17</v>
      </c>
      <c r="F331" t="s">
        <v>42</v>
      </c>
      <c r="G331" t="s">
        <v>19</v>
      </c>
      <c r="H331">
        <v>15021</v>
      </c>
      <c r="I331">
        <v>15800</v>
      </c>
    </row>
    <row r="332" spans="1:9" x14ac:dyDescent="0.3">
      <c r="A332" t="s">
        <v>364</v>
      </c>
      <c r="B332">
        <v>45706</v>
      </c>
      <c r="C332" t="s">
        <v>31</v>
      </c>
      <c r="D332" t="s">
        <v>11</v>
      </c>
      <c r="E332" t="s">
        <v>17</v>
      </c>
      <c r="F332" t="s">
        <v>46</v>
      </c>
      <c r="G332" t="s">
        <v>19</v>
      </c>
      <c r="H332">
        <v>91329</v>
      </c>
      <c r="I332">
        <v>84700</v>
      </c>
    </row>
    <row r="333" spans="1:9" x14ac:dyDescent="0.3">
      <c r="A333" t="s">
        <v>365</v>
      </c>
      <c r="B333">
        <v>45706</v>
      </c>
      <c r="C333" t="s">
        <v>55</v>
      </c>
      <c r="D333" t="s">
        <v>11</v>
      </c>
      <c r="E333" t="s">
        <v>37</v>
      </c>
      <c r="F333" t="s">
        <v>33</v>
      </c>
      <c r="G333" t="s">
        <v>19</v>
      </c>
      <c r="H333">
        <v>23667</v>
      </c>
      <c r="I333">
        <v>24100</v>
      </c>
    </row>
    <row r="334" spans="1:9" x14ac:dyDescent="0.3">
      <c r="A334" t="s">
        <v>366</v>
      </c>
      <c r="B334">
        <v>45707</v>
      </c>
      <c r="C334" t="s">
        <v>62</v>
      </c>
      <c r="D334" t="s">
        <v>11</v>
      </c>
      <c r="E334" t="s">
        <v>22</v>
      </c>
      <c r="F334" t="s">
        <v>59</v>
      </c>
      <c r="G334" t="s">
        <v>14</v>
      </c>
      <c r="H334">
        <v>221744</v>
      </c>
      <c r="I334">
        <v>188200</v>
      </c>
    </row>
    <row r="335" spans="1:9" x14ac:dyDescent="0.3">
      <c r="A335" t="s">
        <v>367</v>
      </c>
      <c r="B335">
        <v>45707</v>
      </c>
      <c r="C335" t="s">
        <v>10</v>
      </c>
      <c r="D335" t="s">
        <v>11</v>
      </c>
      <c r="E335" t="s">
        <v>12</v>
      </c>
      <c r="F335" t="s">
        <v>18</v>
      </c>
      <c r="G335" t="s">
        <v>19</v>
      </c>
      <c r="H335">
        <v>119332</v>
      </c>
      <c r="I335">
        <v>120500</v>
      </c>
    </row>
    <row r="336" spans="1:9" x14ac:dyDescent="0.3">
      <c r="A336" t="s">
        <v>368</v>
      </c>
      <c r="B336">
        <v>45707</v>
      </c>
      <c r="C336" t="s">
        <v>16</v>
      </c>
      <c r="D336" t="s">
        <v>11</v>
      </c>
      <c r="E336" t="s">
        <v>17</v>
      </c>
      <c r="F336" t="s">
        <v>39</v>
      </c>
      <c r="G336" t="s">
        <v>19</v>
      </c>
      <c r="H336">
        <v>88322</v>
      </c>
      <c r="I336">
        <v>89600</v>
      </c>
    </row>
    <row r="337" spans="1:9" x14ac:dyDescent="0.3">
      <c r="A337" t="s">
        <v>369</v>
      </c>
      <c r="B337">
        <v>45707</v>
      </c>
      <c r="C337" t="s">
        <v>21</v>
      </c>
      <c r="D337" t="s">
        <v>11</v>
      </c>
      <c r="E337" t="s">
        <v>22</v>
      </c>
      <c r="F337" t="s">
        <v>26</v>
      </c>
      <c r="G337" t="s">
        <v>14</v>
      </c>
      <c r="H337">
        <v>112543</v>
      </c>
      <c r="I337">
        <v>135300</v>
      </c>
    </row>
    <row r="338" spans="1:9" x14ac:dyDescent="0.3">
      <c r="A338" t="s">
        <v>370</v>
      </c>
      <c r="B338">
        <v>45707</v>
      </c>
      <c r="C338" t="s">
        <v>21</v>
      </c>
      <c r="D338" t="s">
        <v>11</v>
      </c>
      <c r="E338" t="s">
        <v>22</v>
      </c>
      <c r="F338" t="s">
        <v>13</v>
      </c>
      <c r="G338" t="s">
        <v>14</v>
      </c>
      <c r="H338">
        <v>100223</v>
      </c>
      <c r="I338">
        <v>92400</v>
      </c>
    </row>
    <row r="339" spans="1:9" x14ac:dyDescent="0.3">
      <c r="A339" t="s">
        <v>371</v>
      </c>
      <c r="B339">
        <v>45707</v>
      </c>
      <c r="C339" t="s">
        <v>31</v>
      </c>
      <c r="D339" t="s">
        <v>11</v>
      </c>
      <c r="E339" t="s">
        <v>17</v>
      </c>
      <c r="F339" t="s">
        <v>56</v>
      </c>
      <c r="G339" t="s">
        <v>19</v>
      </c>
      <c r="H339">
        <v>103311</v>
      </c>
      <c r="I339">
        <v>101200</v>
      </c>
    </row>
    <row r="340" spans="1:9" x14ac:dyDescent="0.3">
      <c r="A340" t="s">
        <v>372</v>
      </c>
      <c r="B340">
        <v>45707</v>
      </c>
      <c r="C340" t="s">
        <v>55</v>
      </c>
      <c r="D340" t="s">
        <v>11</v>
      </c>
      <c r="E340" t="s">
        <v>37</v>
      </c>
      <c r="F340" t="s">
        <v>37</v>
      </c>
      <c r="G340" t="s">
        <v>14</v>
      </c>
      <c r="H340">
        <v>84838</v>
      </c>
      <c r="I340">
        <v>85600</v>
      </c>
    </row>
    <row r="341" spans="1:9" x14ac:dyDescent="0.3">
      <c r="A341" t="s">
        <v>373</v>
      </c>
      <c r="B341">
        <v>45708</v>
      </c>
      <c r="C341" t="s">
        <v>10</v>
      </c>
      <c r="D341" t="s">
        <v>11</v>
      </c>
      <c r="E341" t="s">
        <v>12</v>
      </c>
      <c r="F341" t="s">
        <v>46</v>
      </c>
      <c r="G341" t="s">
        <v>19</v>
      </c>
      <c r="H341">
        <v>37463</v>
      </c>
      <c r="I341">
        <v>33000</v>
      </c>
    </row>
    <row r="342" spans="1:9" x14ac:dyDescent="0.3">
      <c r="A342" t="s">
        <v>374</v>
      </c>
      <c r="B342">
        <v>45708</v>
      </c>
      <c r="C342" t="s">
        <v>10</v>
      </c>
      <c r="D342" t="s">
        <v>11</v>
      </c>
      <c r="E342" t="s">
        <v>12</v>
      </c>
      <c r="F342" t="s">
        <v>46</v>
      </c>
      <c r="G342" t="s">
        <v>19</v>
      </c>
      <c r="H342">
        <v>92253</v>
      </c>
      <c r="I342">
        <v>96700</v>
      </c>
    </row>
    <row r="343" spans="1:9" x14ac:dyDescent="0.3">
      <c r="A343" t="s">
        <v>375</v>
      </c>
      <c r="B343">
        <v>45708</v>
      </c>
      <c r="C343" t="s">
        <v>16</v>
      </c>
      <c r="D343" t="s">
        <v>11</v>
      </c>
      <c r="E343" t="s">
        <v>17</v>
      </c>
      <c r="F343" t="s">
        <v>39</v>
      </c>
      <c r="G343" t="s">
        <v>19</v>
      </c>
      <c r="H343">
        <v>100183</v>
      </c>
      <c r="I343">
        <v>100300</v>
      </c>
    </row>
    <row r="344" spans="1:9" x14ac:dyDescent="0.3">
      <c r="A344" t="s">
        <v>376</v>
      </c>
      <c r="B344">
        <v>45708</v>
      </c>
      <c r="C344" t="s">
        <v>16</v>
      </c>
      <c r="D344" t="s">
        <v>11</v>
      </c>
      <c r="E344" t="s">
        <v>17</v>
      </c>
      <c r="F344" t="s">
        <v>23</v>
      </c>
      <c r="G344" t="s">
        <v>14</v>
      </c>
      <c r="H344">
        <v>66660</v>
      </c>
      <c r="I344">
        <v>70600</v>
      </c>
    </row>
    <row r="345" spans="1:9" x14ac:dyDescent="0.3">
      <c r="A345" t="s">
        <v>377</v>
      </c>
      <c r="B345">
        <v>45708</v>
      </c>
      <c r="C345" t="s">
        <v>16</v>
      </c>
      <c r="D345" t="s">
        <v>11</v>
      </c>
      <c r="E345" t="s">
        <v>17</v>
      </c>
      <c r="F345" t="s">
        <v>12</v>
      </c>
      <c r="G345" t="s">
        <v>14</v>
      </c>
      <c r="H345">
        <v>85292</v>
      </c>
      <c r="I345">
        <v>90600</v>
      </c>
    </row>
    <row r="346" spans="1:9" x14ac:dyDescent="0.3">
      <c r="A346" t="s">
        <v>378</v>
      </c>
      <c r="B346">
        <v>45708</v>
      </c>
      <c r="C346" t="s">
        <v>36</v>
      </c>
      <c r="D346" t="s">
        <v>11</v>
      </c>
      <c r="E346" t="s">
        <v>37</v>
      </c>
      <c r="F346" t="s">
        <v>33</v>
      </c>
      <c r="G346" t="s">
        <v>19</v>
      </c>
      <c r="H346">
        <v>84260</v>
      </c>
      <c r="I346">
        <v>75300</v>
      </c>
    </row>
    <row r="347" spans="1:9" x14ac:dyDescent="0.3">
      <c r="A347" t="s">
        <v>379</v>
      </c>
      <c r="B347">
        <v>45708</v>
      </c>
      <c r="C347" t="s">
        <v>36</v>
      </c>
      <c r="D347" t="s">
        <v>11</v>
      </c>
      <c r="E347" t="s">
        <v>37</v>
      </c>
      <c r="F347" t="s">
        <v>12</v>
      </c>
      <c r="G347" t="s">
        <v>14</v>
      </c>
      <c r="H347">
        <v>132488</v>
      </c>
      <c r="I347">
        <v>123600</v>
      </c>
    </row>
    <row r="348" spans="1:9" x14ac:dyDescent="0.3">
      <c r="A348" t="s">
        <v>380</v>
      </c>
      <c r="B348">
        <v>45708</v>
      </c>
      <c r="C348" t="s">
        <v>31</v>
      </c>
      <c r="D348" t="s">
        <v>11</v>
      </c>
      <c r="E348" t="s">
        <v>17</v>
      </c>
      <c r="F348" t="s">
        <v>37</v>
      </c>
      <c r="G348" t="s">
        <v>14</v>
      </c>
      <c r="H348">
        <v>53532</v>
      </c>
      <c r="I348">
        <v>51000</v>
      </c>
    </row>
    <row r="349" spans="1:9" x14ac:dyDescent="0.3">
      <c r="A349" t="s">
        <v>381</v>
      </c>
      <c r="B349">
        <v>45709</v>
      </c>
      <c r="C349" t="s">
        <v>62</v>
      </c>
      <c r="D349" t="s">
        <v>11</v>
      </c>
      <c r="E349" t="s">
        <v>22</v>
      </c>
      <c r="F349" t="s">
        <v>39</v>
      </c>
      <c r="G349" t="s">
        <v>19</v>
      </c>
      <c r="H349">
        <v>85392</v>
      </c>
      <c r="I349">
        <v>89500</v>
      </c>
    </row>
    <row r="350" spans="1:9" x14ac:dyDescent="0.3">
      <c r="A350" t="s">
        <v>382</v>
      </c>
      <c r="B350">
        <v>45709</v>
      </c>
      <c r="C350" t="s">
        <v>10</v>
      </c>
      <c r="D350" t="s">
        <v>11</v>
      </c>
      <c r="E350" t="s">
        <v>12</v>
      </c>
      <c r="F350" t="s">
        <v>56</v>
      </c>
      <c r="G350" t="s">
        <v>19</v>
      </c>
      <c r="H350">
        <v>95371</v>
      </c>
      <c r="I350">
        <v>87600</v>
      </c>
    </row>
    <row r="351" spans="1:9" x14ac:dyDescent="0.3">
      <c r="A351" t="s">
        <v>383</v>
      </c>
      <c r="B351">
        <v>45709</v>
      </c>
      <c r="C351" t="s">
        <v>10</v>
      </c>
      <c r="D351" t="s">
        <v>11</v>
      </c>
      <c r="E351" t="s">
        <v>12</v>
      </c>
      <c r="F351" t="s">
        <v>13</v>
      </c>
      <c r="G351" t="s">
        <v>14</v>
      </c>
      <c r="H351">
        <v>85101</v>
      </c>
      <c r="I351">
        <v>86600</v>
      </c>
    </row>
    <row r="352" spans="1:9" x14ac:dyDescent="0.3">
      <c r="A352" t="s">
        <v>384</v>
      </c>
      <c r="B352">
        <v>45709</v>
      </c>
      <c r="C352" t="s">
        <v>16</v>
      </c>
      <c r="D352" t="s">
        <v>11</v>
      </c>
      <c r="E352" t="s">
        <v>17</v>
      </c>
      <c r="F352" t="s">
        <v>12</v>
      </c>
      <c r="G352" t="s">
        <v>14</v>
      </c>
      <c r="H352">
        <v>103593</v>
      </c>
      <c r="I352">
        <v>104800</v>
      </c>
    </row>
    <row r="353" spans="1:9" x14ac:dyDescent="0.3">
      <c r="A353" t="s">
        <v>385</v>
      </c>
      <c r="B353">
        <v>45709</v>
      </c>
      <c r="C353" t="s">
        <v>36</v>
      </c>
      <c r="D353" t="s">
        <v>11</v>
      </c>
      <c r="E353" t="s">
        <v>37</v>
      </c>
      <c r="F353" t="s">
        <v>39</v>
      </c>
      <c r="G353" t="s">
        <v>19</v>
      </c>
      <c r="H353">
        <v>113919</v>
      </c>
      <c r="I353">
        <v>109200</v>
      </c>
    </row>
    <row r="354" spans="1:9" x14ac:dyDescent="0.3">
      <c r="A354" t="s">
        <v>386</v>
      </c>
      <c r="B354">
        <v>45709</v>
      </c>
      <c r="C354" t="s">
        <v>21</v>
      </c>
      <c r="D354" t="s">
        <v>11</v>
      </c>
      <c r="E354" t="s">
        <v>22</v>
      </c>
      <c r="F354" t="s">
        <v>37</v>
      </c>
      <c r="G354" t="s">
        <v>14</v>
      </c>
      <c r="H354">
        <v>134599</v>
      </c>
      <c r="I354">
        <v>133600</v>
      </c>
    </row>
    <row r="355" spans="1:9" x14ac:dyDescent="0.3">
      <c r="A355" t="s">
        <v>387</v>
      </c>
      <c r="B355">
        <v>45709</v>
      </c>
      <c r="C355" t="s">
        <v>25</v>
      </c>
      <c r="D355" t="s">
        <v>11</v>
      </c>
      <c r="E355" t="s">
        <v>22</v>
      </c>
      <c r="F355" t="s">
        <v>37</v>
      </c>
      <c r="G355" t="s">
        <v>14</v>
      </c>
      <c r="H355">
        <v>200033</v>
      </c>
      <c r="I355">
        <v>193100</v>
      </c>
    </row>
    <row r="356" spans="1:9" x14ac:dyDescent="0.3">
      <c r="A356" t="s">
        <v>388</v>
      </c>
      <c r="B356">
        <v>45710</v>
      </c>
      <c r="C356" t="s">
        <v>62</v>
      </c>
      <c r="D356" t="s">
        <v>11</v>
      </c>
      <c r="E356" t="s">
        <v>22</v>
      </c>
      <c r="F356" t="s">
        <v>33</v>
      </c>
      <c r="G356" t="s">
        <v>19</v>
      </c>
      <c r="H356">
        <v>118449</v>
      </c>
      <c r="I356">
        <v>113300</v>
      </c>
    </row>
    <row r="357" spans="1:9" x14ac:dyDescent="0.3">
      <c r="A357" t="s">
        <v>389</v>
      </c>
      <c r="B357">
        <v>45710</v>
      </c>
      <c r="C357" t="s">
        <v>62</v>
      </c>
      <c r="D357" t="s">
        <v>11</v>
      </c>
      <c r="E357" t="s">
        <v>22</v>
      </c>
      <c r="F357" t="s">
        <v>56</v>
      </c>
      <c r="G357" t="s">
        <v>19</v>
      </c>
      <c r="H357">
        <v>17318</v>
      </c>
      <c r="I357">
        <v>15900</v>
      </c>
    </row>
    <row r="358" spans="1:9" x14ac:dyDescent="0.3">
      <c r="A358" t="s">
        <v>390</v>
      </c>
      <c r="B358">
        <v>45710</v>
      </c>
      <c r="C358" t="s">
        <v>62</v>
      </c>
      <c r="D358" t="s">
        <v>11</v>
      </c>
      <c r="E358" t="s">
        <v>22</v>
      </c>
      <c r="F358" t="s">
        <v>23</v>
      </c>
      <c r="G358" t="s">
        <v>14</v>
      </c>
      <c r="H358">
        <v>217202</v>
      </c>
      <c r="I358">
        <v>213900</v>
      </c>
    </row>
    <row r="359" spans="1:9" x14ac:dyDescent="0.3">
      <c r="A359" t="s">
        <v>391</v>
      </c>
      <c r="B359">
        <v>45710</v>
      </c>
      <c r="C359" t="s">
        <v>10</v>
      </c>
      <c r="D359" t="s">
        <v>11</v>
      </c>
      <c r="E359" t="s">
        <v>12</v>
      </c>
      <c r="F359" t="s">
        <v>26</v>
      </c>
      <c r="G359" t="s">
        <v>14</v>
      </c>
      <c r="H359">
        <v>156762</v>
      </c>
      <c r="I359">
        <v>168500</v>
      </c>
    </row>
    <row r="360" spans="1:9" x14ac:dyDescent="0.3">
      <c r="A360" t="s">
        <v>392</v>
      </c>
      <c r="B360">
        <v>45710</v>
      </c>
      <c r="C360" t="s">
        <v>36</v>
      </c>
      <c r="D360" t="s">
        <v>11</v>
      </c>
      <c r="E360" t="s">
        <v>37</v>
      </c>
      <c r="F360" t="s">
        <v>37</v>
      </c>
      <c r="G360" t="s">
        <v>14</v>
      </c>
      <c r="H360">
        <v>211374</v>
      </c>
      <c r="I360">
        <v>201500</v>
      </c>
    </row>
    <row r="361" spans="1:9" x14ac:dyDescent="0.3">
      <c r="A361" t="s">
        <v>393</v>
      </c>
      <c r="B361">
        <v>45710</v>
      </c>
      <c r="C361" t="s">
        <v>21</v>
      </c>
      <c r="D361" t="s">
        <v>11</v>
      </c>
      <c r="E361" t="s">
        <v>22</v>
      </c>
      <c r="F361" t="s">
        <v>56</v>
      </c>
      <c r="G361" t="s">
        <v>19</v>
      </c>
      <c r="H361">
        <v>37111</v>
      </c>
      <c r="I361">
        <v>33100</v>
      </c>
    </row>
    <row r="362" spans="1:9" x14ac:dyDescent="0.3">
      <c r="A362" t="s">
        <v>394</v>
      </c>
      <c r="B362">
        <v>45710</v>
      </c>
      <c r="C362" t="s">
        <v>21</v>
      </c>
      <c r="D362" t="s">
        <v>11</v>
      </c>
      <c r="E362" t="s">
        <v>22</v>
      </c>
      <c r="F362" t="s">
        <v>39</v>
      </c>
      <c r="G362" t="s">
        <v>19</v>
      </c>
      <c r="H362">
        <v>79388</v>
      </c>
      <c r="I362">
        <v>93600</v>
      </c>
    </row>
    <row r="363" spans="1:9" x14ac:dyDescent="0.3">
      <c r="A363" t="s">
        <v>395</v>
      </c>
      <c r="B363">
        <v>45710</v>
      </c>
      <c r="C363" t="s">
        <v>25</v>
      </c>
      <c r="D363" t="s">
        <v>11</v>
      </c>
      <c r="E363" t="s">
        <v>22</v>
      </c>
      <c r="F363" t="s">
        <v>42</v>
      </c>
      <c r="G363" t="s">
        <v>19</v>
      </c>
      <c r="H363">
        <v>36015</v>
      </c>
      <c r="I363">
        <v>39500</v>
      </c>
    </row>
    <row r="364" spans="1:9" x14ac:dyDescent="0.3">
      <c r="A364" t="s">
        <v>396</v>
      </c>
      <c r="B364">
        <v>45710</v>
      </c>
      <c r="C364" t="s">
        <v>31</v>
      </c>
      <c r="D364" t="s">
        <v>11</v>
      </c>
      <c r="E364" t="s">
        <v>17</v>
      </c>
      <c r="F364" t="s">
        <v>56</v>
      </c>
      <c r="G364" t="s">
        <v>19</v>
      </c>
      <c r="H364">
        <v>65655</v>
      </c>
      <c r="I364">
        <v>76800</v>
      </c>
    </row>
    <row r="365" spans="1:9" x14ac:dyDescent="0.3">
      <c r="A365" t="s">
        <v>397</v>
      </c>
      <c r="B365">
        <v>45710</v>
      </c>
      <c r="C365" t="s">
        <v>55</v>
      </c>
      <c r="D365" t="s">
        <v>11</v>
      </c>
      <c r="E365" t="s">
        <v>37</v>
      </c>
      <c r="F365" t="s">
        <v>13</v>
      </c>
      <c r="G365" t="s">
        <v>14</v>
      </c>
      <c r="H365">
        <v>100663</v>
      </c>
      <c r="I365">
        <v>101200</v>
      </c>
    </row>
    <row r="366" spans="1:9" x14ac:dyDescent="0.3">
      <c r="A366" t="s">
        <v>398</v>
      </c>
      <c r="B366">
        <v>45711</v>
      </c>
      <c r="C366" t="s">
        <v>16</v>
      </c>
      <c r="D366" t="s">
        <v>11</v>
      </c>
      <c r="E366" t="s">
        <v>17</v>
      </c>
      <c r="F366" t="s">
        <v>18</v>
      </c>
      <c r="G366" t="s">
        <v>19</v>
      </c>
      <c r="H366">
        <v>84149</v>
      </c>
      <c r="I366">
        <v>80300</v>
      </c>
    </row>
    <row r="367" spans="1:9" x14ac:dyDescent="0.3">
      <c r="A367" t="s">
        <v>399</v>
      </c>
      <c r="B367">
        <v>45711</v>
      </c>
      <c r="C367" t="s">
        <v>16</v>
      </c>
      <c r="D367" t="s">
        <v>11</v>
      </c>
      <c r="E367" t="s">
        <v>17</v>
      </c>
      <c r="F367" t="s">
        <v>18</v>
      </c>
      <c r="G367" t="s">
        <v>19</v>
      </c>
      <c r="H367">
        <v>73708</v>
      </c>
      <c r="I367">
        <v>58300</v>
      </c>
    </row>
    <row r="368" spans="1:9" x14ac:dyDescent="0.3">
      <c r="A368" t="s">
        <v>400</v>
      </c>
      <c r="B368">
        <v>45711</v>
      </c>
      <c r="C368" t="s">
        <v>16</v>
      </c>
      <c r="D368" t="s">
        <v>11</v>
      </c>
      <c r="E368" t="s">
        <v>17</v>
      </c>
      <c r="F368" t="s">
        <v>23</v>
      </c>
      <c r="G368" t="s">
        <v>14</v>
      </c>
      <c r="H368">
        <v>78348</v>
      </c>
      <c r="I368">
        <v>63300</v>
      </c>
    </row>
    <row r="369" spans="1:9" x14ac:dyDescent="0.3">
      <c r="A369" t="s">
        <v>401</v>
      </c>
      <c r="B369">
        <v>45711</v>
      </c>
      <c r="C369" t="s">
        <v>16</v>
      </c>
      <c r="D369" t="s">
        <v>11</v>
      </c>
      <c r="E369" t="s">
        <v>17</v>
      </c>
      <c r="F369" t="s">
        <v>23</v>
      </c>
      <c r="G369" t="s">
        <v>14</v>
      </c>
      <c r="H369">
        <v>169674</v>
      </c>
      <c r="I369">
        <v>181300</v>
      </c>
    </row>
    <row r="370" spans="1:9" x14ac:dyDescent="0.3">
      <c r="A370" t="s">
        <v>402</v>
      </c>
      <c r="B370">
        <v>45711</v>
      </c>
      <c r="C370" t="s">
        <v>21</v>
      </c>
      <c r="D370" t="s">
        <v>11</v>
      </c>
      <c r="E370" t="s">
        <v>22</v>
      </c>
      <c r="F370" t="s">
        <v>23</v>
      </c>
      <c r="G370" t="s">
        <v>14</v>
      </c>
      <c r="H370">
        <v>220838</v>
      </c>
      <c r="I370">
        <v>221500</v>
      </c>
    </row>
    <row r="371" spans="1:9" x14ac:dyDescent="0.3">
      <c r="A371" t="s">
        <v>403</v>
      </c>
      <c r="B371">
        <v>45711</v>
      </c>
      <c r="C371" t="s">
        <v>21</v>
      </c>
      <c r="D371" t="s">
        <v>11</v>
      </c>
      <c r="E371" t="s">
        <v>22</v>
      </c>
      <c r="F371" t="s">
        <v>23</v>
      </c>
      <c r="G371" t="s">
        <v>14</v>
      </c>
      <c r="H371">
        <v>184060</v>
      </c>
      <c r="I371">
        <v>160300</v>
      </c>
    </row>
    <row r="372" spans="1:9" x14ac:dyDescent="0.3">
      <c r="A372" t="s">
        <v>404</v>
      </c>
      <c r="B372">
        <v>45711</v>
      </c>
      <c r="C372" t="s">
        <v>21</v>
      </c>
      <c r="D372" t="s">
        <v>11</v>
      </c>
      <c r="E372" t="s">
        <v>22</v>
      </c>
      <c r="F372" t="s">
        <v>59</v>
      </c>
      <c r="G372" t="s">
        <v>14</v>
      </c>
      <c r="H372">
        <v>56101</v>
      </c>
      <c r="I372">
        <v>54900</v>
      </c>
    </row>
    <row r="373" spans="1:9" x14ac:dyDescent="0.3">
      <c r="A373" t="s">
        <v>405</v>
      </c>
      <c r="B373">
        <v>45711</v>
      </c>
      <c r="C373" t="s">
        <v>25</v>
      </c>
      <c r="D373" t="s">
        <v>11</v>
      </c>
      <c r="E373" t="s">
        <v>22</v>
      </c>
      <c r="F373" t="s">
        <v>39</v>
      </c>
      <c r="G373" t="s">
        <v>19</v>
      </c>
      <c r="H373">
        <v>69833</v>
      </c>
      <c r="I373">
        <v>80400</v>
      </c>
    </row>
    <row r="374" spans="1:9" x14ac:dyDescent="0.3">
      <c r="A374" t="s">
        <v>406</v>
      </c>
      <c r="B374">
        <v>45712</v>
      </c>
      <c r="C374" t="s">
        <v>16</v>
      </c>
      <c r="D374" t="s">
        <v>11</v>
      </c>
      <c r="E374" t="s">
        <v>17</v>
      </c>
      <c r="F374" t="s">
        <v>12</v>
      </c>
      <c r="G374" t="s">
        <v>14</v>
      </c>
      <c r="H374">
        <v>127670</v>
      </c>
      <c r="I374">
        <v>136600</v>
      </c>
    </row>
    <row r="375" spans="1:9" x14ac:dyDescent="0.3">
      <c r="A375" t="s">
        <v>407</v>
      </c>
      <c r="B375">
        <v>45712</v>
      </c>
      <c r="C375" t="s">
        <v>36</v>
      </c>
      <c r="D375" t="s">
        <v>11</v>
      </c>
      <c r="E375" t="s">
        <v>37</v>
      </c>
      <c r="F375" t="s">
        <v>18</v>
      </c>
      <c r="G375" t="s">
        <v>19</v>
      </c>
      <c r="H375">
        <v>107768</v>
      </c>
      <c r="I375">
        <v>99200</v>
      </c>
    </row>
    <row r="376" spans="1:9" x14ac:dyDescent="0.3">
      <c r="A376" t="s">
        <v>408</v>
      </c>
      <c r="B376">
        <v>45712</v>
      </c>
      <c r="C376" t="s">
        <v>36</v>
      </c>
      <c r="D376" t="s">
        <v>11</v>
      </c>
      <c r="E376" t="s">
        <v>37</v>
      </c>
      <c r="F376" t="s">
        <v>26</v>
      </c>
      <c r="G376" t="s">
        <v>14</v>
      </c>
      <c r="H376">
        <v>90973</v>
      </c>
      <c r="I376">
        <v>96200</v>
      </c>
    </row>
    <row r="377" spans="1:9" x14ac:dyDescent="0.3">
      <c r="A377" t="s">
        <v>409</v>
      </c>
      <c r="B377">
        <v>45712</v>
      </c>
      <c r="C377" t="s">
        <v>25</v>
      </c>
      <c r="D377" t="s">
        <v>11</v>
      </c>
      <c r="E377" t="s">
        <v>22</v>
      </c>
      <c r="F377" t="s">
        <v>18</v>
      </c>
      <c r="G377" t="s">
        <v>19</v>
      </c>
      <c r="H377">
        <v>27226</v>
      </c>
      <c r="I377">
        <v>30500</v>
      </c>
    </row>
    <row r="378" spans="1:9" x14ac:dyDescent="0.3">
      <c r="A378" t="s">
        <v>410</v>
      </c>
      <c r="B378">
        <v>45712</v>
      </c>
      <c r="C378" t="s">
        <v>31</v>
      </c>
      <c r="D378" t="s">
        <v>11</v>
      </c>
      <c r="E378" t="s">
        <v>17</v>
      </c>
      <c r="F378" t="s">
        <v>13</v>
      </c>
      <c r="G378" t="s">
        <v>14</v>
      </c>
      <c r="H378">
        <v>199383</v>
      </c>
      <c r="I378">
        <v>166700</v>
      </c>
    </row>
    <row r="379" spans="1:9" x14ac:dyDescent="0.3">
      <c r="A379" t="s">
        <v>411</v>
      </c>
      <c r="B379">
        <v>45712</v>
      </c>
      <c r="C379" t="s">
        <v>55</v>
      </c>
      <c r="D379" t="s">
        <v>11</v>
      </c>
      <c r="E379" t="s">
        <v>37</v>
      </c>
      <c r="F379" t="s">
        <v>56</v>
      </c>
      <c r="G379" t="s">
        <v>19</v>
      </c>
      <c r="H379">
        <v>48936</v>
      </c>
      <c r="I379">
        <v>49700</v>
      </c>
    </row>
    <row r="380" spans="1:9" x14ac:dyDescent="0.3">
      <c r="A380" t="s">
        <v>412</v>
      </c>
      <c r="B380">
        <v>45712</v>
      </c>
      <c r="C380" t="s">
        <v>55</v>
      </c>
      <c r="D380" t="s">
        <v>11</v>
      </c>
      <c r="E380" t="s">
        <v>37</v>
      </c>
      <c r="F380" t="s">
        <v>26</v>
      </c>
      <c r="G380" t="s">
        <v>14</v>
      </c>
      <c r="H380">
        <v>237663</v>
      </c>
      <c r="I380">
        <v>224600</v>
      </c>
    </row>
    <row r="381" spans="1:9" x14ac:dyDescent="0.3">
      <c r="A381" t="s">
        <v>413</v>
      </c>
      <c r="B381">
        <v>45713</v>
      </c>
      <c r="C381" t="s">
        <v>62</v>
      </c>
      <c r="D381" t="s">
        <v>11</v>
      </c>
      <c r="E381" t="s">
        <v>22</v>
      </c>
      <c r="F381" t="s">
        <v>59</v>
      </c>
      <c r="G381" t="s">
        <v>14</v>
      </c>
      <c r="H381">
        <v>93541</v>
      </c>
      <c r="I381">
        <v>104000</v>
      </c>
    </row>
    <row r="382" spans="1:9" x14ac:dyDescent="0.3">
      <c r="A382" t="s">
        <v>414</v>
      </c>
      <c r="B382">
        <v>45713</v>
      </c>
      <c r="C382" t="s">
        <v>16</v>
      </c>
      <c r="D382" t="s">
        <v>11</v>
      </c>
      <c r="E382" t="s">
        <v>17</v>
      </c>
      <c r="F382" t="s">
        <v>56</v>
      </c>
      <c r="G382" t="s">
        <v>19</v>
      </c>
      <c r="H382">
        <v>57363</v>
      </c>
      <c r="I382">
        <v>65600</v>
      </c>
    </row>
    <row r="383" spans="1:9" x14ac:dyDescent="0.3">
      <c r="A383" t="s">
        <v>415</v>
      </c>
      <c r="B383">
        <v>45713</v>
      </c>
      <c r="C383" t="s">
        <v>36</v>
      </c>
      <c r="D383" t="s">
        <v>11</v>
      </c>
      <c r="E383" t="s">
        <v>37</v>
      </c>
      <c r="F383" t="s">
        <v>42</v>
      </c>
      <c r="G383" t="s">
        <v>19</v>
      </c>
      <c r="H383">
        <v>58746</v>
      </c>
      <c r="I383">
        <v>62700</v>
      </c>
    </row>
    <row r="384" spans="1:9" x14ac:dyDescent="0.3">
      <c r="A384" t="s">
        <v>416</v>
      </c>
      <c r="B384">
        <v>45713</v>
      </c>
      <c r="C384" t="s">
        <v>21</v>
      </c>
      <c r="D384" t="s">
        <v>11</v>
      </c>
      <c r="E384" t="s">
        <v>22</v>
      </c>
      <c r="F384" t="s">
        <v>26</v>
      </c>
      <c r="G384" t="s">
        <v>14</v>
      </c>
      <c r="H384">
        <v>76797</v>
      </c>
      <c r="I384">
        <v>75600</v>
      </c>
    </row>
    <row r="385" spans="1:9" x14ac:dyDescent="0.3">
      <c r="A385" t="s">
        <v>417</v>
      </c>
      <c r="B385">
        <v>45713</v>
      </c>
      <c r="C385" t="s">
        <v>25</v>
      </c>
      <c r="D385" t="s">
        <v>11</v>
      </c>
      <c r="E385" t="s">
        <v>22</v>
      </c>
      <c r="F385" t="s">
        <v>13</v>
      </c>
      <c r="G385" t="s">
        <v>14</v>
      </c>
      <c r="H385">
        <v>75647</v>
      </c>
      <c r="I385">
        <v>67800</v>
      </c>
    </row>
    <row r="386" spans="1:9" x14ac:dyDescent="0.3">
      <c r="A386" t="s">
        <v>418</v>
      </c>
      <c r="B386">
        <v>45713</v>
      </c>
      <c r="C386" t="s">
        <v>31</v>
      </c>
      <c r="D386" t="s">
        <v>11</v>
      </c>
      <c r="E386" t="s">
        <v>17</v>
      </c>
      <c r="F386" t="s">
        <v>23</v>
      </c>
      <c r="G386" t="s">
        <v>14</v>
      </c>
      <c r="H386">
        <v>171391</v>
      </c>
      <c r="I386">
        <v>169400</v>
      </c>
    </row>
    <row r="387" spans="1:9" x14ac:dyDescent="0.3">
      <c r="A387" t="s">
        <v>419</v>
      </c>
      <c r="B387">
        <v>45714</v>
      </c>
      <c r="C387" t="s">
        <v>36</v>
      </c>
      <c r="D387" t="s">
        <v>11</v>
      </c>
      <c r="E387" t="s">
        <v>37</v>
      </c>
      <c r="F387" t="s">
        <v>42</v>
      </c>
      <c r="G387" t="s">
        <v>19</v>
      </c>
      <c r="H387">
        <v>117882</v>
      </c>
      <c r="I387">
        <v>122100</v>
      </c>
    </row>
    <row r="388" spans="1:9" x14ac:dyDescent="0.3">
      <c r="A388" t="s">
        <v>420</v>
      </c>
      <c r="B388">
        <v>45714</v>
      </c>
      <c r="C388" t="s">
        <v>36</v>
      </c>
      <c r="D388" t="s">
        <v>11</v>
      </c>
      <c r="E388" t="s">
        <v>37</v>
      </c>
      <c r="F388" t="s">
        <v>13</v>
      </c>
      <c r="G388" t="s">
        <v>14</v>
      </c>
      <c r="H388">
        <v>172440</v>
      </c>
      <c r="I388">
        <v>180700</v>
      </c>
    </row>
    <row r="389" spans="1:9" x14ac:dyDescent="0.3">
      <c r="A389" t="s">
        <v>421</v>
      </c>
      <c r="B389">
        <v>45714</v>
      </c>
      <c r="C389" t="s">
        <v>21</v>
      </c>
      <c r="D389" t="s">
        <v>11</v>
      </c>
      <c r="E389" t="s">
        <v>22</v>
      </c>
      <c r="F389" t="s">
        <v>12</v>
      </c>
      <c r="G389" t="s">
        <v>14</v>
      </c>
      <c r="H389">
        <v>50242</v>
      </c>
      <c r="I389">
        <v>49700</v>
      </c>
    </row>
    <row r="390" spans="1:9" x14ac:dyDescent="0.3">
      <c r="A390" t="s">
        <v>422</v>
      </c>
      <c r="B390">
        <v>45714</v>
      </c>
      <c r="C390" t="s">
        <v>25</v>
      </c>
      <c r="D390" t="s">
        <v>11</v>
      </c>
      <c r="E390" t="s">
        <v>22</v>
      </c>
      <c r="F390" t="s">
        <v>23</v>
      </c>
      <c r="G390" t="s">
        <v>14</v>
      </c>
      <c r="H390">
        <v>126629</v>
      </c>
      <c r="I390">
        <v>105300</v>
      </c>
    </row>
    <row r="391" spans="1:9" x14ac:dyDescent="0.3">
      <c r="A391" t="s">
        <v>423</v>
      </c>
      <c r="B391">
        <v>45714</v>
      </c>
      <c r="C391" t="s">
        <v>25</v>
      </c>
      <c r="D391" t="s">
        <v>11</v>
      </c>
      <c r="E391" t="s">
        <v>22</v>
      </c>
      <c r="F391" t="s">
        <v>12</v>
      </c>
      <c r="G391" t="s">
        <v>14</v>
      </c>
      <c r="H391">
        <v>243890</v>
      </c>
      <c r="I391">
        <v>218200</v>
      </c>
    </row>
    <row r="392" spans="1:9" x14ac:dyDescent="0.3">
      <c r="A392" t="s">
        <v>424</v>
      </c>
      <c r="B392">
        <v>45714</v>
      </c>
      <c r="C392" t="s">
        <v>25</v>
      </c>
      <c r="D392" t="s">
        <v>11</v>
      </c>
      <c r="E392" t="s">
        <v>22</v>
      </c>
      <c r="F392" t="s">
        <v>12</v>
      </c>
      <c r="G392" t="s">
        <v>14</v>
      </c>
      <c r="H392">
        <v>27000</v>
      </c>
      <c r="I392">
        <v>24500</v>
      </c>
    </row>
    <row r="393" spans="1:9" x14ac:dyDescent="0.3">
      <c r="A393" t="s">
        <v>425</v>
      </c>
      <c r="B393">
        <v>45714</v>
      </c>
      <c r="C393" t="s">
        <v>31</v>
      </c>
      <c r="D393" t="s">
        <v>11</v>
      </c>
      <c r="E393" t="s">
        <v>17</v>
      </c>
      <c r="F393" t="s">
        <v>42</v>
      </c>
      <c r="G393" t="s">
        <v>19</v>
      </c>
      <c r="H393">
        <v>60378</v>
      </c>
      <c r="I393">
        <v>56000</v>
      </c>
    </row>
    <row r="394" spans="1:9" x14ac:dyDescent="0.3">
      <c r="A394" t="s">
        <v>426</v>
      </c>
      <c r="B394">
        <v>45714</v>
      </c>
      <c r="C394" t="s">
        <v>31</v>
      </c>
      <c r="D394" t="s">
        <v>11</v>
      </c>
      <c r="E394" t="s">
        <v>17</v>
      </c>
      <c r="F394" t="s">
        <v>33</v>
      </c>
      <c r="G394" t="s">
        <v>19</v>
      </c>
      <c r="H394">
        <v>49009</v>
      </c>
      <c r="I394">
        <v>45900</v>
      </c>
    </row>
    <row r="395" spans="1:9" x14ac:dyDescent="0.3">
      <c r="A395" t="s">
        <v>427</v>
      </c>
      <c r="B395">
        <v>45714</v>
      </c>
      <c r="C395" t="s">
        <v>31</v>
      </c>
      <c r="D395" t="s">
        <v>11</v>
      </c>
      <c r="E395" t="s">
        <v>17</v>
      </c>
      <c r="F395" t="s">
        <v>59</v>
      </c>
      <c r="G395" t="s">
        <v>14</v>
      </c>
      <c r="H395">
        <v>177440</v>
      </c>
      <c r="I395">
        <v>158200</v>
      </c>
    </row>
    <row r="396" spans="1:9" x14ac:dyDescent="0.3">
      <c r="A396" t="s">
        <v>428</v>
      </c>
      <c r="B396">
        <v>45714</v>
      </c>
      <c r="C396" t="s">
        <v>55</v>
      </c>
      <c r="D396" t="s">
        <v>11</v>
      </c>
      <c r="E396" t="s">
        <v>37</v>
      </c>
      <c r="F396" t="s">
        <v>12</v>
      </c>
      <c r="G396" t="s">
        <v>14</v>
      </c>
      <c r="H396">
        <v>181344</v>
      </c>
      <c r="I396">
        <v>191200</v>
      </c>
    </row>
    <row r="397" spans="1:9" x14ac:dyDescent="0.3">
      <c r="A397" t="s">
        <v>429</v>
      </c>
      <c r="B397">
        <v>45715</v>
      </c>
      <c r="C397" t="s">
        <v>62</v>
      </c>
      <c r="D397" t="s">
        <v>11</v>
      </c>
      <c r="E397" t="s">
        <v>22</v>
      </c>
      <c r="F397" t="s">
        <v>46</v>
      </c>
      <c r="G397" t="s">
        <v>19</v>
      </c>
      <c r="H397">
        <v>50879</v>
      </c>
      <c r="I397">
        <v>53600</v>
      </c>
    </row>
    <row r="398" spans="1:9" x14ac:dyDescent="0.3">
      <c r="A398" t="s">
        <v>430</v>
      </c>
      <c r="B398">
        <v>45715</v>
      </c>
      <c r="C398" t="s">
        <v>62</v>
      </c>
      <c r="D398" t="s">
        <v>11</v>
      </c>
      <c r="E398" t="s">
        <v>22</v>
      </c>
      <c r="F398" t="s">
        <v>59</v>
      </c>
      <c r="G398" t="s">
        <v>14</v>
      </c>
      <c r="H398">
        <v>176164</v>
      </c>
      <c r="I398">
        <v>180300</v>
      </c>
    </row>
    <row r="399" spans="1:9" x14ac:dyDescent="0.3">
      <c r="A399" t="s">
        <v>431</v>
      </c>
      <c r="B399">
        <v>45715</v>
      </c>
      <c r="C399" t="s">
        <v>36</v>
      </c>
      <c r="D399" t="s">
        <v>11</v>
      </c>
      <c r="E399" t="s">
        <v>37</v>
      </c>
      <c r="F399" t="s">
        <v>18</v>
      </c>
      <c r="G399" t="s">
        <v>19</v>
      </c>
      <c r="H399">
        <v>16777</v>
      </c>
      <c r="I399">
        <v>15600</v>
      </c>
    </row>
    <row r="400" spans="1:9" x14ac:dyDescent="0.3">
      <c r="A400" t="s">
        <v>432</v>
      </c>
      <c r="B400">
        <v>45715</v>
      </c>
      <c r="C400" t="s">
        <v>21</v>
      </c>
      <c r="D400" t="s">
        <v>11</v>
      </c>
      <c r="E400" t="s">
        <v>22</v>
      </c>
      <c r="F400" t="s">
        <v>33</v>
      </c>
      <c r="G400" t="s">
        <v>19</v>
      </c>
      <c r="H400">
        <v>111952</v>
      </c>
      <c r="I400">
        <v>120100</v>
      </c>
    </row>
    <row r="401" spans="1:9" x14ac:dyDescent="0.3">
      <c r="A401" t="s">
        <v>433</v>
      </c>
      <c r="B401">
        <v>45715</v>
      </c>
      <c r="C401" t="s">
        <v>25</v>
      </c>
      <c r="D401" t="s">
        <v>11</v>
      </c>
      <c r="E401" t="s">
        <v>22</v>
      </c>
      <c r="F401" t="s">
        <v>56</v>
      </c>
      <c r="G401" t="s">
        <v>19</v>
      </c>
      <c r="H401">
        <v>99892</v>
      </c>
      <c r="I401">
        <v>97500</v>
      </c>
    </row>
    <row r="402" spans="1:9" x14ac:dyDescent="0.3">
      <c r="A402" t="s">
        <v>434</v>
      </c>
      <c r="B402">
        <v>45715</v>
      </c>
      <c r="C402" t="s">
        <v>31</v>
      </c>
      <c r="D402" t="s">
        <v>11</v>
      </c>
      <c r="E402" t="s">
        <v>17</v>
      </c>
      <c r="F402" t="s">
        <v>59</v>
      </c>
      <c r="G402" t="s">
        <v>14</v>
      </c>
      <c r="H402">
        <v>67027</v>
      </c>
      <c r="I402">
        <v>71000</v>
      </c>
    </row>
    <row r="403" spans="1:9" x14ac:dyDescent="0.3">
      <c r="A403" t="s">
        <v>435</v>
      </c>
      <c r="B403">
        <v>45715</v>
      </c>
      <c r="C403" t="s">
        <v>55</v>
      </c>
      <c r="D403" t="s">
        <v>11</v>
      </c>
      <c r="E403" t="s">
        <v>37</v>
      </c>
      <c r="F403" t="s">
        <v>37</v>
      </c>
      <c r="G403" t="s">
        <v>14</v>
      </c>
      <c r="H403">
        <v>75640</v>
      </c>
      <c r="I403">
        <v>67500</v>
      </c>
    </row>
    <row r="404" spans="1:9" x14ac:dyDescent="0.3">
      <c r="A404" t="s">
        <v>436</v>
      </c>
      <c r="B404">
        <v>45716</v>
      </c>
      <c r="C404" t="s">
        <v>62</v>
      </c>
      <c r="D404" t="s">
        <v>11</v>
      </c>
      <c r="E404" t="s">
        <v>22</v>
      </c>
      <c r="F404" t="s">
        <v>18</v>
      </c>
      <c r="G404" t="s">
        <v>19</v>
      </c>
      <c r="H404">
        <v>66419</v>
      </c>
      <c r="I404">
        <v>68000</v>
      </c>
    </row>
    <row r="405" spans="1:9" x14ac:dyDescent="0.3">
      <c r="A405" t="s">
        <v>437</v>
      </c>
      <c r="B405">
        <v>45716</v>
      </c>
      <c r="C405" t="s">
        <v>10</v>
      </c>
      <c r="D405" t="s">
        <v>11</v>
      </c>
      <c r="E405" t="s">
        <v>12</v>
      </c>
      <c r="F405" t="s">
        <v>56</v>
      </c>
      <c r="G405" t="s">
        <v>19</v>
      </c>
      <c r="H405">
        <v>99876</v>
      </c>
      <c r="I405">
        <v>99300</v>
      </c>
    </row>
    <row r="406" spans="1:9" x14ac:dyDescent="0.3">
      <c r="A406" t="s">
        <v>438</v>
      </c>
      <c r="B406">
        <v>45716</v>
      </c>
      <c r="C406" t="s">
        <v>10</v>
      </c>
      <c r="D406" t="s">
        <v>11</v>
      </c>
      <c r="E406" t="s">
        <v>12</v>
      </c>
      <c r="F406" t="s">
        <v>12</v>
      </c>
      <c r="G406" t="s">
        <v>14</v>
      </c>
      <c r="H406">
        <v>231820</v>
      </c>
      <c r="I406">
        <v>237000</v>
      </c>
    </row>
    <row r="407" spans="1:9" x14ac:dyDescent="0.3">
      <c r="A407" t="s">
        <v>439</v>
      </c>
      <c r="B407">
        <v>45716</v>
      </c>
      <c r="C407" t="s">
        <v>21</v>
      </c>
      <c r="D407" t="s">
        <v>11</v>
      </c>
      <c r="E407" t="s">
        <v>22</v>
      </c>
      <c r="F407" t="s">
        <v>33</v>
      </c>
      <c r="G407" t="s">
        <v>19</v>
      </c>
      <c r="H407">
        <v>111695</v>
      </c>
      <c r="I407">
        <v>112700</v>
      </c>
    </row>
    <row r="408" spans="1:9" x14ac:dyDescent="0.3">
      <c r="A408" t="s">
        <v>440</v>
      </c>
      <c r="B408">
        <v>45716</v>
      </c>
      <c r="C408" t="s">
        <v>21</v>
      </c>
      <c r="D408" t="s">
        <v>11</v>
      </c>
      <c r="E408" t="s">
        <v>22</v>
      </c>
      <c r="F408" t="s">
        <v>56</v>
      </c>
      <c r="G408" t="s">
        <v>19</v>
      </c>
      <c r="H408">
        <v>74896</v>
      </c>
      <c r="I408">
        <v>79100</v>
      </c>
    </row>
    <row r="409" spans="1:9" x14ac:dyDescent="0.3">
      <c r="A409" t="s">
        <v>441</v>
      </c>
      <c r="B409">
        <v>45716</v>
      </c>
      <c r="C409" t="s">
        <v>25</v>
      </c>
      <c r="D409" t="s">
        <v>11</v>
      </c>
      <c r="E409" t="s">
        <v>22</v>
      </c>
      <c r="F409" t="s">
        <v>42</v>
      </c>
      <c r="G409" t="s">
        <v>19</v>
      </c>
      <c r="H409">
        <v>86088</v>
      </c>
      <c r="I409">
        <v>84500</v>
      </c>
    </row>
    <row r="410" spans="1:9" x14ac:dyDescent="0.3">
      <c r="A410" t="s">
        <v>442</v>
      </c>
      <c r="B410">
        <v>45716</v>
      </c>
      <c r="C410" t="s">
        <v>25</v>
      </c>
      <c r="D410" t="s">
        <v>11</v>
      </c>
      <c r="E410" t="s">
        <v>22</v>
      </c>
      <c r="F410" t="s">
        <v>26</v>
      </c>
      <c r="G410" t="s">
        <v>14</v>
      </c>
      <c r="H410">
        <v>174880</v>
      </c>
      <c r="I410">
        <v>169100</v>
      </c>
    </row>
    <row r="411" spans="1:9" x14ac:dyDescent="0.3">
      <c r="A411" t="s">
        <v>443</v>
      </c>
      <c r="B411">
        <v>45716</v>
      </c>
      <c r="C411" t="s">
        <v>31</v>
      </c>
      <c r="D411" t="s">
        <v>11</v>
      </c>
      <c r="E411" t="s">
        <v>17</v>
      </c>
      <c r="F411" t="s">
        <v>12</v>
      </c>
      <c r="G411" t="s">
        <v>14</v>
      </c>
      <c r="H411">
        <v>155284</v>
      </c>
      <c r="I411">
        <v>153200</v>
      </c>
    </row>
    <row r="412" spans="1:9" x14ac:dyDescent="0.3">
      <c r="A412" t="s">
        <v>444</v>
      </c>
      <c r="B412">
        <v>45717</v>
      </c>
      <c r="C412" t="s">
        <v>62</v>
      </c>
      <c r="D412" t="s">
        <v>11</v>
      </c>
      <c r="E412" t="s">
        <v>22</v>
      </c>
      <c r="F412" t="s">
        <v>18</v>
      </c>
      <c r="G412" t="s">
        <v>19</v>
      </c>
      <c r="H412">
        <v>17639</v>
      </c>
      <c r="I412">
        <v>18200</v>
      </c>
    </row>
    <row r="413" spans="1:9" x14ac:dyDescent="0.3">
      <c r="A413" t="s">
        <v>445</v>
      </c>
      <c r="B413">
        <v>45717</v>
      </c>
      <c r="C413" t="s">
        <v>62</v>
      </c>
      <c r="D413" t="s">
        <v>11</v>
      </c>
      <c r="E413" t="s">
        <v>22</v>
      </c>
      <c r="F413" t="s">
        <v>13</v>
      </c>
      <c r="G413" t="s">
        <v>14</v>
      </c>
      <c r="H413">
        <v>226091</v>
      </c>
      <c r="I413">
        <v>241300</v>
      </c>
    </row>
    <row r="414" spans="1:9" x14ac:dyDescent="0.3">
      <c r="A414" t="s">
        <v>446</v>
      </c>
      <c r="B414">
        <v>45717</v>
      </c>
      <c r="C414" t="s">
        <v>16</v>
      </c>
      <c r="D414" t="s">
        <v>11</v>
      </c>
      <c r="E414" t="s">
        <v>17</v>
      </c>
      <c r="F414" t="s">
        <v>26</v>
      </c>
      <c r="G414" t="s">
        <v>14</v>
      </c>
      <c r="H414">
        <v>86507</v>
      </c>
      <c r="I414">
        <v>86800</v>
      </c>
    </row>
    <row r="415" spans="1:9" x14ac:dyDescent="0.3">
      <c r="A415" t="s">
        <v>447</v>
      </c>
      <c r="B415">
        <v>45717</v>
      </c>
      <c r="C415" t="s">
        <v>36</v>
      </c>
      <c r="D415" t="s">
        <v>11</v>
      </c>
      <c r="E415" t="s">
        <v>37</v>
      </c>
      <c r="F415" t="s">
        <v>26</v>
      </c>
      <c r="G415" t="s">
        <v>14</v>
      </c>
      <c r="H415">
        <v>109661</v>
      </c>
      <c r="I415">
        <v>111200</v>
      </c>
    </row>
    <row r="416" spans="1:9" x14ac:dyDescent="0.3">
      <c r="A416" t="s">
        <v>448</v>
      </c>
      <c r="B416">
        <v>45717</v>
      </c>
      <c r="C416" t="s">
        <v>21</v>
      </c>
      <c r="D416" t="s">
        <v>11</v>
      </c>
      <c r="E416" t="s">
        <v>22</v>
      </c>
      <c r="F416" t="s">
        <v>39</v>
      </c>
      <c r="G416" t="s">
        <v>19</v>
      </c>
      <c r="H416">
        <v>112687</v>
      </c>
      <c r="I416">
        <v>95100</v>
      </c>
    </row>
    <row r="417" spans="1:9" x14ac:dyDescent="0.3">
      <c r="A417" t="s">
        <v>449</v>
      </c>
      <c r="B417">
        <v>45717</v>
      </c>
      <c r="C417" t="s">
        <v>25</v>
      </c>
      <c r="D417" t="s">
        <v>11</v>
      </c>
      <c r="E417" t="s">
        <v>22</v>
      </c>
      <c r="F417" t="s">
        <v>33</v>
      </c>
      <c r="G417" t="s">
        <v>19</v>
      </c>
      <c r="H417">
        <v>18389</v>
      </c>
      <c r="I417">
        <v>20400</v>
      </c>
    </row>
    <row r="418" spans="1:9" x14ac:dyDescent="0.3">
      <c r="A418" t="s">
        <v>450</v>
      </c>
      <c r="B418">
        <v>45717</v>
      </c>
      <c r="C418" t="s">
        <v>25</v>
      </c>
      <c r="D418" t="s">
        <v>11</v>
      </c>
      <c r="E418" t="s">
        <v>22</v>
      </c>
      <c r="F418" t="s">
        <v>18</v>
      </c>
      <c r="G418" t="s">
        <v>19</v>
      </c>
      <c r="H418">
        <v>55769</v>
      </c>
      <c r="I418">
        <v>59900</v>
      </c>
    </row>
    <row r="419" spans="1:9" x14ac:dyDescent="0.3">
      <c r="A419" t="s">
        <v>451</v>
      </c>
      <c r="B419">
        <v>45718</v>
      </c>
      <c r="C419" t="s">
        <v>16</v>
      </c>
      <c r="D419" t="s">
        <v>11</v>
      </c>
      <c r="E419" t="s">
        <v>17</v>
      </c>
      <c r="F419" t="s">
        <v>42</v>
      </c>
      <c r="G419" t="s">
        <v>19</v>
      </c>
      <c r="H419">
        <v>35772</v>
      </c>
      <c r="I419">
        <v>40000</v>
      </c>
    </row>
    <row r="420" spans="1:9" x14ac:dyDescent="0.3">
      <c r="A420" t="s">
        <v>452</v>
      </c>
      <c r="B420">
        <v>45718</v>
      </c>
      <c r="C420" t="s">
        <v>16</v>
      </c>
      <c r="D420" t="s">
        <v>11</v>
      </c>
      <c r="E420" t="s">
        <v>17</v>
      </c>
      <c r="F420" t="s">
        <v>37</v>
      </c>
      <c r="G420" t="s">
        <v>14</v>
      </c>
      <c r="H420">
        <v>249481</v>
      </c>
      <c r="I420">
        <v>250700</v>
      </c>
    </row>
    <row r="421" spans="1:9" x14ac:dyDescent="0.3">
      <c r="A421" t="s">
        <v>453</v>
      </c>
      <c r="B421">
        <v>45718</v>
      </c>
      <c r="C421" t="s">
        <v>16</v>
      </c>
      <c r="D421" t="s">
        <v>11</v>
      </c>
      <c r="E421" t="s">
        <v>17</v>
      </c>
      <c r="F421" t="s">
        <v>23</v>
      </c>
      <c r="G421" t="s">
        <v>14</v>
      </c>
      <c r="H421">
        <v>156431</v>
      </c>
      <c r="I421">
        <v>171300</v>
      </c>
    </row>
    <row r="422" spans="1:9" x14ac:dyDescent="0.3">
      <c r="A422" t="s">
        <v>454</v>
      </c>
      <c r="B422">
        <v>45718</v>
      </c>
      <c r="C422" t="s">
        <v>36</v>
      </c>
      <c r="D422" t="s">
        <v>11</v>
      </c>
      <c r="E422" t="s">
        <v>37</v>
      </c>
      <c r="F422" t="s">
        <v>33</v>
      </c>
      <c r="G422" t="s">
        <v>19</v>
      </c>
      <c r="H422">
        <v>61761</v>
      </c>
      <c r="I422">
        <v>56200</v>
      </c>
    </row>
    <row r="423" spans="1:9" x14ac:dyDescent="0.3">
      <c r="A423" t="s">
        <v>455</v>
      </c>
      <c r="B423">
        <v>45718</v>
      </c>
      <c r="C423" t="s">
        <v>21</v>
      </c>
      <c r="D423" t="s">
        <v>11</v>
      </c>
      <c r="E423" t="s">
        <v>22</v>
      </c>
      <c r="F423" t="s">
        <v>39</v>
      </c>
      <c r="G423" t="s">
        <v>19</v>
      </c>
      <c r="H423">
        <v>79937</v>
      </c>
      <c r="I423">
        <v>71800</v>
      </c>
    </row>
    <row r="424" spans="1:9" x14ac:dyDescent="0.3">
      <c r="A424" t="s">
        <v>456</v>
      </c>
      <c r="B424">
        <v>45718</v>
      </c>
      <c r="C424" t="s">
        <v>31</v>
      </c>
      <c r="D424" t="s">
        <v>11</v>
      </c>
      <c r="E424" t="s">
        <v>17</v>
      </c>
      <c r="F424" t="s">
        <v>13</v>
      </c>
      <c r="G424" t="s">
        <v>14</v>
      </c>
      <c r="H424">
        <v>31887</v>
      </c>
      <c r="I424">
        <v>31000</v>
      </c>
    </row>
    <row r="425" spans="1:9" x14ac:dyDescent="0.3">
      <c r="A425" t="s">
        <v>457</v>
      </c>
      <c r="B425">
        <v>45718</v>
      </c>
      <c r="C425" t="s">
        <v>55</v>
      </c>
      <c r="D425" t="s">
        <v>11</v>
      </c>
      <c r="E425" t="s">
        <v>37</v>
      </c>
      <c r="F425" t="s">
        <v>42</v>
      </c>
      <c r="G425" t="s">
        <v>19</v>
      </c>
      <c r="H425">
        <v>16859</v>
      </c>
      <c r="I425">
        <v>15100</v>
      </c>
    </row>
    <row r="426" spans="1:9" x14ac:dyDescent="0.3">
      <c r="A426" t="s">
        <v>458</v>
      </c>
      <c r="B426">
        <v>45719</v>
      </c>
      <c r="C426" t="s">
        <v>62</v>
      </c>
      <c r="D426" t="s">
        <v>11</v>
      </c>
      <c r="E426" t="s">
        <v>22</v>
      </c>
      <c r="F426" t="s">
        <v>39</v>
      </c>
      <c r="G426" t="s">
        <v>19</v>
      </c>
      <c r="H426">
        <v>104515</v>
      </c>
      <c r="I426">
        <v>117900</v>
      </c>
    </row>
    <row r="427" spans="1:9" x14ac:dyDescent="0.3">
      <c r="A427" t="s">
        <v>459</v>
      </c>
      <c r="B427">
        <v>45719</v>
      </c>
      <c r="C427" t="s">
        <v>16</v>
      </c>
      <c r="D427" t="s">
        <v>11</v>
      </c>
      <c r="E427" t="s">
        <v>17</v>
      </c>
      <c r="F427" t="s">
        <v>23</v>
      </c>
      <c r="G427" t="s">
        <v>14</v>
      </c>
      <c r="H427">
        <v>42885</v>
      </c>
      <c r="I427">
        <v>39600</v>
      </c>
    </row>
    <row r="428" spans="1:9" x14ac:dyDescent="0.3">
      <c r="A428" t="s">
        <v>460</v>
      </c>
      <c r="B428">
        <v>45719</v>
      </c>
      <c r="C428" t="s">
        <v>36</v>
      </c>
      <c r="D428" t="s">
        <v>11</v>
      </c>
      <c r="E428" t="s">
        <v>37</v>
      </c>
      <c r="F428" t="s">
        <v>12</v>
      </c>
      <c r="G428" t="s">
        <v>14</v>
      </c>
      <c r="H428">
        <v>191385</v>
      </c>
      <c r="I428">
        <v>188700</v>
      </c>
    </row>
    <row r="429" spans="1:9" x14ac:dyDescent="0.3">
      <c r="A429" t="s">
        <v>461</v>
      </c>
      <c r="B429">
        <v>45719</v>
      </c>
      <c r="C429" t="s">
        <v>31</v>
      </c>
      <c r="D429" t="s">
        <v>11</v>
      </c>
      <c r="E429" t="s">
        <v>17</v>
      </c>
      <c r="F429" t="s">
        <v>56</v>
      </c>
      <c r="G429" t="s">
        <v>19</v>
      </c>
      <c r="H429">
        <v>28197</v>
      </c>
      <c r="I429">
        <v>30300</v>
      </c>
    </row>
    <row r="430" spans="1:9" x14ac:dyDescent="0.3">
      <c r="A430" t="s">
        <v>462</v>
      </c>
      <c r="B430">
        <v>45719</v>
      </c>
      <c r="C430" t="s">
        <v>31</v>
      </c>
      <c r="D430" t="s">
        <v>11</v>
      </c>
      <c r="E430" t="s">
        <v>17</v>
      </c>
      <c r="F430" t="s">
        <v>13</v>
      </c>
      <c r="G430" t="s">
        <v>14</v>
      </c>
      <c r="H430">
        <v>196717</v>
      </c>
      <c r="I430">
        <v>186500</v>
      </c>
    </row>
    <row r="431" spans="1:9" x14ac:dyDescent="0.3">
      <c r="A431" t="s">
        <v>463</v>
      </c>
      <c r="B431">
        <v>45719</v>
      </c>
      <c r="C431" t="s">
        <v>55</v>
      </c>
      <c r="D431" t="s">
        <v>11</v>
      </c>
      <c r="E431" t="s">
        <v>37</v>
      </c>
      <c r="F431" t="s">
        <v>26</v>
      </c>
      <c r="G431" t="s">
        <v>14</v>
      </c>
      <c r="H431">
        <v>140576</v>
      </c>
      <c r="I431">
        <v>128300</v>
      </c>
    </row>
    <row r="432" spans="1:9" x14ac:dyDescent="0.3">
      <c r="A432" t="s">
        <v>464</v>
      </c>
      <c r="B432">
        <v>45720</v>
      </c>
      <c r="C432" t="s">
        <v>10</v>
      </c>
      <c r="D432" t="s">
        <v>11</v>
      </c>
      <c r="E432" t="s">
        <v>12</v>
      </c>
      <c r="F432" t="s">
        <v>56</v>
      </c>
      <c r="G432" t="s">
        <v>19</v>
      </c>
      <c r="H432">
        <v>77688</v>
      </c>
      <c r="I432">
        <v>78200</v>
      </c>
    </row>
    <row r="433" spans="1:9" x14ac:dyDescent="0.3">
      <c r="A433" t="s">
        <v>465</v>
      </c>
      <c r="B433">
        <v>45720</v>
      </c>
      <c r="C433" t="s">
        <v>16</v>
      </c>
      <c r="D433" t="s">
        <v>11</v>
      </c>
      <c r="E433" t="s">
        <v>17</v>
      </c>
      <c r="F433" t="s">
        <v>18</v>
      </c>
      <c r="G433" t="s">
        <v>19</v>
      </c>
      <c r="H433">
        <v>83678</v>
      </c>
      <c r="I433">
        <v>87900</v>
      </c>
    </row>
    <row r="434" spans="1:9" x14ac:dyDescent="0.3">
      <c r="A434" t="s">
        <v>466</v>
      </c>
      <c r="B434">
        <v>45720</v>
      </c>
      <c r="C434" t="s">
        <v>25</v>
      </c>
      <c r="D434" t="s">
        <v>11</v>
      </c>
      <c r="E434" t="s">
        <v>22</v>
      </c>
      <c r="F434" t="s">
        <v>56</v>
      </c>
      <c r="G434" t="s">
        <v>19</v>
      </c>
      <c r="H434">
        <v>116909</v>
      </c>
      <c r="I434">
        <v>110900</v>
      </c>
    </row>
    <row r="435" spans="1:9" x14ac:dyDescent="0.3">
      <c r="A435" t="s">
        <v>467</v>
      </c>
      <c r="B435">
        <v>45720</v>
      </c>
      <c r="C435" t="s">
        <v>31</v>
      </c>
      <c r="D435" t="s">
        <v>11</v>
      </c>
      <c r="E435" t="s">
        <v>17</v>
      </c>
      <c r="F435" t="s">
        <v>56</v>
      </c>
      <c r="G435" t="s">
        <v>19</v>
      </c>
      <c r="H435">
        <v>52287</v>
      </c>
      <c r="I435">
        <v>54000</v>
      </c>
    </row>
    <row r="436" spans="1:9" x14ac:dyDescent="0.3">
      <c r="A436" t="s">
        <v>468</v>
      </c>
      <c r="B436">
        <v>45720</v>
      </c>
      <c r="C436" t="s">
        <v>55</v>
      </c>
      <c r="D436" t="s">
        <v>11</v>
      </c>
      <c r="E436" t="s">
        <v>37</v>
      </c>
      <c r="F436" t="s">
        <v>18</v>
      </c>
      <c r="G436" t="s">
        <v>19</v>
      </c>
      <c r="H436">
        <v>112608</v>
      </c>
      <c r="I436">
        <v>114800</v>
      </c>
    </row>
    <row r="437" spans="1:9" x14ac:dyDescent="0.3">
      <c r="A437" t="s">
        <v>469</v>
      </c>
      <c r="B437">
        <v>45720</v>
      </c>
      <c r="C437" t="s">
        <v>55</v>
      </c>
      <c r="D437" t="s">
        <v>11</v>
      </c>
      <c r="E437" t="s">
        <v>37</v>
      </c>
      <c r="F437" t="s">
        <v>56</v>
      </c>
      <c r="G437" t="s">
        <v>19</v>
      </c>
      <c r="H437">
        <v>29583</v>
      </c>
      <c r="I437">
        <v>29900</v>
      </c>
    </row>
    <row r="438" spans="1:9" x14ac:dyDescent="0.3">
      <c r="A438" t="s">
        <v>470</v>
      </c>
      <c r="B438">
        <v>45721</v>
      </c>
      <c r="C438" t="s">
        <v>10</v>
      </c>
      <c r="D438" t="s">
        <v>11</v>
      </c>
      <c r="E438" t="s">
        <v>12</v>
      </c>
      <c r="F438" t="s">
        <v>56</v>
      </c>
      <c r="G438" t="s">
        <v>19</v>
      </c>
      <c r="H438">
        <v>37239</v>
      </c>
      <c r="I438">
        <v>33700</v>
      </c>
    </row>
    <row r="439" spans="1:9" x14ac:dyDescent="0.3">
      <c r="A439" t="s">
        <v>471</v>
      </c>
      <c r="B439">
        <v>45721</v>
      </c>
      <c r="C439" t="s">
        <v>10</v>
      </c>
      <c r="D439" t="s">
        <v>11</v>
      </c>
      <c r="E439" t="s">
        <v>12</v>
      </c>
      <c r="F439" t="s">
        <v>18</v>
      </c>
      <c r="G439" t="s">
        <v>19</v>
      </c>
      <c r="H439">
        <v>18469</v>
      </c>
      <c r="I439">
        <v>19300</v>
      </c>
    </row>
    <row r="440" spans="1:9" x14ac:dyDescent="0.3">
      <c r="A440" t="s">
        <v>472</v>
      </c>
      <c r="B440">
        <v>45721</v>
      </c>
      <c r="C440" t="s">
        <v>16</v>
      </c>
      <c r="D440" t="s">
        <v>11</v>
      </c>
      <c r="E440" t="s">
        <v>17</v>
      </c>
      <c r="F440" t="s">
        <v>42</v>
      </c>
      <c r="G440" t="s">
        <v>19</v>
      </c>
      <c r="H440">
        <v>78330</v>
      </c>
      <c r="I440">
        <v>77400</v>
      </c>
    </row>
    <row r="441" spans="1:9" x14ac:dyDescent="0.3">
      <c r="A441" t="s">
        <v>473</v>
      </c>
      <c r="B441">
        <v>45721</v>
      </c>
      <c r="C441" t="s">
        <v>16</v>
      </c>
      <c r="D441" t="s">
        <v>11</v>
      </c>
      <c r="E441" t="s">
        <v>17</v>
      </c>
      <c r="F441" t="s">
        <v>56</v>
      </c>
      <c r="G441" t="s">
        <v>19</v>
      </c>
      <c r="H441">
        <v>17900</v>
      </c>
      <c r="I441">
        <v>16700</v>
      </c>
    </row>
    <row r="442" spans="1:9" x14ac:dyDescent="0.3">
      <c r="A442" t="s">
        <v>474</v>
      </c>
      <c r="B442">
        <v>45721</v>
      </c>
      <c r="C442" t="s">
        <v>16</v>
      </c>
      <c r="D442" t="s">
        <v>11</v>
      </c>
      <c r="E442" t="s">
        <v>17</v>
      </c>
      <c r="F442" t="s">
        <v>46</v>
      </c>
      <c r="G442" t="s">
        <v>19</v>
      </c>
      <c r="H442">
        <v>40003</v>
      </c>
      <c r="I442">
        <v>39600</v>
      </c>
    </row>
    <row r="443" spans="1:9" x14ac:dyDescent="0.3">
      <c r="A443" t="s">
        <v>475</v>
      </c>
      <c r="B443">
        <v>45721</v>
      </c>
      <c r="C443" t="s">
        <v>16</v>
      </c>
      <c r="D443" t="s">
        <v>11</v>
      </c>
      <c r="E443" t="s">
        <v>17</v>
      </c>
      <c r="F443" t="s">
        <v>33</v>
      </c>
      <c r="G443" t="s">
        <v>19</v>
      </c>
      <c r="H443">
        <v>14632</v>
      </c>
      <c r="I443">
        <v>14600</v>
      </c>
    </row>
    <row r="444" spans="1:9" x14ac:dyDescent="0.3">
      <c r="A444" t="s">
        <v>476</v>
      </c>
      <c r="B444">
        <v>45721</v>
      </c>
      <c r="C444" t="s">
        <v>36</v>
      </c>
      <c r="D444" t="s">
        <v>11</v>
      </c>
      <c r="E444" t="s">
        <v>37</v>
      </c>
      <c r="F444" t="s">
        <v>56</v>
      </c>
      <c r="G444" t="s">
        <v>19</v>
      </c>
      <c r="H444">
        <v>86051</v>
      </c>
      <c r="I444">
        <v>86000</v>
      </c>
    </row>
    <row r="445" spans="1:9" x14ac:dyDescent="0.3">
      <c r="A445" t="s">
        <v>477</v>
      </c>
      <c r="B445">
        <v>45721</v>
      </c>
      <c r="C445" t="s">
        <v>36</v>
      </c>
      <c r="D445" t="s">
        <v>11</v>
      </c>
      <c r="E445" t="s">
        <v>37</v>
      </c>
      <c r="F445" t="s">
        <v>39</v>
      </c>
      <c r="G445" t="s">
        <v>19</v>
      </c>
      <c r="H445">
        <v>59444</v>
      </c>
      <c r="I445">
        <v>62000</v>
      </c>
    </row>
    <row r="446" spans="1:9" x14ac:dyDescent="0.3">
      <c r="A446" t="s">
        <v>478</v>
      </c>
      <c r="B446">
        <v>45721</v>
      </c>
      <c r="C446" t="s">
        <v>36</v>
      </c>
      <c r="D446" t="s">
        <v>11</v>
      </c>
      <c r="E446" t="s">
        <v>37</v>
      </c>
      <c r="F446" t="s">
        <v>26</v>
      </c>
      <c r="G446" t="s">
        <v>14</v>
      </c>
      <c r="H446">
        <v>32636</v>
      </c>
      <c r="I446">
        <v>30600</v>
      </c>
    </row>
    <row r="447" spans="1:9" x14ac:dyDescent="0.3">
      <c r="A447" t="s">
        <v>479</v>
      </c>
      <c r="B447">
        <v>45721</v>
      </c>
      <c r="C447" t="s">
        <v>36</v>
      </c>
      <c r="D447" t="s">
        <v>11</v>
      </c>
      <c r="E447" t="s">
        <v>37</v>
      </c>
      <c r="F447" t="s">
        <v>37</v>
      </c>
      <c r="G447" t="s">
        <v>14</v>
      </c>
      <c r="H447">
        <v>55574</v>
      </c>
      <c r="I447">
        <v>58200</v>
      </c>
    </row>
    <row r="448" spans="1:9" x14ac:dyDescent="0.3">
      <c r="A448" t="s">
        <v>480</v>
      </c>
      <c r="B448">
        <v>45721</v>
      </c>
      <c r="C448" t="s">
        <v>36</v>
      </c>
      <c r="D448" t="s">
        <v>11</v>
      </c>
      <c r="E448" t="s">
        <v>37</v>
      </c>
      <c r="F448" t="s">
        <v>26</v>
      </c>
      <c r="G448" t="s">
        <v>14</v>
      </c>
      <c r="H448">
        <v>97270</v>
      </c>
      <c r="I448">
        <v>81900</v>
      </c>
    </row>
    <row r="449" spans="1:9" x14ac:dyDescent="0.3">
      <c r="A449" t="s">
        <v>481</v>
      </c>
      <c r="B449">
        <v>45721</v>
      </c>
      <c r="C449" t="s">
        <v>21</v>
      </c>
      <c r="D449" t="s">
        <v>11</v>
      </c>
      <c r="E449" t="s">
        <v>22</v>
      </c>
      <c r="F449" t="s">
        <v>59</v>
      </c>
      <c r="G449" t="s">
        <v>14</v>
      </c>
      <c r="H449">
        <v>208655</v>
      </c>
      <c r="I449">
        <v>221600</v>
      </c>
    </row>
    <row r="450" spans="1:9" x14ac:dyDescent="0.3">
      <c r="A450" t="s">
        <v>482</v>
      </c>
      <c r="B450">
        <v>45722</v>
      </c>
      <c r="C450" t="s">
        <v>16</v>
      </c>
      <c r="D450" t="s">
        <v>11</v>
      </c>
      <c r="E450" t="s">
        <v>17</v>
      </c>
      <c r="F450" t="s">
        <v>46</v>
      </c>
      <c r="G450" t="s">
        <v>19</v>
      </c>
      <c r="H450">
        <v>102970</v>
      </c>
      <c r="I450">
        <v>101500</v>
      </c>
    </row>
    <row r="451" spans="1:9" x14ac:dyDescent="0.3">
      <c r="A451" t="s">
        <v>483</v>
      </c>
      <c r="B451">
        <v>45722</v>
      </c>
      <c r="C451" t="s">
        <v>16</v>
      </c>
      <c r="D451" t="s">
        <v>11</v>
      </c>
      <c r="E451" t="s">
        <v>17</v>
      </c>
      <c r="F451" t="s">
        <v>23</v>
      </c>
      <c r="G451" t="s">
        <v>14</v>
      </c>
      <c r="H451">
        <v>48669</v>
      </c>
      <c r="I451">
        <v>43100</v>
      </c>
    </row>
    <row r="452" spans="1:9" x14ac:dyDescent="0.3">
      <c r="A452" t="s">
        <v>484</v>
      </c>
      <c r="B452">
        <v>45722</v>
      </c>
      <c r="C452" t="s">
        <v>25</v>
      </c>
      <c r="D452" t="s">
        <v>11</v>
      </c>
      <c r="E452" t="s">
        <v>22</v>
      </c>
      <c r="F452" t="s">
        <v>42</v>
      </c>
      <c r="G452" t="s">
        <v>19</v>
      </c>
      <c r="H452">
        <v>46494</v>
      </c>
      <c r="I452">
        <v>41900</v>
      </c>
    </row>
    <row r="453" spans="1:9" x14ac:dyDescent="0.3">
      <c r="A453" t="s">
        <v>485</v>
      </c>
      <c r="B453">
        <v>45722</v>
      </c>
      <c r="C453" t="s">
        <v>25</v>
      </c>
      <c r="D453" t="s">
        <v>11</v>
      </c>
      <c r="E453" t="s">
        <v>22</v>
      </c>
      <c r="F453" t="s">
        <v>12</v>
      </c>
      <c r="G453" t="s">
        <v>14</v>
      </c>
      <c r="H453">
        <v>178286</v>
      </c>
      <c r="I453">
        <v>165700</v>
      </c>
    </row>
    <row r="454" spans="1:9" x14ac:dyDescent="0.3">
      <c r="A454" t="s">
        <v>486</v>
      </c>
      <c r="B454">
        <v>45722</v>
      </c>
      <c r="C454" t="s">
        <v>31</v>
      </c>
      <c r="D454" t="s">
        <v>11</v>
      </c>
      <c r="E454" t="s">
        <v>17</v>
      </c>
      <c r="F454" t="s">
        <v>56</v>
      </c>
      <c r="G454" t="s">
        <v>19</v>
      </c>
      <c r="H454">
        <v>12404</v>
      </c>
      <c r="I454">
        <v>10800</v>
      </c>
    </row>
    <row r="455" spans="1:9" x14ac:dyDescent="0.3">
      <c r="A455" t="s">
        <v>487</v>
      </c>
      <c r="B455">
        <v>45723</v>
      </c>
      <c r="C455" t="s">
        <v>10</v>
      </c>
      <c r="D455" t="s">
        <v>11</v>
      </c>
      <c r="E455" t="s">
        <v>12</v>
      </c>
      <c r="F455" t="s">
        <v>56</v>
      </c>
      <c r="G455" t="s">
        <v>19</v>
      </c>
      <c r="H455">
        <v>87814</v>
      </c>
      <c r="I455">
        <v>92000</v>
      </c>
    </row>
    <row r="456" spans="1:9" x14ac:dyDescent="0.3">
      <c r="A456" t="s">
        <v>488</v>
      </c>
      <c r="B456">
        <v>45723</v>
      </c>
      <c r="C456" t="s">
        <v>10</v>
      </c>
      <c r="D456" t="s">
        <v>11</v>
      </c>
      <c r="E456" t="s">
        <v>12</v>
      </c>
      <c r="F456" t="s">
        <v>46</v>
      </c>
      <c r="G456" t="s">
        <v>19</v>
      </c>
      <c r="H456">
        <v>49845</v>
      </c>
      <c r="I456">
        <v>47400</v>
      </c>
    </row>
    <row r="457" spans="1:9" x14ac:dyDescent="0.3">
      <c r="A457" t="s">
        <v>489</v>
      </c>
      <c r="B457">
        <v>45723</v>
      </c>
      <c r="C457" t="s">
        <v>25</v>
      </c>
      <c r="D457" t="s">
        <v>11</v>
      </c>
      <c r="E457" t="s">
        <v>22</v>
      </c>
      <c r="F457" t="s">
        <v>18</v>
      </c>
      <c r="G457" t="s">
        <v>19</v>
      </c>
      <c r="H457">
        <v>34635</v>
      </c>
      <c r="I457">
        <v>38700</v>
      </c>
    </row>
    <row r="458" spans="1:9" x14ac:dyDescent="0.3">
      <c r="A458" t="s">
        <v>490</v>
      </c>
      <c r="B458">
        <v>45723</v>
      </c>
      <c r="C458" t="s">
        <v>31</v>
      </c>
      <c r="D458" t="s">
        <v>11</v>
      </c>
      <c r="E458" t="s">
        <v>17</v>
      </c>
      <c r="F458" t="s">
        <v>39</v>
      </c>
      <c r="G458" t="s">
        <v>19</v>
      </c>
      <c r="H458">
        <v>44373</v>
      </c>
      <c r="I458">
        <v>50800</v>
      </c>
    </row>
    <row r="459" spans="1:9" x14ac:dyDescent="0.3">
      <c r="A459" t="s">
        <v>491</v>
      </c>
      <c r="B459">
        <v>45723</v>
      </c>
      <c r="C459" t="s">
        <v>55</v>
      </c>
      <c r="D459" t="s">
        <v>11</v>
      </c>
      <c r="E459" t="s">
        <v>37</v>
      </c>
      <c r="F459" t="s">
        <v>13</v>
      </c>
      <c r="G459" t="s">
        <v>14</v>
      </c>
      <c r="H459">
        <v>215798</v>
      </c>
      <c r="I459">
        <v>236400</v>
      </c>
    </row>
    <row r="460" spans="1:9" x14ac:dyDescent="0.3">
      <c r="A460" t="s">
        <v>492</v>
      </c>
      <c r="B460">
        <v>45724</v>
      </c>
      <c r="C460" t="s">
        <v>36</v>
      </c>
      <c r="D460" t="s">
        <v>11</v>
      </c>
      <c r="E460" t="s">
        <v>37</v>
      </c>
      <c r="F460" t="s">
        <v>13</v>
      </c>
      <c r="G460" t="s">
        <v>14</v>
      </c>
      <c r="H460">
        <v>117912</v>
      </c>
      <c r="I460">
        <v>132400</v>
      </c>
    </row>
    <row r="461" spans="1:9" x14ac:dyDescent="0.3">
      <c r="A461" t="s">
        <v>493</v>
      </c>
      <c r="B461">
        <v>45724</v>
      </c>
      <c r="C461" t="s">
        <v>21</v>
      </c>
      <c r="D461" t="s">
        <v>11</v>
      </c>
      <c r="E461" t="s">
        <v>22</v>
      </c>
      <c r="F461" t="s">
        <v>56</v>
      </c>
      <c r="G461" t="s">
        <v>19</v>
      </c>
      <c r="H461">
        <v>63285</v>
      </c>
      <c r="I461">
        <v>52600</v>
      </c>
    </row>
    <row r="462" spans="1:9" x14ac:dyDescent="0.3">
      <c r="A462" t="s">
        <v>494</v>
      </c>
      <c r="B462">
        <v>45724</v>
      </c>
      <c r="C462" t="s">
        <v>21</v>
      </c>
      <c r="D462" t="s">
        <v>11</v>
      </c>
      <c r="E462" t="s">
        <v>22</v>
      </c>
      <c r="F462" t="s">
        <v>13</v>
      </c>
      <c r="G462" t="s">
        <v>14</v>
      </c>
      <c r="H462">
        <v>191158</v>
      </c>
      <c r="I462">
        <v>192400</v>
      </c>
    </row>
    <row r="463" spans="1:9" x14ac:dyDescent="0.3">
      <c r="A463" t="s">
        <v>495</v>
      </c>
      <c r="B463">
        <v>45724</v>
      </c>
      <c r="C463" t="s">
        <v>55</v>
      </c>
      <c r="D463" t="s">
        <v>11</v>
      </c>
      <c r="E463" t="s">
        <v>37</v>
      </c>
      <c r="F463" t="s">
        <v>37</v>
      </c>
      <c r="G463" t="s">
        <v>14</v>
      </c>
      <c r="H463">
        <v>34636</v>
      </c>
      <c r="I463">
        <v>35000</v>
      </c>
    </row>
    <row r="464" spans="1:9" x14ac:dyDescent="0.3">
      <c r="A464" t="s">
        <v>496</v>
      </c>
      <c r="B464">
        <v>45725</v>
      </c>
      <c r="C464" t="s">
        <v>62</v>
      </c>
      <c r="D464" t="s">
        <v>11</v>
      </c>
      <c r="E464" t="s">
        <v>22</v>
      </c>
      <c r="F464" t="s">
        <v>33</v>
      </c>
      <c r="G464" t="s">
        <v>19</v>
      </c>
      <c r="H464">
        <v>79383</v>
      </c>
      <c r="I464">
        <v>83400</v>
      </c>
    </row>
    <row r="465" spans="1:9" x14ac:dyDescent="0.3">
      <c r="A465" t="s">
        <v>497</v>
      </c>
      <c r="B465">
        <v>45725</v>
      </c>
      <c r="C465" t="s">
        <v>62</v>
      </c>
      <c r="D465" t="s">
        <v>11</v>
      </c>
      <c r="E465" t="s">
        <v>22</v>
      </c>
      <c r="F465" t="s">
        <v>39</v>
      </c>
      <c r="G465" t="s">
        <v>19</v>
      </c>
      <c r="H465">
        <v>38593</v>
      </c>
      <c r="I465">
        <v>40600</v>
      </c>
    </row>
    <row r="466" spans="1:9" x14ac:dyDescent="0.3">
      <c r="A466" t="s">
        <v>498</v>
      </c>
      <c r="B466">
        <v>45725</v>
      </c>
      <c r="C466" t="s">
        <v>10</v>
      </c>
      <c r="D466" t="s">
        <v>11</v>
      </c>
      <c r="E466" t="s">
        <v>12</v>
      </c>
      <c r="F466" t="s">
        <v>59</v>
      </c>
      <c r="G466" t="s">
        <v>14</v>
      </c>
      <c r="H466">
        <v>45862</v>
      </c>
      <c r="I466">
        <v>48100</v>
      </c>
    </row>
    <row r="467" spans="1:9" x14ac:dyDescent="0.3">
      <c r="A467" t="s">
        <v>499</v>
      </c>
      <c r="B467">
        <v>45725</v>
      </c>
      <c r="C467" t="s">
        <v>16</v>
      </c>
      <c r="D467" t="s">
        <v>11</v>
      </c>
      <c r="E467" t="s">
        <v>17</v>
      </c>
      <c r="F467" t="s">
        <v>59</v>
      </c>
      <c r="G467" t="s">
        <v>14</v>
      </c>
      <c r="H467">
        <v>237643</v>
      </c>
      <c r="I467">
        <v>261400</v>
      </c>
    </row>
    <row r="468" spans="1:9" x14ac:dyDescent="0.3">
      <c r="A468" t="s">
        <v>500</v>
      </c>
      <c r="B468">
        <v>45725</v>
      </c>
      <c r="C468" t="s">
        <v>21</v>
      </c>
      <c r="D468" t="s">
        <v>11</v>
      </c>
      <c r="E468" t="s">
        <v>22</v>
      </c>
      <c r="F468" t="s">
        <v>13</v>
      </c>
      <c r="G468" t="s">
        <v>14</v>
      </c>
      <c r="H468">
        <v>184528</v>
      </c>
      <c r="I468">
        <v>213700</v>
      </c>
    </row>
    <row r="469" spans="1:9" x14ac:dyDescent="0.3">
      <c r="A469" t="s">
        <v>501</v>
      </c>
      <c r="B469">
        <v>45725</v>
      </c>
      <c r="C469" t="s">
        <v>21</v>
      </c>
      <c r="D469" t="s">
        <v>11</v>
      </c>
      <c r="E469" t="s">
        <v>22</v>
      </c>
      <c r="F469" t="s">
        <v>12</v>
      </c>
      <c r="G469" t="s">
        <v>14</v>
      </c>
      <c r="H469">
        <v>80579</v>
      </c>
      <c r="I469">
        <v>77200</v>
      </c>
    </row>
    <row r="470" spans="1:9" x14ac:dyDescent="0.3">
      <c r="A470" t="s">
        <v>502</v>
      </c>
      <c r="B470">
        <v>45725</v>
      </c>
      <c r="C470" t="s">
        <v>31</v>
      </c>
      <c r="D470" t="s">
        <v>11</v>
      </c>
      <c r="E470" t="s">
        <v>17</v>
      </c>
      <c r="F470" t="s">
        <v>42</v>
      </c>
      <c r="G470" t="s">
        <v>19</v>
      </c>
      <c r="H470">
        <v>21018</v>
      </c>
      <c r="I470">
        <v>21400</v>
      </c>
    </row>
    <row r="471" spans="1:9" x14ac:dyDescent="0.3">
      <c r="A471" t="s">
        <v>503</v>
      </c>
      <c r="B471">
        <v>45725</v>
      </c>
      <c r="C471" t="s">
        <v>31</v>
      </c>
      <c r="D471" t="s">
        <v>11</v>
      </c>
      <c r="E471" t="s">
        <v>17</v>
      </c>
      <c r="F471" t="s">
        <v>46</v>
      </c>
      <c r="G471" t="s">
        <v>19</v>
      </c>
      <c r="H471">
        <v>62644</v>
      </c>
      <c r="I471">
        <v>61300</v>
      </c>
    </row>
    <row r="472" spans="1:9" x14ac:dyDescent="0.3">
      <c r="A472" t="s">
        <v>504</v>
      </c>
      <c r="B472">
        <v>45726</v>
      </c>
      <c r="C472" t="s">
        <v>62</v>
      </c>
      <c r="D472" t="s">
        <v>11</v>
      </c>
      <c r="E472" t="s">
        <v>22</v>
      </c>
      <c r="F472" t="s">
        <v>46</v>
      </c>
      <c r="G472" t="s">
        <v>19</v>
      </c>
      <c r="H472">
        <v>45241</v>
      </c>
      <c r="I472">
        <v>45700</v>
      </c>
    </row>
    <row r="473" spans="1:9" x14ac:dyDescent="0.3">
      <c r="A473" t="s">
        <v>505</v>
      </c>
      <c r="B473">
        <v>45726</v>
      </c>
      <c r="C473" t="s">
        <v>21</v>
      </c>
      <c r="D473" t="s">
        <v>11</v>
      </c>
      <c r="E473" t="s">
        <v>22</v>
      </c>
      <c r="F473" t="s">
        <v>59</v>
      </c>
      <c r="G473" t="s">
        <v>14</v>
      </c>
      <c r="H473">
        <v>173512</v>
      </c>
      <c r="I473">
        <v>165100</v>
      </c>
    </row>
    <row r="474" spans="1:9" x14ac:dyDescent="0.3">
      <c r="A474" t="s">
        <v>506</v>
      </c>
      <c r="B474">
        <v>45726</v>
      </c>
      <c r="C474" t="s">
        <v>25</v>
      </c>
      <c r="D474" t="s">
        <v>11</v>
      </c>
      <c r="E474" t="s">
        <v>22</v>
      </c>
      <c r="F474" t="s">
        <v>33</v>
      </c>
      <c r="G474" t="s">
        <v>19</v>
      </c>
      <c r="H474">
        <v>81619</v>
      </c>
      <c r="I474">
        <v>77500</v>
      </c>
    </row>
    <row r="475" spans="1:9" x14ac:dyDescent="0.3">
      <c r="A475" t="s">
        <v>507</v>
      </c>
      <c r="B475">
        <v>45726</v>
      </c>
      <c r="C475" t="s">
        <v>25</v>
      </c>
      <c r="D475" t="s">
        <v>11</v>
      </c>
      <c r="E475" t="s">
        <v>22</v>
      </c>
      <c r="F475" t="s">
        <v>46</v>
      </c>
      <c r="G475" t="s">
        <v>19</v>
      </c>
      <c r="H475">
        <v>76893</v>
      </c>
      <c r="I475">
        <v>55600</v>
      </c>
    </row>
    <row r="476" spans="1:9" x14ac:dyDescent="0.3">
      <c r="A476" t="s">
        <v>508</v>
      </c>
      <c r="B476">
        <v>45726</v>
      </c>
      <c r="C476" t="s">
        <v>25</v>
      </c>
      <c r="D476" t="s">
        <v>11</v>
      </c>
      <c r="E476" t="s">
        <v>22</v>
      </c>
      <c r="F476" t="s">
        <v>33</v>
      </c>
      <c r="G476" t="s">
        <v>19</v>
      </c>
      <c r="H476">
        <v>112884</v>
      </c>
      <c r="I476">
        <v>128400</v>
      </c>
    </row>
    <row r="477" spans="1:9" x14ac:dyDescent="0.3">
      <c r="A477" t="s">
        <v>509</v>
      </c>
      <c r="B477">
        <v>45726</v>
      </c>
      <c r="C477" t="s">
        <v>25</v>
      </c>
      <c r="D477" t="s">
        <v>11</v>
      </c>
      <c r="E477" t="s">
        <v>22</v>
      </c>
      <c r="F477" t="s">
        <v>33</v>
      </c>
      <c r="G477" t="s">
        <v>19</v>
      </c>
      <c r="H477">
        <v>63686</v>
      </c>
      <c r="I477">
        <v>61800</v>
      </c>
    </row>
    <row r="478" spans="1:9" x14ac:dyDescent="0.3">
      <c r="A478" t="s">
        <v>510</v>
      </c>
      <c r="B478">
        <v>45726</v>
      </c>
      <c r="C478" t="s">
        <v>31</v>
      </c>
      <c r="D478" t="s">
        <v>11</v>
      </c>
      <c r="E478" t="s">
        <v>17</v>
      </c>
      <c r="F478" t="s">
        <v>33</v>
      </c>
      <c r="G478" t="s">
        <v>19</v>
      </c>
      <c r="H478">
        <v>42632</v>
      </c>
      <c r="I478">
        <v>39500</v>
      </c>
    </row>
    <row r="479" spans="1:9" x14ac:dyDescent="0.3">
      <c r="A479" t="s">
        <v>511</v>
      </c>
      <c r="B479">
        <v>45726</v>
      </c>
      <c r="C479" t="s">
        <v>31</v>
      </c>
      <c r="D479" t="s">
        <v>11</v>
      </c>
      <c r="E479" t="s">
        <v>17</v>
      </c>
      <c r="F479" t="s">
        <v>56</v>
      </c>
      <c r="G479" t="s">
        <v>19</v>
      </c>
      <c r="H479">
        <v>117421</v>
      </c>
      <c r="I479">
        <v>133400</v>
      </c>
    </row>
    <row r="480" spans="1:9" x14ac:dyDescent="0.3">
      <c r="A480" t="s">
        <v>512</v>
      </c>
      <c r="B480">
        <v>45726</v>
      </c>
      <c r="C480" t="s">
        <v>31</v>
      </c>
      <c r="D480" t="s">
        <v>11</v>
      </c>
      <c r="E480" t="s">
        <v>17</v>
      </c>
      <c r="F480" t="s">
        <v>26</v>
      </c>
      <c r="G480" t="s">
        <v>14</v>
      </c>
      <c r="H480">
        <v>89001</v>
      </c>
      <c r="I480">
        <v>91400</v>
      </c>
    </row>
    <row r="481" spans="1:9" x14ac:dyDescent="0.3">
      <c r="A481" t="s">
        <v>513</v>
      </c>
      <c r="B481">
        <v>45726</v>
      </c>
      <c r="C481" t="s">
        <v>55</v>
      </c>
      <c r="D481" t="s">
        <v>11</v>
      </c>
      <c r="E481" t="s">
        <v>37</v>
      </c>
      <c r="F481" t="s">
        <v>46</v>
      </c>
      <c r="G481" t="s">
        <v>19</v>
      </c>
      <c r="H481">
        <v>33957</v>
      </c>
      <c r="I481">
        <v>32300</v>
      </c>
    </row>
    <row r="482" spans="1:9" x14ac:dyDescent="0.3">
      <c r="A482" t="s">
        <v>514</v>
      </c>
      <c r="B482">
        <v>45727</v>
      </c>
      <c r="C482" t="s">
        <v>16</v>
      </c>
      <c r="D482" t="s">
        <v>11</v>
      </c>
      <c r="E482" t="s">
        <v>17</v>
      </c>
      <c r="F482" t="s">
        <v>46</v>
      </c>
      <c r="G482" t="s">
        <v>19</v>
      </c>
      <c r="H482">
        <v>113979</v>
      </c>
      <c r="I482">
        <v>95600</v>
      </c>
    </row>
    <row r="483" spans="1:9" x14ac:dyDescent="0.3">
      <c r="A483" t="s">
        <v>515</v>
      </c>
      <c r="B483">
        <v>45727</v>
      </c>
      <c r="C483" t="s">
        <v>36</v>
      </c>
      <c r="D483" t="s">
        <v>11</v>
      </c>
      <c r="E483" t="s">
        <v>37</v>
      </c>
      <c r="F483" t="s">
        <v>37</v>
      </c>
      <c r="G483" t="s">
        <v>14</v>
      </c>
      <c r="H483">
        <v>219550</v>
      </c>
      <c r="I483">
        <v>208400</v>
      </c>
    </row>
    <row r="484" spans="1:9" x14ac:dyDescent="0.3">
      <c r="A484" t="s">
        <v>516</v>
      </c>
      <c r="B484">
        <v>45727</v>
      </c>
      <c r="C484" t="s">
        <v>25</v>
      </c>
      <c r="D484" t="s">
        <v>11</v>
      </c>
      <c r="E484" t="s">
        <v>22</v>
      </c>
      <c r="F484" t="s">
        <v>39</v>
      </c>
      <c r="G484" t="s">
        <v>19</v>
      </c>
      <c r="H484">
        <v>23416</v>
      </c>
      <c r="I484">
        <v>21900</v>
      </c>
    </row>
    <row r="485" spans="1:9" x14ac:dyDescent="0.3">
      <c r="A485" t="s">
        <v>517</v>
      </c>
      <c r="B485">
        <v>45727</v>
      </c>
      <c r="C485" t="s">
        <v>25</v>
      </c>
      <c r="D485" t="s">
        <v>11</v>
      </c>
      <c r="E485" t="s">
        <v>22</v>
      </c>
      <c r="F485" t="s">
        <v>26</v>
      </c>
      <c r="G485" t="s">
        <v>14</v>
      </c>
      <c r="H485">
        <v>232953</v>
      </c>
      <c r="I485">
        <v>228000</v>
      </c>
    </row>
    <row r="486" spans="1:9" x14ac:dyDescent="0.3">
      <c r="A486" t="s">
        <v>518</v>
      </c>
      <c r="B486">
        <v>45728</v>
      </c>
      <c r="C486" t="s">
        <v>16</v>
      </c>
      <c r="D486" t="s">
        <v>11</v>
      </c>
      <c r="E486" t="s">
        <v>17</v>
      </c>
      <c r="F486" t="s">
        <v>33</v>
      </c>
      <c r="G486" t="s">
        <v>19</v>
      </c>
      <c r="H486">
        <v>77114</v>
      </c>
      <c r="I486">
        <v>88400</v>
      </c>
    </row>
    <row r="487" spans="1:9" x14ac:dyDescent="0.3">
      <c r="A487" t="s">
        <v>519</v>
      </c>
      <c r="B487">
        <v>45728</v>
      </c>
      <c r="C487" t="s">
        <v>36</v>
      </c>
      <c r="D487" t="s">
        <v>11</v>
      </c>
      <c r="E487" t="s">
        <v>37</v>
      </c>
      <c r="F487" t="s">
        <v>18</v>
      </c>
      <c r="G487" t="s">
        <v>19</v>
      </c>
      <c r="H487">
        <v>50859</v>
      </c>
      <c r="I487">
        <v>49900</v>
      </c>
    </row>
    <row r="488" spans="1:9" x14ac:dyDescent="0.3">
      <c r="A488" t="s">
        <v>520</v>
      </c>
      <c r="B488">
        <v>45728</v>
      </c>
      <c r="C488" t="s">
        <v>36</v>
      </c>
      <c r="D488" t="s">
        <v>11</v>
      </c>
      <c r="E488" t="s">
        <v>37</v>
      </c>
      <c r="F488" t="s">
        <v>33</v>
      </c>
      <c r="G488" t="s">
        <v>19</v>
      </c>
      <c r="H488">
        <v>111686</v>
      </c>
      <c r="I488">
        <v>125600</v>
      </c>
    </row>
    <row r="489" spans="1:9" x14ac:dyDescent="0.3">
      <c r="A489" t="s">
        <v>521</v>
      </c>
      <c r="B489">
        <v>45728</v>
      </c>
      <c r="C489" t="s">
        <v>36</v>
      </c>
      <c r="D489" t="s">
        <v>11</v>
      </c>
      <c r="E489" t="s">
        <v>37</v>
      </c>
      <c r="F489" t="s">
        <v>12</v>
      </c>
      <c r="G489" t="s">
        <v>14</v>
      </c>
      <c r="H489">
        <v>42697</v>
      </c>
      <c r="I489">
        <v>51000</v>
      </c>
    </row>
    <row r="490" spans="1:9" x14ac:dyDescent="0.3">
      <c r="A490" t="s">
        <v>522</v>
      </c>
      <c r="B490">
        <v>45728</v>
      </c>
      <c r="C490" t="s">
        <v>25</v>
      </c>
      <c r="D490" t="s">
        <v>11</v>
      </c>
      <c r="E490" t="s">
        <v>22</v>
      </c>
      <c r="F490" t="s">
        <v>13</v>
      </c>
      <c r="G490" t="s">
        <v>14</v>
      </c>
      <c r="H490">
        <v>208324</v>
      </c>
      <c r="I490">
        <v>203700</v>
      </c>
    </row>
    <row r="491" spans="1:9" x14ac:dyDescent="0.3">
      <c r="A491" t="s">
        <v>523</v>
      </c>
      <c r="B491">
        <v>45728</v>
      </c>
      <c r="C491" t="s">
        <v>55</v>
      </c>
      <c r="D491" t="s">
        <v>11</v>
      </c>
      <c r="E491" t="s">
        <v>37</v>
      </c>
      <c r="F491" t="s">
        <v>12</v>
      </c>
      <c r="G491" t="s">
        <v>14</v>
      </c>
      <c r="H491">
        <v>105139</v>
      </c>
      <c r="I491">
        <v>103300</v>
      </c>
    </row>
    <row r="492" spans="1:9" x14ac:dyDescent="0.3">
      <c r="A492" t="s">
        <v>524</v>
      </c>
      <c r="B492">
        <v>45729</v>
      </c>
      <c r="C492" t="s">
        <v>62</v>
      </c>
      <c r="D492" t="s">
        <v>11</v>
      </c>
      <c r="E492" t="s">
        <v>22</v>
      </c>
      <c r="F492" t="s">
        <v>13</v>
      </c>
      <c r="G492" t="s">
        <v>14</v>
      </c>
      <c r="H492">
        <v>61640</v>
      </c>
      <c r="I492">
        <v>60600</v>
      </c>
    </row>
    <row r="493" spans="1:9" x14ac:dyDescent="0.3">
      <c r="A493" t="s">
        <v>525</v>
      </c>
      <c r="B493">
        <v>45729</v>
      </c>
      <c r="C493" t="s">
        <v>10</v>
      </c>
      <c r="D493" t="s">
        <v>11</v>
      </c>
      <c r="E493" t="s">
        <v>12</v>
      </c>
      <c r="F493" t="s">
        <v>33</v>
      </c>
      <c r="G493" t="s">
        <v>19</v>
      </c>
      <c r="H493">
        <v>31405</v>
      </c>
      <c r="I493">
        <v>29100</v>
      </c>
    </row>
    <row r="494" spans="1:9" x14ac:dyDescent="0.3">
      <c r="A494" t="s">
        <v>526</v>
      </c>
      <c r="B494">
        <v>45729</v>
      </c>
      <c r="C494" t="s">
        <v>10</v>
      </c>
      <c r="D494" t="s">
        <v>11</v>
      </c>
      <c r="E494" t="s">
        <v>12</v>
      </c>
      <c r="F494" t="s">
        <v>12</v>
      </c>
      <c r="G494" t="s">
        <v>14</v>
      </c>
      <c r="H494">
        <v>27184</v>
      </c>
      <c r="I494">
        <v>21800</v>
      </c>
    </row>
    <row r="495" spans="1:9" x14ac:dyDescent="0.3">
      <c r="A495" t="s">
        <v>527</v>
      </c>
      <c r="B495">
        <v>45729</v>
      </c>
      <c r="C495" t="s">
        <v>16</v>
      </c>
      <c r="D495" t="s">
        <v>11</v>
      </c>
      <c r="E495" t="s">
        <v>17</v>
      </c>
      <c r="F495" t="s">
        <v>33</v>
      </c>
      <c r="G495" t="s">
        <v>19</v>
      </c>
      <c r="H495">
        <v>97390</v>
      </c>
      <c r="I495">
        <v>92400</v>
      </c>
    </row>
    <row r="496" spans="1:9" x14ac:dyDescent="0.3">
      <c r="A496" t="s">
        <v>528</v>
      </c>
      <c r="B496">
        <v>45729</v>
      </c>
      <c r="C496" t="s">
        <v>36</v>
      </c>
      <c r="D496" t="s">
        <v>11</v>
      </c>
      <c r="E496" t="s">
        <v>37</v>
      </c>
      <c r="F496" t="s">
        <v>12</v>
      </c>
      <c r="G496" t="s">
        <v>14</v>
      </c>
      <c r="H496">
        <v>127349</v>
      </c>
      <c r="I496">
        <v>125900</v>
      </c>
    </row>
    <row r="497" spans="1:9" x14ac:dyDescent="0.3">
      <c r="A497" t="s">
        <v>529</v>
      </c>
      <c r="B497">
        <v>45729</v>
      </c>
      <c r="C497" t="s">
        <v>21</v>
      </c>
      <c r="D497" t="s">
        <v>11</v>
      </c>
      <c r="E497" t="s">
        <v>22</v>
      </c>
      <c r="F497" t="s">
        <v>26</v>
      </c>
      <c r="G497" t="s">
        <v>14</v>
      </c>
      <c r="H497">
        <v>175404</v>
      </c>
      <c r="I497">
        <v>187400</v>
      </c>
    </row>
    <row r="498" spans="1:9" x14ac:dyDescent="0.3">
      <c r="A498" t="s">
        <v>530</v>
      </c>
      <c r="B498">
        <v>45729</v>
      </c>
      <c r="C498" t="s">
        <v>55</v>
      </c>
      <c r="D498" t="s">
        <v>11</v>
      </c>
      <c r="E498" t="s">
        <v>37</v>
      </c>
      <c r="F498" t="s">
        <v>18</v>
      </c>
      <c r="G498" t="s">
        <v>19</v>
      </c>
      <c r="H498">
        <v>99938</v>
      </c>
      <c r="I498">
        <v>111700</v>
      </c>
    </row>
    <row r="499" spans="1:9" x14ac:dyDescent="0.3">
      <c r="A499" t="s">
        <v>531</v>
      </c>
      <c r="B499">
        <v>45730</v>
      </c>
      <c r="C499" t="s">
        <v>62</v>
      </c>
      <c r="D499" t="s">
        <v>11</v>
      </c>
      <c r="E499" t="s">
        <v>22</v>
      </c>
      <c r="F499" t="s">
        <v>46</v>
      </c>
      <c r="G499" t="s">
        <v>19</v>
      </c>
      <c r="H499">
        <v>20106</v>
      </c>
      <c r="I499">
        <v>22800</v>
      </c>
    </row>
    <row r="500" spans="1:9" x14ac:dyDescent="0.3">
      <c r="A500" t="s">
        <v>532</v>
      </c>
      <c r="B500">
        <v>45730</v>
      </c>
      <c r="C500" t="s">
        <v>10</v>
      </c>
      <c r="D500" t="s">
        <v>11</v>
      </c>
      <c r="E500" t="s">
        <v>12</v>
      </c>
      <c r="F500" t="s">
        <v>46</v>
      </c>
      <c r="G500" t="s">
        <v>19</v>
      </c>
      <c r="H500">
        <v>52277</v>
      </c>
      <c r="I500">
        <v>51800</v>
      </c>
    </row>
    <row r="501" spans="1:9" x14ac:dyDescent="0.3">
      <c r="A501" t="s">
        <v>533</v>
      </c>
      <c r="B501">
        <v>45730</v>
      </c>
      <c r="C501" t="s">
        <v>16</v>
      </c>
      <c r="D501" t="s">
        <v>11</v>
      </c>
      <c r="E501" t="s">
        <v>17</v>
      </c>
      <c r="F501" t="s">
        <v>18</v>
      </c>
      <c r="G501" t="s">
        <v>19</v>
      </c>
      <c r="H501">
        <v>28190</v>
      </c>
      <c r="I501">
        <v>21800</v>
      </c>
    </row>
    <row r="502" spans="1:9" x14ac:dyDescent="0.3">
      <c r="A502" t="s">
        <v>534</v>
      </c>
      <c r="B502">
        <v>45730</v>
      </c>
      <c r="C502" t="s">
        <v>36</v>
      </c>
      <c r="D502" t="s">
        <v>11</v>
      </c>
      <c r="E502" t="s">
        <v>37</v>
      </c>
      <c r="F502" t="s">
        <v>12</v>
      </c>
      <c r="G502" t="s">
        <v>14</v>
      </c>
      <c r="H502">
        <v>181316</v>
      </c>
      <c r="I502">
        <v>155700</v>
      </c>
    </row>
    <row r="503" spans="1:9" x14ac:dyDescent="0.3">
      <c r="A503" t="s">
        <v>535</v>
      </c>
      <c r="B503">
        <v>45730</v>
      </c>
      <c r="C503" t="s">
        <v>21</v>
      </c>
      <c r="D503" t="s">
        <v>11</v>
      </c>
      <c r="E503" t="s">
        <v>22</v>
      </c>
      <c r="F503" t="s">
        <v>33</v>
      </c>
      <c r="G503" t="s">
        <v>19</v>
      </c>
      <c r="H503">
        <v>43728</v>
      </c>
      <c r="I503">
        <v>39200</v>
      </c>
    </row>
    <row r="504" spans="1:9" x14ac:dyDescent="0.3">
      <c r="A504" t="s">
        <v>536</v>
      </c>
      <c r="B504">
        <v>45730</v>
      </c>
      <c r="C504" t="s">
        <v>21</v>
      </c>
      <c r="D504" t="s">
        <v>11</v>
      </c>
      <c r="E504" t="s">
        <v>22</v>
      </c>
      <c r="F504" t="s">
        <v>56</v>
      </c>
      <c r="G504" t="s">
        <v>19</v>
      </c>
      <c r="H504">
        <v>92025</v>
      </c>
      <c r="I504">
        <v>96800</v>
      </c>
    </row>
    <row r="505" spans="1:9" x14ac:dyDescent="0.3">
      <c r="A505" t="s">
        <v>537</v>
      </c>
      <c r="B505">
        <v>45730</v>
      </c>
      <c r="C505" t="s">
        <v>21</v>
      </c>
      <c r="D505" t="s">
        <v>11</v>
      </c>
      <c r="E505" t="s">
        <v>22</v>
      </c>
      <c r="F505" t="s">
        <v>23</v>
      </c>
      <c r="G505" t="s">
        <v>14</v>
      </c>
      <c r="H505">
        <v>92177</v>
      </c>
      <c r="I505">
        <v>100800</v>
      </c>
    </row>
    <row r="506" spans="1:9" x14ac:dyDescent="0.3">
      <c r="A506" t="s">
        <v>538</v>
      </c>
      <c r="B506">
        <v>45730</v>
      </c>
      <c r="C506" t="s">
        <v>25</v>
      </c>
      <c r="D506" t="s">
        <v>11</v>
      </c>
      <c r="E506" t="s">
        <v>22</v>
      </c>
      <c r="F506" t="s">
        <v>46</v>
      </c>
      <c r="G506" t="s">
        <v>19</v>
      </c>
      <c r="H506">
        <v>40111</v>
      </c>
      <c r="I506">
        <v>40500</v>
      </c>
    </row>
    <row r="507" spans="1:9" x14ac:dyDescent="0.3">
      <c r="A507" t="s">
        <v>539</v>
      </c>
      <c r="B507">
        <v>45730</v>
      </c>
      <c r="C507" t="s">
        <v>55</v>
      </c>
      <c r="D507" t="s">
        <v>11</v>
      </c>
      <c r="E507" t="s">
        <v>37</v>
      </c>
      <c r="F507" t="s">
        <v>39</v>
      </c>
      <c r="G507" t="s">
        <v>19</v>
      </c>
      <c r="H507">
        <v>54630</v>
      </c>
      <c r="I507">
        <v>53000</v>
      </c>
    </row>
    <row r="508" spans="1:9" x14ac:dyDescent="0.3">
      <c r="A508" t="s">
        <v>540</v>
      </c>
      <c r="B508">
        <v>45730</v>
      </c>
      <c r="C508" t="s">
        <v>55</v>
      </c>
      <c r="D508" t="s">
        <v>11</v>
      </c>
      <c r="E508" t="s">
        <v>37</v>
      </c>
      <c r="F508" t="s">
        <v>23</v>
      </c>
      <c r="G508" t="s">
        <v>14</v>
      </c>
      <c r="H508">
        <v>71890</v>
      </c>
      <c r="I508">
        <v>65700</v>
      </c>
    </row>
    <row r="509" spans="1:9" x14ac:dyDescent="0.3">
      <c r="A509" t="s">
        <v>541</v>
      </c>
      <c r="B509">
        <v>45731</v>
      </c>
      <c r="C509" t="s">
        <v>16</v>
      </c>
      <c r="D509" t="s">
        <v>11</v>
      </c>
      <c r="E509" t="s">
        <v>17</v>
      </c>
      <c r="F509" t="s">
        <v>33</v>
      </c>
      <c r="G509" t="s">
        <v>19</v>
      </c>
      <c r="H509">
        <v>105013</v>
      </c>
      <c r="I509">
        <v>96700</v>
      </c>
    </row>
    <row r="510" spans="1:9" x14ac:dyDescent="0.3">
      <c r="A510" t="s">
        <v>542</v>
      </c>
      <c r="B510">
        <v>45731</v>
      </c>
      <c r="C510" t="s">
        <v>16</v>
      </c>
      <c r="D510" t="s">
        <v>11</v>
      </c>
      <c r="E510" t="s">
        <v>17</v>
      </c>
      <c r="F510" t="s">
        <v>46</v>
      </c>
      <c r="G510" t="s">
        <v>19</v>
      </c>
      <c r="H510">
        <v>56489</v>
      </c>
      <c r="I510">
        <v>56300</v>
      </c>
    </row>
    <row r="511" spans="1:9" x14ac:dyDescent="0.3">
      <c r="A511" t="s">
        <v>543</v>
      </c>
      <c r="B511">
        <v>45731</v>
      </c>
      <c r="C511" t="s">
        <v>16</v>
      </c>
      <c r="D511" t="s">
        <v>11</v>
      </c>
      <c r="E511" t="s">
        <v>17</v>
      </c>
      <c r="F511" t="s">
        <v>46</v>
      </c>
      <c r="G511" t="s">
        <v>19</v>
      </c>
      <c r="H511">
        <v>30564</v>
      </c>
      <c r="I511">
        <v>33700</v>
      </c>
    </row>
    <row r="512" spans="1:9" x14ac:dyDescent="0.3">
      <c r="A512" t="s">
        <v>544</v>
      </c>
      <c r="B512">
        <v>45731</v>
      </c>
      <c r="C512" t="s">
        <v>16</v>
      </c>
      <c r="D512" t="s">
        <v>11</v>
      </c>
      <c r="E512" t="s">
        <v>17</v>
      </c>
      <c r="F512" t="s">
        <v>37</v>
      </c>
      <c r="G512" t="s">
        <v>14</v>
      </c>
      <c r="H512">
        <v>191478</v>
      </c>
      <c r="I512">
        <v>165700</v>
      </c>
    </row>
    <row r="513" spans="1:9" x14ac:dyDescent="0.3">
      <c r="A513" t="s">
        <v>545</v>
      </c>
      <c r="B513">
        <v>45731</v>
      </c>
      <c r="C513" t="s">
        <v>21</v>
      </c>
      <c r="D513" t="s">
        <v>11</v>
      </c>
      <c r="E513" t="s">
        <v>22</v>
      </c>
      <c r="F513" t="s">
        <v>42</v>
      </c>
      <c r="G513" t="s">
        <v>19</v>
      </c>
      <c r="H513">
        <v>68523</v>
      </c>
      <c r="I513">
        <v>79900</v>
      </c>
    </row>
    <row r="514" spans="1:9" x14ac:dyDescent="0.3">
      <c r="A514" t="s">
        <v>546</v>
      </c>
      <c r="B514">
        <v>45731</v>
      </c>
      <c r="C514" t="s">
        <v>25</v>
      </c>
      <c r="D514" t="s">
        <v>11</v>
      </c>
      <c r="E514" t="s">
        <v>22</v>
      </c>
      <c r="F514" t="s">
        <v>39</v>
      </c>
      <c r="G514" t="s">
        <v>19</v>
      </c>
      <c r="H514">
        <v>70901</v>
      </c>
      <c r="I514">
        <v>72400</v>
      </c>
    </row>
    <row r="515" spans="1:9" x14ac:dyDescent="0.3">
      <c r="A515" t="s">
        <v>547</v>
      </c>
      <c r="B515">
        <v>45731</v>
      </c>
      <c r="C515" t="s">
        <v>55</v>
      </c>
      <c r="D515" t="s">
        <v>11</v>
      </c>
      <c r="E515" t="s">
        <v>37</v>
      </c>
      <c r="F515" t="s">
        <v>37</v>
      </c>
      <c r="G515" t="s">
        <v>14</v>
      </c>
      <c r="H515">
        <v>195312</v>
      </c>
      <c r="I515">
        <v>181800</v>
      </c>
    </row>
    <row r="516" spans="1:9" x14ac:dyDescent="0.3">
      <c r="A516" t="s">
        <v>548</v>
      </c>
      <c r="B516">
        <v>45732</v>
      </c>
      <c r="C516" t="s">
        <v>62</v>
      </c>
      <c r="D516" t="s">
        <v>11</v>
      </c>
      <c r="E516" t="s">
        <v>22</v>
      </c>
      <c r="F516" t="s">
        <v>59</v>
      </c>
      <c r="G516" t="s">
        <v>14</v>
      </c>
      <c r="H516">
        <v>181752</v>
      </c>
      <c r="I516">
        <v>182000</v>
      </c>
    </row>
    <row r="517" spans="1:9" x14ac:dyDescent="0.3">
      <c r="A517" t="s">
        <v>549</v>
      </c>
      <c r="B517">
        <v>45732</v>
      </c>
      <c r="C517" t="s">
        <v>16</v>
      </c>
      <c r="D517" t="s">
        <v>11</v>
      </c>
      <c r="E517" t="s">
        <v>17</v>
      </c>
      <c r="F517" t="s">
        <v>12</v>
      </c>
      <c r="G517" t="s">
        <v>14</v>
      </c>
      <c r="H517">
        <v>51926</v>
      </c>
      <c r="I517">
        <v>63100</v>
      </c>
    </row>
    <row r="518" spans="1:9" x14ac:dyDescent="0.3">
      <c r="A518" t="s">
        <v>550</v>
      </c>
      <c r="B518">
        <v>45732</v>
      </c>
      <c r="C518" t="s">
        <v>36</v>
      </c>
      <c r="D518" t="s">
        <v>11</v>
      </c>
      <c r="E518" t="s">
        <v>37</v>
      </c>
      <c r="F518" t="s">
        <v>39</v>
      </c>
      <c r="G518" t="s">
        <v>19</v>
      </c>
      <c r="H518">
        <v>113475</v>
      </c>
      <c r="I518">
        <v>112500</v>
      </c>
    </row>
    <row r="519" spans="1:9" x14ac:dyDescent="0.3">
      <c r="A519" t="s">
        <v>551</v>
      </c>
      <c r="B519">
        <v>45732</v>
      </c>
      <c r="C519" t="s">
        <v>36</v>
      </c>
      <c r="D519" t="s">
        <v>11</v>
      </c>
      <c r="E519" t="s">
        <v>37</v>
      </c>
      <c r="F519" t="s">
        <v>56</v>
      </c>
      <c r="G519" t="s">
        <v>19</v>
      </c>
      <c r="H519">
        <v>37403</v>
      </c>
      <c r="I519">
        <v>35800</v>
      </c>
    </row>
    <row r="520" spans="1:9" x14ac:dyDescent="0.3">
      <c r="A520" t="s">
        <v>552</v>
      </c>
      <c r="B520">
        <v>45732</v>
      </c>
      <c r="C520" t="s">
        <v>21</v>
      </c>
      <c r="D520" t="s">
        <v>11</v>
      </c>
      <c r="E520" t="s">
        <v>22</v>
      </c>
      <c r="F520" t="s">
        <v>12</v>
      </c>
      <c r="G520" t="s">
        <v>14</v>
      </c>
      <c r="H520">
        <v>160071</v>
      </c>
      <c r="I520">
        <v>180300</v>
      </c>
    </row>
    <row r="521" spans="1:9" x14ac:dyDescent="0.3">
      <c r="A521" t="s">
        <v>553</v>
      </c>
      <c r="B521">
        <v>45732</v>
      </c>
      <c r="C521" t="s">
        <v>25</v>
      </c>
      <c r="D521" t="s">
        <v>11</v>
      </c>
      <c r="E521" t="s">
        <v>22</v>
      </c>
      <c r="F521" t="s">
        <v>23</v>
      </c>
      <c r="G521" t="s">
        <v>14</v>
      </c>
      <c r="H521">
        <v>41659</v>
      </c>
      <c r="I521">
        <v>42800</v>
      </c>
    </row>
    <row r="522" spans="1:9" x14ac:dyDescent="0.3">
      <c r="A522" t="s">
        <v>554</v>
      </c>
      <c r="B522">
        <v>45733</v>
      </c>
      <c r="C522" t="s">
        <v>62</v>
      </c>
      <c r="D522" t="s">
        <v>11</v>
      </c>
      <c r="E522" t="s">
        <v>22</v>
      </c>
      <c r="F522" t="s">
        <v>18</v>
      </c>
      <c r="G522" t="s">
        <v>19</v>
      </c>
      <c r="H522">
        <v>79030</v>
      </c>
      <c r="I522">
        <v>71700</v>
      </c>
    </row>
    <row r="523" spans="1:9" x14ac:dyDescent="0.3">
      <c r="A523" t="s">
        <v>555</v>
      </c>
      <c r="B523">
        <v>45733</v>
      </c>
      <c r="C523" t="s">
        <v>10</v>
      </c>
      <c r="D523" t="s">
        <v>11</v>
      </c>
      <c r="E523" t="s">
        <v>12</v>
      </c>
      <c r="F523" t="s">
        <v>18</v>
      </c>
      <c r="G523" t="s">
        <v>19</v>
      </c>
      <c r="H523">
        <v>57252</v>
      </c>
      <c r="I523">
        <v>56700</v>
      </c>
    </row>
    <row r="524" spans="1:9" x14ac:dyDescent="0.3">
      <c r="A524" t="s">
        <v>556</v>
      </c>
      <c r="B524">
        <v>45733</v>
      </c>
      <c r="C524" t="s">
        <v>16</v>
      </c>
      <c r="D524" t="s">
        <v>11</v>
      </c>
      <c r="E524" t="s">
        <v>17</v>
      </c>
      <c r="F524" t="s">
        <v>39</v>
      </c>
      <c r="G524" t="s">
        <v>19</v>
      </c>
      <c r="H524">
        <v>86280</v>
      </c>
      <c r="I524">
        <v>95100</v>
      </c>
    </row>
    <row r="525" spans="1:9" x14ac:dyDescent="0.3">
      <c r="A525" t="s">
        <v>557</v>
      </c>
      <c r="B525">
        <v>45733</v>
      </c>
      <c r="C525" t="s">
        <v>16</v>
      </c>
      <c r="D525" t="s">
        <v>11</v>
      </c>
      <c r="E525" t="s">
        <v>17</v>
      </c>
      <c r="F525" t="s">
        <v>33</v>
      </c>
      <c r="G525" t="s">
        <v>19</v>
      </c>
      <c r="H525">
        <v>63538</v>
      </c>
      <c r="I525">
        <v>66200</v>
      </c>
    </row>
    <row r="526" spans="1:9" x14ac:dyDescent="0.3">
      <c r="A526" t="s">
        <v>558</v>
      </c>
      <c r="B526">
        <v>45733</v>
      </c>
      <c r="C526" t="s">
        <v>16</v>
      </c>
      <c r="D526" t="s">
        <v>11</v>
      </c>
      <c r="E526" t="s">
        <v>17</v>
      </c>
      <c r="F526" t="s">
        <v>37</v>
      </c>
      <c r="G526" t="s">
        <v>14</v>
      </c>
      <c r="H526">
        <v>146826</v>
      </c>
      <c r="I526">
        <v>164900</v>
      </c>
    </row>
    <row r="527" spans="1:9" x14ac:dyDescent="0.3">
      <c r="A527" t="s">
        <v>559</v>
      </c>
      <c r="B527">
        <v>45733</v>
      </c>
      <c r="C527" t="s">
        <v>21</v>
      </c>
      <c r="D527" t="s">
        <v>11</v>
      </c>
      <c r="E527" t="s">
        <v>22</v>
      </c>
      <c r="F527" t="s">
        <v>37</v>
      </c>
      <c r="G527" t="s">
        <v>14</v>
      </c>
      <c r="H527">
        <v>227873</v>
      </c>
      <c r="I527">
        <v>243900</v>
      </c>
    </row>
    <row r="528" spans="1:9" x14ac:dyDescent="0.3">
      <c r="A528" t="s">
        <v>560</v>
      </c>
      <c r="B528">
        <v>45733</v>
      </c>
      <c r="C528" t="s">
        <v>31</v>
      </c>
      <c r="D528" t="s">
        <v>11</v>
      </c>
      <c r="E528" t="s">
        <v>17</v>
      </c>
      <c r="F528" t="s">
        <v>18</v>
      </c>
      <c r="G528" t="s">
        <v>19</v>
      </c>
      <c r="H528">
        <v>72188</v>
      </c>
      <c r="I528">
        <v>62000</v>
      </c>
    </row>
    <row r="529" spans="1:9" x14ac:dyDescent="0.3">
      <c r="A529" t="s">
        <v>561</v>
      </c>
      <c r="B529">
        <v>45734</v>
      </c>
      <c r="C529" t="s">
        <v>62</v>
      </c>
      <c r="D529" t="s">
        <v>11</v>
      </c>
      <c r="E529" t="s">
        <v>22</v>
      </c>
      <c r="F529" t="s">
        <v>12</v>
      </c>
      <c r="G529" t="s">
        <v>14</v>
      </c>
      <c r="H529">
        <v>132805</v>
      </c>
      <c r="I529">
        <v>137600</v>
      </c>
    </row>
    <row r="530" spans="1:9" x14ac:dyDescent="0.3">
      <c r="A530" t="s">
        <v>562</v>
      </c>
      <c r="B530">
        <v>45734</v>
      </c>
      <c r="C530" t="s">
        <v>10</v>
      </c>
      <c r="D530" t="s">
        <v>11</v>
      </c>
      <c r="E530" t="s">
        <v>12</v>
      </c>
      <c r="F530" t="s">
        <v>23</v>
      </c>
      <c r="G530" t="s">
        <v>14</v>
      </c>
      <c r="H530">
        <v>238578</v>
      </c>
      <c r="I530">
        <v>206600</v>
      </c>
    </row>
    <row r="531" spans="1:9" x14ac:dyDescent="0.3">
      <c r="A531" t="s">
        <v>563</v>
      </c>
      <c r="B531">
        <v>45734</v>
      </c>
      <c r="C531" t="s">
        <v>36</v>
      </c>
      <c r="D531" t="s">
        <v>11</v>
      </c>
      <c r="E531" t="s">
        <v>37</v>
      </c>
      <c r="F531" t="s">
        <v>13</v>
      </c>
      <c r="G531" t="s">
        <v>14</v>
      </c>
      <c r="H531">
        <v>199799</v>
      </c>
      <c r="I531">
        <v>209300</v>
      </c>
    </row>
    <row r="532" spans="1:9" x14ac:dyDescent="0.3">
      <c r="A532" t="s">
        <v>564</v>
      </c>
      <c r="B532">
        <v>45734</v>
      </c>
      <c r="C532" t="s">
        <v>21</v>
      </c>
      <c r="D532" t="s">
        <v>11</v>
      </c>
      <c r="E532" t="s">
        <v>22</v>
      </c>
      <c r="F532" t="s">
        <v>46</v>
      </c>
      <c r="G532" t="s">
        <v>19</v>
      </c>
      <c r="H532">
        <v>114468</v>
      </c>
      <c r="I532">
        <v>117600</v>
      </c>
    </row>
    <row r="533" spans="1:9" x14ac:dyDescent="0.3">
      <c r="A533" t="s">
        <v>565</v>
      </c>
      <c r="B533">
        <v>45734</v>
      </c>
      <c r="C533" t="s">
        <v>21</v>
      </c>
      <c r="D533" t="s">
        <v>11</v>
      </c>
      <c r="E533" t="s">
        <v>22</v>
      </c>
      <c r="F533" t="s">
        <v>12</v>
      </c>
      <c r="G533" t="s">
        <v>14</v>
      </c>
      <c r="H533">
        <v>70426</v>
      </c>
      <c r="I533">
        <v>63200</v>
      </c>
    </row>
    <row r="534" spans="1:9" x14ac:dyDescent="0.3">
      <c r="A534" t="s">
        <v>566</v>
      </c>
      <c r="B534">
        <v>45734</v>
      </c>
      <c r="C534" t="s">
        <v>25</v>
      </c>
      <c r="D534" t="s">
        <v>11</v>
      </c>
      <c r="E534" t="s">
        <v>22</v>
      </c>
      <c r="F534" t="s">
        <v>18</v>
      </c>
      <c r="G534" t="s">
        <v>19</v>
      </c>
      <c r="H534">
        <v>23563</v>
      </c>
      <c r="I534">
        <v>18900</v>
      </c>
    </row>
    <row r="535" spans="1:9" x14ac:dyDescent="0.3">
      <c r="A535" t="s">
        <v>567</v>
      </c>
      <c r="B535">
        <v>45734</v>
      </c>
      <c r="C535" t="s">
        <v>25</v>
      </c>
      <c r="D535" t="s">
        <v>11</v>
      </c>
      <c r="E535" t="s">
        <v>22</v>
      </c>
      <c r="F535" t="s">
        <v>33</v>
      </c>
      <c r="G535" t="s">
        <v>19</v>
      </c>
      <c r="H535">
        <v>98318</v>
      </c>
      <c r="I535">
        <v>110300</v>
      </c>
    </row>
    <row r="536" spans="1:9" x14ac:dyDescent="0.3">
      <c r="A536" t="s">
        <v>568</v>
      </c>
      <c r="B536">
        <v>45735</v>
      </c>
      <c r="C536" t="s">
        <v>62</v>
      </c>
      <c r="D536" t="s">
        <v>11</v>
      </c>
      <c r="E536" t="s">
        <v>22</v>
      </c>
      <c r="F536" t="s">
        <v>26</v>
      </c>
      <c r="G536" t="s">
        <v>14</v>
      </c>
      <c r="H536">
        <v>86325</v>
      </c>
      <c r="I536">
        <v>77700</v>
      </c>
    </row>
    <row r="537" spans="1:9" x14ac:dyDescent="0.3">
      <c r="A537" t="s">
        <v>569</v>
      </c>
      <c r="B537">
        <v>45735</v>
      </c>
      <c r="C537" t="s">
        <v>62</v>
      </c>
      <c r="D537" t="s">
        <v>11</v>
      </c>
      <c r="E537" t="s">
        <v>22</v>
      </c>
      <c r="F537" t="s">
        <v>13</v>
      </c>
      <c r="G537" t="s">
        <v>14</v>
      </c>
      <c r="H537">
        <v>127797</v>
      </c>
      <c r="I537">
        <v>146000</v>
      </c>
    </row>
    <row r="538" spans="1:9" x14ac:dyDescent="0.3">
      <c r="A538" t="s">
        <v>570</v>
      </c>
      <c r="B538">
        <v>45735</v>
      </c>
      <c r="C538" t="s">
        <v>25</v>
      </c>
      <c r="D538" t="s">
        <v>11</v>
      </c>
      <c r="E538" t="s">
        <v>22</v>
      </c>
      <c r="F538" t="s">
        <v>39</v>
      </c>
      <c r="G538" t="s">
        <v>19</v>
      </c>
      <c r="H538">
        <v>103076</v>
      </c>
      <c r="I538">
        <v>103100</v>
      </c>
    </row>
    <row r="539" spans="1:9" x14ac:dyDescent="0.3">
      <c r="A539" t="s">
        <v>571</v>
      </c>
      <c r="B539">
        <v>45735</v>
      </c>
      <c r="C539" t="s">
        <v>31</v>
      </c>
      <c r="D539" t="s">
        <v>11</v>
      </c>
      <c r="E539" t="s">
        <v>17</v>
      </c>
      <c r="F539" t="s">
        <v>12</v>
      </c>
      <c r="G539" t="s">
        <v>14</v>
      </c>
      <c r="H539">
        <v>172891</v>
      </c>
      <c r="I539">
        <v>173700</v>
      </c>
    </row>
    <row r="540" spans="1:9" x14ac:dyDescent="0.3">
      <c r="A540" t="s">
        <v>572</v>
      </c>
      <c r="B540">
        <v>45735</v>
      </c>
      <c r="C540" t="s">
        <v>31</v>
      </c>
      <c r="D540" t="s">
        <v>11</v>
      </c>
      <c r="E540" t="s">
        <v>17</v>
      </c>
      <c r="F540" t="s">
        <v>13</v>
      </c>
      <c r="G540" t="s">
        <v>14</v>
      </c>
      <c r="H540">
        <v>29698</v>
      </c>
      <c r="I540">
        <v>28500</v>
      </c>
    </row>
    <row r="541" spans="1:9" x14ac:dyDescent="0.3">
      <c r="A541" t="s">
        <v>573</v>
      </c>
      <c r="B541">
        <v>45735</v>
      </c>
      <c r="C541" t="s">
        <v>31</v>
      </c>
      <c r="D541" t="s">
        <v>11</v>
      </c>
      <c r="E541" t="s">
        <v>17</v>
      </c>
      <c r="F541" t="s">
        <v>59</v>
      </c>
      <c r="G541" t="s">
        <v>14</v>
      </c>
      <c r="H541">
        <v>26913</v>
      </c>
      <c r="I541">
        <v>25800</v>
      </c>
    </row>
    <row r="542" spans="1:9" x14ac:dyDescent="0.3">
      <c r="A542" t="s">
        <v>574</v>
      </c>
      <c r="B542">
        <v>45736</v>
      </c>
      <c r="C542" t="s">
        <v>21</v>
      </c>
      <c r="D542" t="s">
        <v>11</v>
      </c>
      <c r="E542" t="s">
        <v>22</v>
      </c>
      <c r="F542" t="s">
        <v>33</v>
      </c>
      <c r="G542" t="s">
        <v>19</v>
      </c>
      <c r="H542">
        <v>88640</v>
      </c>
      <c r="I542">
        <v>89700</v>
      </c>
    </row>
    <row r="543" spans="1:9" x14ac:dyDescent="0.3">
      <c r="A543" t="s">
        <v>575</v>
      </c>
      <c r="B543">
        <v>45736</v>
      </c>
      <c r="C543" t="s">
        <v>21</v>
      </c>
      <c r="D543" t="s">
        <v>11</v>
      </c>
      <c r="E543" t="s">
        <v>22</v>
      </c>
      <c r="F543" t="s">
        <v>18</v>
      </c>
      <c r="G543" t="s">
        <v>19</v>
      </c>
      <c r="H543">
        <v>103155</v>
      </c>
      <c r="I543">
        <v>100700</v>
      </c>
    </row>
    <row r="544" spans="1:9" x14ac:dyDescent="0.3">
      <c r="A544" t="s">
        <v>576</v>
      </c>
      <c r="B544">
        <v>45736</v>
      </c>
      <c r="C544" t="s">
        <v>31</v>
      </c>
      <c r="D544" t="s">
        <v>11</v>
      </c>
      <c r="E544" t="s">
        <v>17</v>
      </c>
      <c r="F544" t="s">
        <v>37</v>
      </c>
      <c r="G544" t="s">
        <v>14</v>
      </c>
      <c r="H544">
        <v>182444</v>
      </c>
      <c r="I544">
        <v>163800</v>
      </c>
    </row>
    <row r="545" spans="1:9" x14ac:dyDescent="0.3">
      <c r="A545" t="s">
        <v>577</v>
      </c>
      <c r="B545">
        <v>45736</v>
      </c>
      <c r="C545" t="s">
        <v>55</v>
      </c>
      <c r="D545" t="s">
        <v>11</v>
      </c>
      <c r="E545" t="s">
        <v>37</v>
      </c>
      <c r="F545" t="s">
        <v>39</v>
      </c>
      <c r="G545" t="s">
        <v>19</v>
      </c>
      <c r="H545">
        <v>14127</v>
      </c>
      <c r="I545">
        <v>12600</v>
      </c>
    </row>
    <row r="546" spans="1:9" x14ac:dyDescent="0.3">
      <c r="A546" t="s">
        <v>578</v>
      </c>
      <c r="B546">
        <v>45737</v>
      </c>
      <c r="C546" t="s">
        <v>62</v>
      </c>
      <c r="D546" t="s">
        <v>11</v>
      </c>
      <c r="E546" t="s">
        <v>22</v>
      </c>
      <c r="F546" t="s">
        <v>39</v>
      </c>
      <c r="G546" t="s">
        <v>19</v>
      </c>
      <c r="H546">
        <v>56922</v>
      </c>
      <c r="I546">
        <v>46600</v>
      </c>
    </row>
    <row r="547" spans="1:9" x14ac:dyDescent="0.3">
      <c r="A547" t="s">
        <v>579</v>
      </c>
      <c r="B547">
        <v>45737</v>
      </c>
      <c r="C547" t="s">
        <v>62</v>
      </c>
      <c r="D547" t="s">
        <v>11</v>
      </c>
      <c r="E547" t="s">
        <v>22</v>
      </c>
      <c r="F547" t="s">
        <v>18</v>
      </c>
      <c r="G547" t="s">
        <v>19</v>
      </c>
      <c r="H547">
        <v>67496</v>
      </c>
      <c r="I547">
        <v>67900</v>
      </c>
    </row>
    <row r="548" spans="1:9" x14ac:dyDescent="0.3">
      <c r="A548" t="s">
        <v>580</v>
      </c>
      <c r="B548">
        <v>45737</v>
      </c>
      <c r="C548" t="s">
        <v>36</v>
      </c>
      <c r="D548" t="s">
        <v>11</v>
      </c>
      <c r="E548" t="s">
        <v>37</v>
      </c>
      <c r="F548" t="s">
        <v>37</v>
      </c>
      <c r="G548" t="s">
        <v>14</v>
      </c>
      <c r="H548">
        <v>202636</v>
      </c>
      <c r="I548">
        <v>171600</v>
      </c>
    </row>
    <row r="549" spans="1:9" x14ac:dyDescent="0.3">
      <c r="A549" t="s">
        <v>581</v>
      </c>
      <c r="B549">
        <v>45737</v>
      </c>
      <c r="C549" t="s">
        <v>36</v>
      </c>
      <c r="D549" t="s">
        <v>11</v>
      </c>
      <c r="E549" t="s">
        <v>37</v>
      </c>
      <c r="F549" t="s">
        <v>23</v>
      </c>
      <c r="G549" t="s">
        <v>14</v>
      </c>
      <c r="H549">
        <v>113286</v>
      </c>
      <c r="I549">
        <v>109200</v>
      </c>
    </row>
    <row r="550" spans="1:9" x14ac:dyDescent="0.3">
      <c r="A550" t="s">
        <v>582</v>
      </c>
      <c r="B550">
        <v>45737</v>
      </c>
      <c r="C550" t="s">
        <v>31</v>
      </c>
      <c r="D550" t="s">
        <v>11</v>
      </c>
      <c r="E550" t="s">
        <v>17</v>
      </c>
      <c r="F550" t="s">
        <v>33</v>
      </c>
      <c r="G550" t="s">
        <v>19</v>
      </c>
      <c r="H550">
        <v>52924</v>
      </c>
      <c r="I550">
        <v>51500</v>
      </c>
    </row>
    <row r="551" spans="1:9" x14ac:dyDescent="0.3">
      <c r="A551" t="s">
        <v>583</v>
      </c>
      <c r="B551">
        <v>45737</v>
      </c>
      <c r="C551" t="s">
        <v>31</v>
      </c>
      <c r="D551" t="s">
        <v>11</v>
      </c>
      <c r="E551" t="s">
        <v>17</v>
      </c>
      <c r="F551" t="s">
        <v>59</v>
      </c>
      <c r="G551" t="s">
        <v>14</v>
      </c>
      <c r="H551">
        <v>52833</v>
      </c>
      <c r="I551">
        <v>54500</v>
      </c>
    </row>
    <row r="552" spans="1:9" x14ac:dyDescent="0.3">
      <c r="A552" t="s">
        <v>584</v>
      </c>
      <c r="B552">
        <v>45738</v>
      </c>
      <c r="C552" t="s">
        <v>62</v>
      </c>
      <c r="D552" t="s">
        <v>11</v>
      </c>
      <c r="E552" t="s">
        <v>22</v>
      </c>
      <c r="F552" t="s">
        <v>12</v>
      </c>
      <c r="G552" t="s">
        <v>14</v>
      </c>
      <c r="H552">
        <v>247277</v>
      </c>
      <c r="I552">
        <v>205600</v>
      </c>
    </row>
    <row r="553" spans="1:9" x14ac:dyDescent="0.3">
      <c r="A553" t="s">
        <v>585</v>
      </c>
      <c r="B553">
        <v>45738</v>
      </c>
      <c r="C553" t="s">
        <v>10</v>
      </c>
      <c r="D553" t="s">
        <v>11</v>
      </c>
      <c r="E553" t="s">
        <v>12</v>
      </c>
      <c r="F553" t="s">
        <v>42</v>
      </c>
      <c r="G553" t="s">
        <v>19</v>
      </c>
      <c r="H553">
        <v>110930</v>
      </c>
      <c r="I553">
        <v>116400</v>
      </c>
    </row>
    <row r="554" spans="1:9" x14ac:dyDescent="0.3">
      <c r="A554" t="s">
        <v>586</v>
      </c>
      <c r="B554">
        <v>45738</v>
      </c>
      <c r="C554" t="s">
        <v>10</v>
      </c>
      <c r="D554" t="s">
        <v>11</v>
      </c>
      <c r="E554" t="s">
        <v>12</v>
      </c>
      <c r="F554" t="s">
        <v>26</v>
      </c>
      <c r="G554" t="s">
        <v>14</v>
      </c>
      <c r="H554">
        <v>96684</v>
      </c>
      <c r="I554">
        <v>114500</v>
      </c>
    </row>
    <row r="555" spans="1:9" x14ac:dyDescent="0.3">
      <c r="A555" t="s">
        <v>587</v>
      </c>
      <c r="B555">
        <v>45738</v>
      </c>
      <c r="C555" t="s">
        <v>16</v>
      </c>
      <c r="D555" t="s">
        <v>11</v>
      </c>
      <c r="E555" t="s">
        <v>17</v>
      </c>
      <c r="F555" t="s">
        <v>39</v>
      </c>
      <c r="G555" t="s">
        <v>19</v>
      </c>
      <c r="H555">
        <v>45257</v>
      </c>
      <c r="I555">
        <v>49600</v>
      </c>
    </row>
    <row r="556" spans="1:9" x14ac:dyDescent="0.3">
      <c r="A556" t="s">
        <v>588</v>
      </c>
      <c r="B556">
        <v>45738</v>
      </c>
      <c r="C556" t="s">
        <v>16</v>
      </c>
      <c r="D556" t="s">
        <v>11</v>
      </c>
      <c r="E556" t="s">
        <v>17</v>
      </c>
      <c r="F556" t="s">
        <v>33</v>
      </c>
      <c r="G556" t="s">
        <v>19</v>
      </c>
      <c r="H556">
        <v>93457</v>
      </c>
      <c r="I556">
        <v>93700</v>
      </c>
    </row>
    <row r="557" spans="1:9" x14ac:dyDescent="0.3">
      <c r="A557" t="s">
        <v>589</v>
      </c>
      <c r="B557">
        <v>45738</v>
      </c>
      <c r="C557" t="s">
        <v>16</v>
      </c>
      <c r="D557" t="s">
        <v>11</v>
      </c>
      <c r="E557" t="s">
        <v>17</v>
      </c>
      <c r="F557" t="s">
        <v>26</v>
      </c>
      <c r="G557" t="s">
        <v>14</v>
      </c>
      <c r="H557">
        <v>57982</v>
      </c>
      <c r="I557">
        <v>52500</v>
      </c>
    </row>
    <row r="558" spans="1:9" x14ac:dyDescent="0.3">
      <c r="A558" t="s">
        <v>590</v>
      </c>
      <c r="B558">
        <v>45738</v>
      </c>
      <c r="C558" t="s">
        <v>21</v>
      </c>
      <c r="D558" t="s">
        <v>11</v>
      </c>
      <c r="E558" t="s">
        <v>22</v>
      </c>
      <c r="F558" t="s">
        <v>18</v>
      </c>
      <c r="G558" t="s">
        <v>19</v>
      </c>
      <c r="H558">
        <v>91370</v>
      </c>
      <c r="I558">
        <v>77900</v>
      </c>
    </row>
    <row r="559" spans="1:9" x14ac:dyDescent="0.3">
      <c r="A559" t="s">
        <v>591</v>
      </c>
      <c r="B559">
        <v>45738</v>
      </c>
      <c r="C559" t="s">
        <v>31</v>
      </c>
      <c r="D559" t="s">
        <v>11</v>
      </c>
      <c r="E559" t="s">
        <v>17</v>
      </c>
      <c r="F559" t="s">
        <v>46</v>
      </c>
      <c r="G559" t="s">
        <v>19</v>
      </c>
      <c r="H559">
        <v>50849</v>
      </c>
      <c r="I559">
        <v>51700</v>
      </c>
    </row>
    <row r="560" spans="1:9" x14ac:dyDescent="0.3">
      <c r="A560" t="s">
        <v>592</v>
      </c>
      <c r="B560">
        <v>45739</v>
      </c>
      <c r="C560" t="s">
        <v>62</v>
      </c>
      <c r="D560" t="s">
        <v>11</v>
      </c>
      <c r="E560" t="s">
        <v>22</v>
      </c>
      <c r="F560" t="s">
        <v>42</v>
      </c>
      <c r="G560" t="s">
        <v>19</v>
      </c>
      <c r="H560">
        <v>116453</v>
      </c>
      <c r="I560">
        <v>113500</v>
      </c>
    </row>
    <row r="561" spans="1:9" x14ac:dyDescent="0.3">
      <c r="A561" t="s">
        <v>593</v>
      </c>
      <c r="B561">
        <v>45739</v>
      </c>
      <c r="C561" t="s">
        <v>62</v>
      </c>
      <c r="D561" t="s">
        <v>11</v>
      </c>
      <c r="E561" t="s">
        <v>22</v>
      </c>
      <c r="F561" t="s">
        <v>26</v>
      </c>
      <c r="G561" t="s">
        <v>14</v>
      </c>
      <c r="H561">
        <v>205699</v>
      </c>
      <c r="I561">
        <v>207400</v>
      </c>
    </row>
    <row r="562" spans="1:9" x14ac:dyDescent="0.3">
      <c r="A562" t="s">
        <v>594</v>
      </c>
      <c r="B562">
        <v>45739</v>
      </c>
      <c r="C562" t="s">
        <v>36</v>
      </c>
      <c r="D562" t="s">
        <v>11</v>
      </c>
      <c r="E562" t="s">
        <v>37</v>
      </c>
      <c r="F562" t="s">
        <v>42</v>
      </c>
      <c r="G562" t="s">
        <v>19</v>
      </c>
      <c r="H562">
        <v>33266</v>
      </c>
      <c r="I562">
        <v>33300</v>
      </c>
    </row>
    <row r="563" spans="1:9" x14ac:dyDescent="0.3">
      <c r="A563" t="s">
        <v>595</v>
      </c>
      <c r="B563">
        <v>45739</v>
      </c>
      <c r="C563" t="s">
        <v>36</v>
      </c>
      <c r="D563" t="s">
        <v>11</v>
      </c>
      <c r="E563" t="s">
        <v>37</v>
      </c>
      <c r="F563" t="s">
        <v>59</v>
      </c>
      <c r="G563" t="s">
        <v>14</v>
      </c>
      <c r="H563">
        <v>132022</v>
      </c>
      <c r="I563">
        <v>103300</v>
      </c>
    </row>
    <row r="564" spans="1:9" x14ac:dyDescent="0.3">
      <c r="A564" t="s">
        <v>596</v>
      </c>
      <c r="B564">
        <v>45739</v>
      </c>
      <c r="C564" t="s">
        <v>25</v>
      </c>
      <c r="D564" t="s">
        <v>11</v>
      </c>
      <c r="E564" t="s">
        <v>22</v>
      </c>
      <c r="F564" t="s">
        <v>23</v>
      </c>
      <c r="G564" t="s">
        <v>14</v>
      </c>
      <c r="H564">
        <v>179171</v>
      </c>
      <c r="I564">
        <v>187700</v>
      </c>
    </row>
    <row r="565" spans="1:9" x14ac:dyDescent="0.3">
      <c r="A565" t="s">
        <v>597</v>
      </c>
      <c r="B565">
        <v>45739</v>
      </c>
      <c r="C565" t="s">
        <v>25</v>
      </c>
      <c r="D565" t="s">
        <v>11</v>
      </c>
      <c r="E565" t="s">
        <v>22</v>
      </c>
      <c r="F565" t="s">
        <v>23</v>
      </c>
      <c r="G565" t="s">
        <v>14</v>
      </c>
      <c r="H565">
        <v>106609</v>
      </c>
      <c r="I565">
        <v>106500</v>
      </c>
    </row>
    <row r="566" spans="1:9" x14ac:dyDescent="0.3">
      <c r="A566" t="s">
        <v>598</v>
      </c>
      <c r="B566">
        <v>45739</v>
      </c>
      <c r="C566" t="s">
        <v>31</v>
      </c>
      <c r="D566" t="s">
        <v>11</v>
      </c>
      <c r="E566" t="s">
        <v>17</v>
      </c>
      <c r="F566" t="s">
        <v>33</v>
      </c>
      <c r="G566" t="s">
        <v>19</v>
      </c>
      <c r="H566">
        <v>34733</v>
      </c>
      <c r="I566">
        <v>35500</v>
      </c>
    </row>
    <row r="567" spans="1:9" x14ac:dyDescent="0.3">
      <c r="A567" t="s">
        <v>599</v>
      </c>
      <c r="B567">
        <v>45740</v>
      </c>
      <c r="C567" t="s">
        <v>62</v>
      </c>
      <c r="D567" t="s">
        <v>11</v>
      </c>
      <c r="E567" t="s">
        <v>22</v>
      </c>
      <c r="F567" t="s">
        <v>18</v>
      </c>
      <c r="G567" t="s">
        <v>19</v>
      </c>
      <c r="H567">
        <v>16890</v>
      </c>
      <c r="I567">
        <v>19400</v>
      </c>
    </row>
    <row r="568" spans="1:9" x14ac:dyDescent="0.3">
      <c r="A568" t="s">
        <v>600</v>
      </c>
      <c r="B568">
        <v>45740</v>
      </c>
      <c r="C568" t="s">
        <v>10</v>
      </c>
      <c r="D568" t="s">
        <v>11</v>
      </c>
      <c r="E568" t="s">
        <v>12</v>
      </c>
      <c r="F568" t="s">
        <v>26</v>
      </c>
      <c r="G568" t="s">
        <v>14</v>
      </c>
      <c r="H568">
        <v>176298</v>
      </c>
      <c r="I568">
        <v>202900</v>
      </c>
    </row>
    <row r="569" spans="1:9" x14ac:dyDescent="0.3">
      <c r="A569" t="s">
        <v>601</v>
      </c>
      <c r="B569">
        <v>45740</v>
      </c>
      <c r="C569" t="s">
        <v>16</v>
      </c>
      <c r="D569" t="s">
        <v>11</v>
      </c>
      <c r="E569" t="s">
        <v>17</v>
      </c>
      <c r="F569" t="s">
        <v>23</v>
      </c>
      <c r="G569" t="s">
        <v>14</v>
      </c>
      <c r="H569">
        <v>244191</v>
      </c>
      <c r="I569">
        <v>212200</v>
      </c>
    </row>
    <row r="570" spans="1:9" x14ac:dyDescent="0.3">
      <c r="A570" t="s">
        <v>602</v>
      </c>
      <c r="B570">
        <v>45740</v>
      </c>
      <c r="C570" t="s">
        <v>36</v>
      </c>
      <c r="D570" t="s">
        <v>11</v>
      </c>
      <c r="E570" t="s">
        <v>37</v>
      </c>
      <c r="F570" t="s">
        <v>12</v>
      </c>
      <c r="G570" t="s">
        <v>14</v>
      </c>
      <c r="H570">
        <v>61533</v>
      </c>
      <c r="I570">
        <v>54200</v>
      </c>
    </row>
    <row r="571" spans="1:9" x14ac:dyDescent="0.3">
      <c r="A571" t="s">
        <v>603</v>
      </c>
      <c r="B571">
        <v>45740</v>
      </c>
      <c r="C571" t="s">
        <v>21</v>
      </c>
      <c r="D571" t="s">
        <v>11</v>
      </c>
      <c r="E571" t="s">
        <v>22</v>
      </c>
      <c r="F571" t="s">
        <v>46</v>
      </c>
      <c r="G571" t="s">
        <v>19</v>
      </c>
      <c r="H571">
        <v>71512</v>
      </c>
      <c r="I571">
        <v>64100</v>
      </c>
    </row>
    <row r="572" spans="1:9" x14ac:dyDescent="0.3">
      <c r="A572" t="s">
        <v>604</v>
      </c>
      <c r="B572">
        <v>45740</v>
      </c>
      <c r="C572" t="s">
        <v>21</v>
      </c>
      <c r="D572" t="s">
        <v>11</v>
      </c>
      <c r="E572" t="s">
        <v>22</v>
      </c>
      <c r="F572" t="s">
        <v>18</v>
      </c>
      <c r="G572" t="s">
        <v>19</v>
      </c>
      <c r="H572">
        <v>104540</v>
      </c>
      <c r="I572">
        <v>102800</v>
      </c>
    </row>
    <row r="573" spans="1:9" x14ac:dyDescent="0.3">
      <c r="A573" t="s">
        <v>605</v>
      </c>
      <c r="B573">
        <v>45740</v>
      </c>
      <c r="C573" t="s">
        <v>25</v>
      </c>
      <c r="D573" t="s">
        <v>11</v>
      </c>
      <c r="E573" t="s">
        <v>22</v>
      </c>
      <c r="F573" t="s">
        <v>18</v>
      </c>
      <c r="G573" t="s">
        <v>19</v>
      </c>
      <c r="H573">
        <v>17665</v>
      </c>
      <c r="I573">
        <v>18600</v>
      </c>
    </row>
    <row r="574" spans="1:9" x14ac:dyDescent="0.3">
      <c r="A574" t="s">
        <v>606</v>
      </c>
      <c r="B574">
        <v>45740</v>
      </c>
      <c r="C574" t="s">
        <v>31</v>
      </c>
      <c r="D574" t="s">
        <v>11</v>
      </c>
      <c r="E574" t="s">
        <v>17</v>
      </c>
      <c r="F574" t="s">
        <v>56</v>
      </c>
      <c r="G574" t="s">
        <v>19</v>
      </c>
      <c r="H574">
        <v>86803</v>
      </c>
      <c r="I574">
        <v>89600</v>
      </c>
    </row>
    <row r="575" spans="1:9" x14ac:dyDescent="0.3">
      <c r="A575" t="s">
        <v>607</v>
      </c>
      <c r="B575">
        <v>45741</v>
      </c>
      <c r="C575" t="s">
        <v>62</v>
      </c>
      <c r="D575" t="s">
        <v>11</v>
      </c>
      <c r="E575" t="s">
        <v>22</v>
      </c>
      <c r="F575" t="s">
        <v>18</v>
      </c>
      <c r="G575" t="s">
        <v>19</v>
      </c>
      <c r="H575">
        <v>23501</v>
      </c>
      <c r="I575">
        <v>22800</v>
      </c>
    </row>
    <row r="576" spans="1:9" x14ac:dyDescent="0.3">
      <c r="A576" t="s">
        <v>608</v>
      </c>
      <c r="B576">
        <v>45741</v>
      </c>
      <c r="C576" t="s">
        <v>16</v>
      </c>
      <c r="D576" t="s">
        <v>11</v>
      </c>
      <c r="E576" t="s">
        <v>17</v>
      </c>
      <c r="F576" t="s">
        <v>39</v>
      </c>
      <c r="G576" t="s">
        <v>19</v>
      </c>
      <c r="H576">
        <v>46487</v>
      </c>
      <c r="I576">
        <v>49300</v>
      </c>
    </row>
    <row r="577" spans="1:9" x14ac:dyDescent="0.3">
      <c r="A577" t="s">
        <v>609</v>
      </c>
      <c r="B577">
        <v>45741</v>
      </c>
      <c r="C577" t="s">
        <v>21</v>
      </c>
      <c r="D577" t="s">
        <v>11</v>
      </c>
      <c r="E577" t="s">
        <v>22</v>
      </c>
      <c r="F577" t="s">
        <v>42</v>
      </c>
      <c r="G577" t="s">
        <v>19</v>
      </c>
      <c r="H577">
        <v>24029</v>
      </c>
      <c r="I577">
        <v>22000</v>
      </c>
    </row>
    <row r="578" spans="1:9" x14ac:dyDescent="0.3">
      <c r="A578" t="s">
        <v>610</v>
      </c>
      <c r="B578">
        <v>45741</v>
      </c>
      <c r="C578" t="s">
        <v>21</v>
      </c>
      <c r="D578" t="s">
        <v>11</v>
      </c>
      <c r="E578" t="s">
        <v>22</v>
      </c>
      <c r="F578" t="s">
        <v>26</v>
      </c>
      <c r="G578" t="s">
        <v>14</v>
      </c>
      <c r="H578">
        <v>129178</v>
      </c>
      <c r="I578">
        <v>114200</v>
      </c>
    </row>
    <row r="579" spans="1:9" x14ac:dyDescent="0.3">
      <c r="A579" t="s">
        <v>611</v>
      </c>
      <c r="B579">
        <v>45741</v>
      </c>
      <c r="C579" t="s">
        <v>25</v>
      </c>
      <c r="D579" t="s">
        <v>11</v>
      </c>
      <c r="E579" t="s">
        <v>22</v>
      </c>
      <c r="F579" t="s">
        <v>56</v>
      </c>
      <c r="G579" t="s">
        <v>19</v>
      </c>
      <c r="H579">
        <v>53582</v>
      </c>
      <c r="I579">
        <v>48200</v>
      </c>
    </row>
    <row r="580" spans="1:9" x14ac:dyDescent="0.3">
      <c r="A580" t="s">
        <v>612</v>
      </c>
      <c r="B580">
        <v>45741</v>
      </c>
      <c r="C580" t="s">
        <v>25</v>
      </c>
      <c r="D580" t="s">
        <v>11</v>
      </c>
      <c r="E580" t="s">
        <v>22</v>
      </c>
      <c r="F580" t="s">
        <v>59</v>
      </c>
      <c r="G580" t="s">
        <v>14</v>
      </c>
      <c r="H580">
        <v>242022</v>
      </c>
      <c r="I580">
        <v>187300</v>
      </c>
    </row>
    <row r="581" spans="1:9" x14ac:dyDescent="0.3">
      <c r="A581" t="s">
        <v>613</v>
      </c>
      <c r="B581">
        <v>45742</v>
      </c>
      <c r="C581" t="s">
        <v>62</v>
      </c>
      <c r="D581" t="s">
        <v>11</v>
      </c>
      <c r="E581" t="s">
        <v>22</v>
      </c>
      <c r="F581" t="s">
        <v>18</v>
      </c>
      <c r="G581" t="s">
        <v>19</v>
      </c>
      <c r="H581">
        <v>19039</v>
      </c>
      <c r="I581">
        <v>17900</v>
      </c>
    </row>
    <row r="582" spans="1:9" x14ac:dyDescent="0.3">
      <c r="A582" t="s">
        <v>614</v>
      </c>
      <c r="B582">
        <v>45742</v>
      </c>
      <c r="C582" t="s">
        <v>10</v>
      </c>
      <c r="D582" t="s">
        <v>11</v>
      </c>
      <c r="E582" t="s">
        <v>12</v>
      </c>
      <c r="F582" t="s">
        <v>33</v>
      </c>
      <c r="G582" t="s">
        <v>19</v>
      </c>
      <c r="H582">
        <v>89365</v>
      </c>
      <c r="I582">
        <v>81200</v>
      </c>
    </row>
    <row r="583" spans="1:9" x14ac:dyDescent="0.3">
      <c r="A583" t="s">
        <v>615</v>
      </c>
      <c r="B583">
        <v>45742</v>
      </c>
      <c r="C583" t="s">
        <v>10</v>
      </c>
      <c r="D583" t="s">
        <v>11</v>
      </c>
      <c r="E583" t="s">
        <v>12</v>
      </c>
      <c r="F583" t="s">
        <v>13</v>
      </c>
      <c r="G583" t="s">
        <v>14</v>
      </c>
      <c r="H583">
        <v>139117</v>
      </c>
      <c r="I583">
        <v>148100</v>
      </c>
    </row>
    <row r="584" spans="1:9" x14ac:dyDescent="0.3">
      <c r="A584" t="s">
        <v>616</v>
      </c>
      <c r="B584">
        <v>45742</v>
      </c>
      <c r="C584" t="s">
        <v>16</v>
      </c>
      <c r="D584" t="s">
        <v>11</v>
      </c>
      <c r="E584" t="s">
        <v>17</v>
      </c>
      <c r="F584" t="s">
        <v>59</v>
      </c>
      <c r="G584" t="s">
        <v>14</v>
      </c>
      <c r="H584">
        <v>57418</v>
      </c>
      <c r="I584">
        <v>63000</v>
      </c>
    </row>
    <row r="585" spans="1:9" x14ac:dyDescent="0.3">
      <c r="A585" t="s">
        <v>617</v>
      </c>
      <c r="B585">
        <v>45742</v>
      </c>
      <c r="C585" t="s">
        <v>36</v>
      </c>
      <c r="D585" t="s">
        <v>11</v>
      </c>
      <c r="E585" t="s">
        <v>37</v>
      </c>
      <c r="F585" t="s">
        <v>23</v>
      </c>
      <c r="G585" t="s">
        <v>14</v>
      </c>
      <c r="H585">
        <v>27811</v>
      </c>
      <c r="I585">
        <v>25600</v>
      </c>
    </row>
    <row r="586" spans="1:9" x14ac:dyDescent="0.3">
      <c r="A586" t="s">
        <v>618</v>
      </c>
      <c r="B586">
        <v>45742</v>
      </c>
      <c r="C586" t="s">
        <v>31</v>
      </c>
      <c r="D586" t="s">
        <v>11</v>
      </c>
      <c r="E586" t="s">
        <v>17</v>
      </c>
      <c r="F586" t="s">
        <v>42</v>
      </c>
      <c r="G586" t="s">
        <v>19</v>
      </c>
      <c r="H586">
        <v>22573</v>
      </c>
      <c r="I586">
        <v>21500</v>
      </c>
    </row>
    <row r="587" spans="1:9" x14ac:dyDescent="0.3">
      <c r="A587" t="s">
        <v>619</v>
      </c>
      <c r="B587">
        <v>45742</v>
      </c>
      <c r="C587" t="s">
        <v>31</v>
      </c>
      <c r="D587" t="s">
        <v>11</v>
      </c>
      <c r="E587" t="s">
        <v>17</v>
      </c>
      <c r="F587" t="s">
        <v>18</v>
      </c>
      <c r="G587" t="s">
        <v>19</v>
      </c>
      <c r="H587">
        <v>97113</v>
      </c>
      <c r="I587">
        <v>88000</v>
      </c>
    </row>
    <row r="588" spans="1:9" x14ac:dyDescent="0.3">
      <c r="A588" t="s">
        <v>620</v>
      </c>
      <c r="B588">
        <v>45742</v>
      </c>
      <c r="C588" t="s">
        <v>31</v>
      </c>
      <c r="D588" t="s">
        <v>11</v>
      </c>
      <c r="E588" t="s">
        <v>17</v>
      </c>
      <c r="F588" t="s">
        <v>33</v>
      </c>
      <c r="G588" t="s">
        <v>19</v>
      </c>
      <c r="H588">
        <v>101394</v>
      </c>
      <c r="I588">
        <v>107200</v>
      </c>
    </row>
    <row r="589" spans="1:9" x14ac:dyDescent="0.3">
      <c r="A589" t="s">
        <v>621</v>
      </c>
      <c r="B589">
        <v>45743</v>
      </c>
      <c r="C589" t="s">
        <v>62</v>
      </c>
      <c r="D589" t="s">
        <v>11</v>
      </c>
      <c r="E589" t="s">
        <v>22</v>
      </c>
      <c r="F589" t="s">
        <v>37</v>
      </c>
      <c r="G589" t="s">
        <v>14</v>
      </c>
      <c r="H589">
        <v>238372</v>
      </c>
      <c r="I589">
        <v>212500</v>
      </c>
    </row>
    <row r="590" spans="1:9" x14ac:dyDescent="0.3">
      <c r="A590" t="s">
        <v>622</v>
      </c>
      <c r="B590">
        <v>45743</v>
      </c>
      <c r="C590" t="s">
        <v>16</v>
      </c>
      <c r="D590" t="s">
        <v>11</v>
      </c>
      <c r="E590" t="s">
        <v>17</v>
      </c>
      <c r="F590" t="s">
        <v>42</v>
      </c>
      <c r="G590" t="s">
        <v>19</v>
      </c>
      <c r="H590">
        <v>115159</v>
      </c>
      <c r="I590">
        <v>124400</v>
      </c>
    </row>
    <row r="591" spans="1:9" x14ac:dyDescent="0.3">
      <c r="A591" t="s">
        <v>623</v>
      </c>
      <c r="B591">
        <v>45743</v>
      </c>
      <c r="C591" t="s">
        <v>16</v>
      </c>
      <c r="D591" t="s">
        <v>11</v>
      </c>
      <c r="E591" t="s">
        <v>17</v>
      </c>
      <c r="F591" t="s">
        <v>59</v>
      </c>
      <c r="G591" t="s">
        <v>14</v>
      </c>
      <c r="H591">
        <v>176095</v>
      </c>
      <c r="I591">
        <v>163700</v>
      </c>
    </row>
    <row r="592" spans="1:9" x14ac:dyDescent="0.3">
      <c r="A592" t="s">
        <v>624</v>
      </c>
      <c r="B592">
        <v>45743</v>
      </c>
      <c r="C592" t="s">
        <v>36</v>
      </c>
      <c r="D592" t="s">
        <v>11</v>
      </c>
      <c r="E592" t="s">
        <v>37</v>
      </c>
      <c r="F592" t="s">
        <v>39</v>
      </c>
      <c r="G592" t="s">
        <v>19</v>
      </c>
      <c r="H592">
        <v>57459</v>
      </c>
      <c r="I592">
        <v>59500</v>
      </c>
    </row>
    <row r="593" spans="1:9" x14ac:dyDescent="0.3">
      <c r="A593" t="s">
        <v>625</v>
      </c>
      <c r="B593">
        <v>45743</v>
      </c>
      <c r="C593" t="s">
        <v>21</v>
      </c>
      <c r="D593" t="s">
        <v>11</v>
      </c>
      <c r="E593" t="s">
        <v>22</v>
      </c>
      <c r="F593" t="s">
        <v>59</v>
      </c>
      <c r="G593" t="s">
        <v>14</v>
      </c>
      <c r="H593">
        <v>233117</v>
      </c>
      <c r="I593">
        <v>225100</v>
      </c>
    </row>
    <row r="594" spans="1:9" x14ac:dyDescent="0.3">
      <c r="A594" t="s">
        <v>626</v>
      </c>
      <c r="B594">
        <v>45743</v>
      </c>
      <c r="C594" t="s">
        <v>55</v>
      </c>
      <c r="D594" t="s">
        <v>11</v>
      </c>
      <c r="E594" t="s">
        <v>37</v>
      </c>
      <c r="F594" t="s">
        <v>37</v>
      </c>
      <c r="G594" t="s">
        <v>14</v>
      </c>
      <c r="H594">
        <v>165756</v>
      </c>
      <c r="I594">
        <v>143300</v>
      </c>
    </row>
    <row r="595" spans="1:9" x14ac:dyDescent="0.3">
      <c r="A595" t="s">
        <v>627</v>
      </c>
      <c r="B595">
        <v>45744</v>
      </c>
      <c r="C595" t="s">
        <v>10</v>
      </c>
      <c r="D595" t="s">
        <v>11</v>
      </c>
      <c r="E595" t="s">
        <v>12</v>
      </c>
      <c r="F595" t="s">
        <v>37</v>
      </c>
      <c r="G595" t="s">
        <v>14</v>
      </c>
      <c r="H595">
        <v>148101</v>
      </c>
      <c r="I595">
        <v>156600</v>
      </c>
    </row>
    <row r="596" spans="1:9" x14ac:dyDescent="0.3">
      <c r="A596" t="s">
        <v>628</v>
      </c>
      <c r="B596">
        <v>45744</v>
      </c>
      <c r="C596" t="s">
        <v>10</v>
      </c>
      <c r="D596" t="s">
        <v>11</v>
      </c>
      <c r="E596" t="s">
        <v>12</v>
      </c>
      <c r="F596" t="s">
        <v>23</v>
      </c>
      <c r="G596" t="s">
        <v>14</v>
      </c>
      <c r="H596">
        <v>146835</v>
      </c>
      <c r="I596">
        <v>166200</v>
      </c>
    </row>
    <row r="597" spans="1:9" x14ac:dyDescent="0.3">
      <c r="A597" t="s">
        <v>629</v>
      </c>
      <c r="B597">
        <v>45744</v>
      </c>
      <c r="C597" t="s">
        <v>16</v>
      </c>
      <c r="D597" t="s">
        <v>11</v>
      </c>
      <c r="E597" t="s">
        <v>17</v>
      </c>
      <c r="F597" t="s">
        <v>12</v>
      </c>
      <c r="G597" t="s">
        <v>14</v>
      </c>
      <c r="H597">
        <v>54281</v>
      </c>
      <c r="I597">
        <v>56300</v>
      </c>
    </row>
    <row r="598" spans="1:9" x14ac:dyDescent="0.3">
      <c r="A598" t="s">
        <v>630</v>
      </c>
      <c r="B598">
        <v>45744</v>
      </c>
      <c r="C598" t="s">
        <v>36</v>
      </c>
      <c r="D598" t="s">
        <v>11</v>
      </c>
      <c r="E598" t="s">
        <v>37</v>
      </c>
      <c r="F598" t="s">
        <v>23</v>
      </c>
      <c r="G598" t="s">
        <v>14</v>
      </c>
      <c r="H598">
        <v>126710</v>
      </c>
      <c r="I598">
        <v>135800</v>
      </c>
    </row>
    <row r="599" spans="1:9" x14ac:dyDescent="0.3">
      <c r="A599" t="s">
        <v>631</v>
      </c>
      <c r="B599">
        <v>45744</v>
      </c>
      <c r="C599" t="s">
        <v>21</v>
      </c>
      <c r="D599" t="s">
        <v>11</v>
      </c>
      <c r="E599" t="s">
        <v>22</v>
      </c>
      <c r="F599" t="s">
        <v>42</v>
      </c>
      <c r="G599" t="s">
        <v>19</v>
      </c>
      <c r="H599">
        <v>23342</v>
      </c>
      <c r="I599">
        <v>21700</v>
      </c>
    </row>
    <row r="600" spans="1:9" x14ac:dyDescent="0.3">
      <c r="A600" t="s">
        <v>632</v>
      </c>
      <c r="B600">
        <v>45744</v>
      </c>
      <c r="C600" t="s">
        <v>55</v>
      </c>
      <c r="D600" t="s">
        <v>11</v>
      </c>
      <c r="E600" t="s">
        <v>37</v>
      </c>
      <c r="F600" t="s">
        <v>42</v>
      </c>
      <c r="G600" t="s">
        <v>19</v>
      </c>
      <c r="H600">
        <v>14620</v>
      </c>
      <c r="I600">
        <v>11000</v>
      </c>
    </row>
    <row r="601" spans="1:9" x14ac:dyDescent="0.3">
      <c r="A601" t="s">
        <v>633</v>
      </c>
      <c r="B601">
        <v>45744</v>
      </c>
      <c r="C601" t="s">
        <v>55</v>
      </c>
      <c r="D601" t="s">
        <v>11</v>
      </c>
      <c r="E601" t="s">
        <v>37</v>
      </c>
      <c r="F601" t="s">
        <v>26</v>
      </c>
      <c r="G601" t="s">
        <v>14</v>
      </c>
      <c r="H601">
        <v>153275</v>
      </c>
      <c r="I601">
        <v>158000</v>
      </c>
    </row>
    <row r="602" spans="1:9" x14ac:dyDescent="0.3">
      <c r="A602" t="s">
        <v>634</v>
      </c>
      <c r="B602">
        <v>45745</v>
      </c>
      <c r="C602" t="s">
        <v>62</v>
      </c>
      <c r="D602" t="s">
        <v>11</v>
      </c>
      <c r="E602" t="s">
        <v>22</v>
      </c>
      <c r="F602" t="s">
        <v>26</v>
      </c>
      <c r="G602" t="s">
        <v>14</v>
      </c>
      <c r="H602">
        <v>160780</v>
      </c>
      <c r="I602">
        <v>168600</v>
      </c>
    </row>
    <row r="603" spans="1:9" x14ac:dyDescent="0.3">
      <c r="A603" t="s">
        <v>635</v>
      </c>
      <c r="B603">
        <v>45745</v>
      </c>
      <c r="C603" t="s">
        <v>10</v>
      </c>
      <c r="D603" t="s">
        <v>11</v>
      </c>
      <c r="E603" t="s">
        <v>12</v>
      </c>
      <c r="F603" t="s">
        <v>56</v>
      </c>
      <c r="G603" t="s">
        <v>19</v>
      </c>
      <c r="H603">
        <v>73009</v>
      </c>
      <c r="I603">
        <v>73700</v>
      </c>
    </row>
    <row r="604" spans="1:9" x14ac:dyDescent="0.3">
      <c r="A604" t="s">
        <v>636</v>
      </c>
      <c r="B604">
        <v>45745</v>
      </c>
      <c r="C604" t="s">
        <v>16</v>
      </c>
      <c r="D604" t="s">
        <v>11</v>
      </c>
      <c r="E604" t="s">
        <v>17</v>
      </c>
      <c r="F604" t="s">
        <v>33</v>
      </c>
      <c r="G604" t="s">
        <v>19</v>
      </c>
      <c r="H604">
        <v>61085</v>
      </c>
      <c r="I604">
        <v>53800</v>
      </c>
    </row>
    <row r="605" spans="1:9" x14ac:dyDescent="0.3">
      <c r="A605" t="s">
        <v>637</v>
      </c>
      <c r="B605">
        <v>45745</v>
      </c>
      <c r="C605" t="s">
        <v>36</v>
      </c>
      <c r="D605" t="s">
        <v>11</v>
      </c>
      <c r="E605" t="s">
        <v>37</v>
      </c>
      <c r="F605" t="s">
        <v>56</v>
      </c>
      <c r="G605" t="s">
        <v>19</v>
      </c>
      <c r="H605">
        <v>20197</v>
      </c>
      <c r="I605">
        <v>21700</v>
      </c>
    </row>
    <row r="606" spans="1:9" x14ac:dyDescent="0.3">
      <c r="A606" t="s">
        <v>638</v>
      </c>
      <c r="B606">
        <v>45745</v>
      </c>
      <c r="C606" t="s">
        <v>36</v>
      </c>
      <c r="D606" t="s">
        <v>11</v>
      </c>
      <c r="E606" t="s">
        <v>37</v>
      </c>
      <c r="F606" t="s">
        <v>13</v>
      </c>
      <c r="G606" t="s">
        <v>14</v>
      </c>
      <c r="H606">
        <v>107060</v>
      </c>
      <c r="I606">
        <v>99800</v>
      </c>
    </row>
    <row r="607" spans="1:9" x14ac:dyDescent="0.3">
      <c r="A607" t="s">
        <v>639</v>
      </c>
      <c r="B607">
        <v>45745</v>
      </c>
      <c r="C607" t="s">
        <v>25</v>
      </c>
      <c r="D607" t="s">
        <v>11</v>
      </c>
      <c r="E607" t="s">
        <v>22</v>
      </c>
      <c r="F607" t="s">
        <v>13</v>
      </c>
      <c r="G607" t="s">
        <v>14</v>
      </c>
      <c r="H607">
        <v>38772</v>
      </c>
      <c r="I607">
        <v>39700</v>
      </c>
    </row>
    <row r="608" spans="1:9" x14ac:dyDescent="0.3">
      <c r="A608" t="s">
        <v>640</v>
      </c>
      <c r="B608">
        <v>45745</v>
      </c>
      <c r="C608" t="s">
        <v>31</v>
      </c>
      <c r="D608" t="s">
        <v>11</v>
      </c>
      <c r="E608" t="s">
        <v>17</v>
      </c>
      <c r="F608" t="s">
        <v>12</v>
      </c>
      <c r="G608" t="s">
        <v>14</v>
      </c>
      <c r="H608">
        <v>136889</v>
      </c>
      <c r="I608">
        <v>143500</v>
      </c>
    </row>
    <row r="609" spans="1:9" x14ac:dyDescent="0.3">
      <c r="A609" t="s">
        <v>641</v>
      </c>
      <c r="B609">
        <v>45746</v>
      </c>
      <c r="C609" t="s">
        <v>62</v>
      </c>
      <c r="D609" t="s">
        <v>11</v>
      </c>
      <c r="E609" t="s">
        <v>22</v>
      </c>
      <c r="F609" t="s">
        <v>23</v>
      </c>
      <c r="G609" t="s">
        <v>14</v>
      </c>
      <c r="H609">
        <v>153880</v>
      </c>
      <c r="I609">
        <v>150500</v>
      </c>
    </row>
    <row r="610" spans="1:9" x14ac:dyDescent="0.3">
      <c r="A610" t="s">
        <v>642</v>
      </c>
      <c r="B610">
        <v>45746</v>
      </c>
      <c r="C610" t="s">
        <v>10</v>
      </c>
      <c r="D610" t="s">
        <v>11</v>
      </c>
      <c r="E610" t="s">
        <v>12</v>
      </c>
      <c r="F610" t="s">
        <v>13</v>
      </c>
      <c r="G610" t="s">
        <v>14</v>
      </c>
      <c r="H610">
        <v>156532</v>
      </c>
      <c r="I610">
        <v>133500</v>
      </c>
    </row>
    <row r="611" spans="1:9" x14ac:dyDescent="0.3">
      <c r="A611" t="s">
        <v>643</v>
      </c>
      <c r="B611">
        <v>45746</v>
      </c>
      <c r="C611" t="s">
        <v>16</v>
      </c>
      <c r="D611" t="s">
        <v>11</v>
      </c>
      <c r="E611" t="s">
        <v>17</v>
      </c>
      <c r="F611" t="s">
        <v>33</v>
      </c>
      <c r="G611" t="s">
        <v>19</v>
      </c>
      <c r="H611">
        <v>102538</v>
      </c>
      <c r="I611">
        <v>99300</v>
      </c>
    </row>
    <row r="612" spans="1:9" x14ac:dyDescent="0.3">
      <c r="A612" t="s">
        <v>644</v>
      </c>
      <c r="B612">
        <v>45746</v>
      </c>
      <c r="C612" t="s">
        <v>16</v>
      </c>
      <c r="D612" t="s">
        <v>11</v>
      </c>
      <c r="E612" t="s">
        <v>17</v>
      </c>
      <c r="F612" t="s">
        <v>59</v>
      </c>
      <c r="G612" t="s">
        <v>14</v>
      </c>
      <c r="H612">
        <v>70447</v>
      </c>
      <c r="I612">
        <v>52500</v>
      </c>
    </row>
    <row r="613" spans="1:9" x14ac:dyDescent="0.3">
      <c r="A613" t="s">
        <v>645</v>
      </c>
      <c r="B613">
        <v>45746</v>
      </c>
      <c r="C613" t="s">
        <v>25</v>
      </c>
      <c r="D613" t="s">
        <v>11</v>
      </c>
      <c r="E613" t="s">
        <v>22</v>
      </c>
      <c r="F613" t="s">
        <v>59</v>
      </c>
      <c r="G613" t="s">
        <v>14</v>
      </c>
      <c r="H613">
        <v>152939</v>
      </c>
      <c r="I613">
        <v>151100</v>
      </c>
    </row>
    <row r="614" spans="1:9" x14ac:dyDescent="0.3">
      <c r="A614" t="s">
        <v>646</v>
      </c>
      <c r="B614">
        <v>45746</v>
      </c>
      <c r="C614" t="s">
        <v>25</v>
      </c>
      <c r="D614" t="s">
        <v>11</v>
      </c>
      <c r="E614" t="s">
        <v>22</v>
      </c>
      <c r="F614" t="s">
        <v>12</v>
      </c>
      <c r="G614" t="s">
        <v>14</v>
      </c>
      <c r="H614">
        <v>182089</v>
      </c>
      <c r="I614">
        <v>180600</v>
      </c>
    </row>
    <row r="615" spans="1:9" x14ac:dyDescent="0.3">
      <c r="A615" t="s">
        <v>647</v>
      </c>
      <c r="B615">
        <v>45746</v>
      </c>
      <c r="C615" t="s">
        <v>31</v>
      </c>
      <c r="D615" t="s">
        <v>11</v>
      </c>
      <c r="E615" t="s">
        <v>17</v>
      </c>
      <c r="F615" t="s">
        <v>42</v>
      </c>
      <c r="G615" t="s">
        <v>19</v>
      </c>
      <c r="H615">
        <v>46766</v>
      </c>
      <c r="I615">
        <v>41900</v>
      </c>
    </row>
    <row r="616" spans="1:9" x14ac:dyDescent="0.3">
      <c r="A616" t="s">
        <v>648</v>
      </c>
      <c r="B616">
        <v>45747</v>
      </c>
      <c r="C616" t="s">
        <v>62</v>
      </c>
      <c r="D616" t="s">
        <v>11</v>
      </c>
      <c r="E616" t="s">
        <v>22</v>
      </c>
      <c r="F616" t="s">
        <v>37</v>
      </c>
      <c r="G616" t="s">
        <v>14</v>
      </c>
      <c r="H616">
        <v>191237</v>
      </c>
      <c r="I616">
        <v>176600</v>
      </c>
    </row>
    <row r="617" spans="1:9" x14ac:dyDescent="0.3">
      <c r="A617" t="s">
        <v>649</v>
      </c>
      <c r="B617">
        <v>45747</v>
      </c>
      <c r="C617" t="s">
        <v>10</v>
      </c>
      <c r="D617" t="s">
        <v>11</v>
      </c>
      <c r="E617" t="s">
        <v>12</v>
      </c>
      <c r="F617" t="s">
        <v>42</v>
      </c>
      <c r="G617" t="s">
        <v>19</v>
      </c>
      <c r="H617">
        <v>107564</v>
      </c>
      <c r="I617">
        <v>105900</v>
      </c>
    </row>
    <row r="618" spans="1:9" x14ac:dyDescent="0.3">
      <c r="A618" t="s">
        <v>650</v>
      </c>
      <c r="B618">
        <v>45747</v>
      </c>
      <c r="C618" t="s">
        <v>10</v>
      </c>
      <c r="D618" t="s">
        <v>11</v>
      </c>
      <c r="E618" t="s">
        <v>12</v>
      </c>
      <c r="F618" t="s">
        <v>23</v>
      </c>
      <c r="G618" t="s">
        <v>14</v>
      </c>
      <c r="H618">
        <v>65552</v>
      </c>
      <c r="I618">
        <v>63200</v>
      </c>
    </row>
    <row r="619" spans="1:9" x14ac:dyDescent="0.3">
      <c r="A619" t="s">
        <v>651</v>
      </c>
      <c r="B619">
        <v>45747</v>
      </c>
      <c r="C619" t="s">
        <v>16</v>
      </c>
      <c r="D619" t="s">
        <v>11</v>
      </c>
      <c r="E619" t="s">
        <v>17</v>
      </c>
      <c r="F619" t="s">
        <v>18</v>
      </c>
      <c r="G619" t="s">
        <v>19</v>
      </c>
      <c r="H619">
        <v>113002</v>
      </c>
      <c r="I619">
        <v>127900</v>
      </c>
    </row>
    <row r="620" spans="1:9" x14ac:dyDescent="0.3">
      <c r="A620" t="s">
        <v>652</v>
      </c>
      <c r="B620">
        <v>45747</v>
      </c>
      <c r="C620" t="s">
        <v>16</v>
      </c>
      <c r="D620" t="s">
        <v>11</v>
      </c>
      <c r="E620" t="s">
        <v>17</v>
      </c>
      <c r="F620" t="s">
        <v>33</v>
      </c>
      <c r="G620" t="s">
        <v>19</v>
      </c>
      <c r="H620">
        <v>86098</v>
      </c>
      <c r="I620">
        <v>87700</v>
      </c>
    </row>
    <row r="621" spans="1:9" x14ac:dyDescent="0.3">
      <c r="A621" t="s">
        <v>653</v>
      </c>
      <c r="B621">
        <v>45747</v>
      </c>
      <c r="C621" t="s">
        <v>16</v>
      </c>
      <c r="D621" t="s">
        <v>11</v>
      </c>
      <c r="E621" t="s">
        <v>17</v>
      </c>
      <c r="F621" t="s">
        <v>33</v>
      </c>
      <c r="G621" t="s">
        <v>19</v>
      </c>
      <c r="H621">
        <v>70764</v>
      </c>
      <c r="I621">
        <v>77800</v>
      </c>
    </row>
    <row r="622" spans="1:9" x14ac:dyDescent="0.3">
      <c r="A622" t="s">
        <v>654</v>
      </c>
      <c r="B622">
        <v>45747</v>
      </c>
      <c r="C622" t="s">
        <v>16</v>
      </c>
      <c r="D622" t="s">
        <v>11</v>
      </c>
      <c r="E622" t="s">
        <v>17</v>
      </c>
      <c r="F622" t="s">
        <v>26</v>
      </c>
      <c r="G622" t="s">
        <v>14</v>
      </c>
      <c r="H622">
        <v>87563</v>
      </c>
      <c r="I622">
        <v>83900</v>
      </c>
    </row>
    <row r="623" spans="1:9" x14ac:dyDescent="0.3">
      <c r="A623" t="s">
        <v>655</v>
      </c>
      <c r="B623">
        <v>45747</v>
      </c>
      <c r="C623" t="s">
        <v>16</v>
      </c>
      <c r="D623" t="s">
        <v>11</v>
      </c>
      <c r="E623" t="s">
        <v>17</v>
      </c>
      <c r="F623" t="s">
        <v>23</v>
      </c>
      <c r="G623" t="s">
        <v>14</v>
      </c>
      <c r="H623">
        <v>102239</v>
      </c>
      <c r="I623">
        <v>97400</v>
      </c>
    </row>
    <row r="624" spans="1:9" x14ac:dyDescent="0.3">
      <c r="A624" t="s">
        <v>656</v>
      </c>
      <c r="B624">
        <v>45747</v>
      </c>
      <c r="C624" t="s">
        <v>36</v>
      </c>
      <c r="D624" t="s">
        <v>11</v>
      </c>
      <c r="E624" t="s">
        <v>37</v>
      </c>
      <c r="F624" t="s">
        <v>56</v>
      </c>
      <c r="G624" t="s">
        <v>19</v>
      </c>
      <c r="H624">
        <v>16937</v>
      </c>
      <c r="I624">
        <v>16900</v>
      </c>
    </row>
    <row r="625" spans="1:9" x14ac:dyDescent="0.3">
      <c r="A625" t="s">
        <v>657</v>
      </c>
      <c r="B625">
        <v>45747</v>
      </c>
      <c r="C625" t="s">
        <v>21</v>
      </c>
      <c r="D625" t="s">
        <v>11</v>
      </c>
      <c r="E625" t="s">
        <v>22</v>
      </c>
      <c r="F625" t="s">
        <v>42</v>
      </c>
      <c r="G625" t="s">
        <v>19</v>
      </c>
      <c r="H625">
        <v>76786</v>
      </c>
      <c r="I625">
        <v>77600</v>
      </c>
    </row>
    <row r="626" spans="1:9" x14ac:dyDescent="0.3">
      <c r="A626" t="s">
        <v>658</v>
      </c>
      <c r="B626">
        <v>45747</v>
      </c>
      <c r="C626" t="s">
        <v>21</v>
      </c>
      <c r="D626" t="s">
        <v>11</v>
      </c>
      <c r="E626" t="s">
        <v>22</v>
      </c>
      <c r="F626" t="s">
        <v>23</v>
      </c>
      <c r="G626" t="s">
        <v>14</v>
      </c>
      <c r="H626">
        <v>192672</v>
      </c>
      <c r="I626">
        <v>194000</v>
      </c>
    </row>
    <row r="627" spans="1:9" x14ac:dyDescent="0.3">
      <c r="A627" t="s">
        <v>659</v>
      </c>
      <c r="B627">
        <v>45747</v>
      </c>
      <c r="C627" t="s">
        <v>25</v>
      </c>
      <c r="D627" t="s">
        <v>11</v>
      </c>
      <c r="E627" t="s">
        <v>22</v>
      </c>
      <c r="F627" t="s">
        <v>46</v>
      </c>
      <c r="G627" t="s">
        <v>19</v>
      </c>
      <c r="H627">
        <v>71347</v>
      </c>
      <c r="I627">
        <v>71000</v>
      </c>
    </row>
    <row r="628" spans="1:9" x14ac:dyDescent="0.3">
      <c r="A628" t="s">
        <v>660</v>
      </c>
      <c r="B628">
        <v>45747</v>
      </c>
      <c r="C628" t="s">
        <v>25</v>
      </c>
      <c r="D628" t="s">
        <v>11</v>
      </c>
      <c r="E628" t="s">
        <v>22</v>
      </c>
      <c r="F628" t="s">
        <v>12</v>
      </c>
      <c r="G628" t="s">
        <v>14</v>
      </c>
      <c r="H628">
        <v>73334</v>
      </c>
      <c r="I628">
        <v>71200</v>
      </c>
    </row>
    <row r="629" spans="1:9" x14ac:dyDescent="0.3">
      <c r="A629" t="s">
        <v>661</v>
      </c>
      <c r="B629">
        <v>45747</v>
      </c>
      <c r="C629" t="s">
        <v>31</v>
      </c>
      <c r="D629" t="s">
        <v>11</v>
      </c>
      <c r="E629" t="s">
        <v>17</v>
      </c>
      <c r="F629" t="s">
        <v>18</v>
      </c>
      <c r="G629" t="s">
        <v>19</v>
      </c>
      <c r="H629">
        <v>59534</v>
      </c>
      <c r="I629">
        <v>71100</v>
      </c>
    </row>
    <row r="630" spans="1:9" x14ac:dyDescent="0.3">
      <c r="A630" t="s">
        <v>662</v>
      </c>
      <c r="B630">
        <v>45747</v>
      </c>
      <c r="C630" t="s">
        <v>55</v>
      </c>
      <c r="D630" t="s">
        <v>11</v>
      </c>
      <c r="E630" t="s">
        <v>37</v>
      </c>
      <c r="F630" t="s">
        <v>46</v>
      </c>
      <c r="G630" t="s">
        <v>19</v>
      </c>
      <c r="H630">
        <v>43853</v>
      </c>
      <c r="I630">
        <v>48000</v>
      </c>
    </row>
    <row r="631" spans="1:9" x14ac:dyDescent="0.3">
      <c r="A631" t="s">
        <v>663</v>
      </c>
      <c r="B631">
        <v>45748</v>
      </c>
      <c r="C631" t="s">
        <v>62</v>
      </c>
      <c r="D631" t="s">
        <v>11</v>
      </c>
      <c r="E631" t="s">
        <v>22</v>
      </c>
      <c r="F631" t="s">
        <v>59</v>
      </c>
      <c r="G631" t="s">
        <v>14</v>
      </c>
      <c r="H631">
        <v>36957</v>
      </c>
      <c r="I631">
        <v>39500</v>
      </c>
    </row>
    <row r="632" spans="1:9" x14ac:dyDescent="0.3">
      <c r="A632" t="s">
        <v>664</v>
      </c>
      <c r="B632">
        <v>45748</v>
      </c>
      <c r="C632" t="s">
        <v>62</v>
      </c>
      <c r="D632" t="s">
        <v>11</v>
      </c>
      <c r="E632" t="s">
        <v>22</v>
      </c>
      <c r="F632" t="s">
        <v>59</v>
      </c>
      <c r="G632" t="s">
        <v>14</v>
      </c>
      <c r="H632">
        <v>128561</v>
      </c>
      <c r="I632">
        <v>125800</v>
      </c>
    </row>
    <row r="633" spans="1:9" x14ac:dyDescent="0.3">
      <c r="A633" t="s">
        <v>665</v>
      </c>
      <c r="B633">
        <v>45748</v>
      </c>
      <c r="C633" t="s">
        <v>10</v>
      </c>
      <c r="D633" t="s">
        <v>11</v>
      </c>
      <c r="E633" t="s">
        <v>12</v>
      </c>
      <c r="F633" t="s">
        <v>37</v>
      </c>
      <c r="G633" t="s">
        <v>14</v>
      </c>
      <c r="H633">
        <v>65085</v>
      </c>
      <c r="I633">
        <v>62900</v>
      </c>
    </row>
    <row r="634" spans="1:9" x14ac:dyDescent="0.3">
      <c r="A634" t="s">
        <v>666</v>
      </c>
      <c r="B634">
        <v>45748</v>
      </c>
      <c r="C634" t="s">
        <v>36</v>
      </c>
      <c r="D634" t="s">
        <v>11</v>
      </c>
      <c r="E634" t="s">
        <v>37</v>
      </c>
      <c r="F634" t="s">
        <v>23</v>
      </c>
      <c r="G634" t="s">
        <v>14</v>
      </c>
      <c r="H634">
        <v>180742</v>
      </c>
      <c r="I634">
        <v>189000</v>
      </c>
    </row>
    <row r="635" spans="1:9" x14ac:dyDescent="0.3">
      <c r="A635" t="s">
        <v>667</v>
      </c>
      <c r="B635">
        <v>45748</v>
      </c>
      <c r="C635" t="s">
        <v>36</v>
      </c>
      <c r="D635" t="s">
        <v>11</v>
      </c>
      <c r="E635" t="s">
        <v>37</v>
      </c>
      <c r="F635" t="s">
        <v>37</v>
      </c>
      <c r="G635" t="s">
        <v>14</v>
      </c>
      <c r="H635">
        <v>170188</v>
      </c>
      <c r="I635">
        <v>172200</v>
      </c>
    </row>
    <row r="636" spans="1:9" x14ac:dyDescent="0.3">
      <c r="A636" t="s">
        <v>668</v>
      </c>
      <c r="B636">
        <v>45748</v>
      </c>
      <c r="C636" t="s">
        <v>25</v>
      </c>
      <c r="D636" t="s">
        <v>11</v>
      </c>
      <c r="E636" t="s">
        <v>22</v>
      </c>
      <c r="F636" t="s">
        <v>42</v>
      </c>
      <c r="G636" t="s">
        <v>19</v>
      </c>
      <c r="H636">
        <v>57205</v>
      </c>
      <c r="I636">
        <v>55900</v>
      </c>
    </row>
    <row r="637" spans="1:9" x14ac:dyDescent="0.3">
      <c r="A637" t="s">
        <v>669</v>
      </c>
      <c r="B637">
        <v>45748</v>
      </c>
      <c r="C637" t="s">
        <v>25</v>
      </c>
      <c r="D637" t="s">
        <v>11</v>
      </c>
      <c r="E637" t="s">
        <v>22</v>
      </c>
      <c r="F637" t="s">
        <v>26</v>
      </c>
      <c r="G637" t="s">
        <v>14</v>
      </c>
      <c r="H637">
        <v>200352</v>
      </c>
      <c r="I637">
        <v>195000</v>
      </c>
    </row>
    <row r="638" spans="1:9" x14ac:dyDescent="0.3">
      <c r="A638" t="s">
        <v>670</v>
      </c>
      <c r="B638">
        <v>45748</v>
      </c>
      <c r="C638" t="s">
        <v>25</v>
      </c>
      <c r="D638" t="s">
        <v>11</v>
      </c>
      <c r="E638" t="s">
        <v>22</v>
      </c>
      <c r="F638" t="s">
        <v>12</v>
      </c>
      <c r="G638" t="s">
        <v>14</v>
      </c>
      <c r="H638">
        <v>48581</v>
      </c>
      <c r="I638">
        <v>49700</v>
      </c>
    </row>
    <row r="639" spans="1:9" x14ac:dyDescent="0.3">
      <c r="A639" t="s">
        <v>671</v>
      </c>
      <c r="B639">
        <v>45748</v>
      </c>
      <c r="C639" t="s">
        <v>55</v>
      </c>
      <c r="D639" t="s">
        <v>11</v>
      </c>
      <c r="E639" t="s">
        <v>37</v>
      </c>
      <c r="F639" t="s">
        <v>46</v>
      </c>
      <c r="G639" t="s">
        <v>19</v>
      </c>
      <c r="H639">
        <v>15729</v>
      </c>
      <c r="I639">
        <v>14400</v>
      </c>
    </row>
    <row r="640" spans="1:9" x14ac:dyDescent="0.3">
      <c r="A640" t="s">
        <v>672</v>
      </c>
      <c r="B640">
        <v>45748</v>
      </c>
      <c r="C640" t="s">
        <v>55</v>
      </c>
      <c r="D640" t="s">
        <v>11</v>
      </c>
      <c r="E640" t="s">
        <v>37</v>
      </c>
      <c r="F640" t="s">
        <v>46</v>
      </c>
      <c r="G640" t="s">
        <v>19</v>
      </c>
      <c r="H640">
        <v>50795</v>
      </c>
      <c r="I640">
        <v>53900</v>
      </c>
    </row>
    <row r="641" spans="1:9" x14ac:dyDescent="0.3">
      <c r="A641" t="s">
        <v>673</v>
      </c>
      <c r="B641">
        <v>45749</v>
      </c>
      <c r="C641" t="s">
        <v>62</v>
      </c>
      <c r="D641" t="s">
        <v>11</v>
      </c>
      <c r="E641" t="s">
        <v>22</v>
      </c>
      <c r="F641" t="s">
        <v>59</v>
      </c>
      <c r="G641" t="s">
        <v>14</v>
      </c>
      <c r="H641">
        <v>244629</v>
      </c>
      <c r="I641">
        <v>277600</v>
      </c>
    </row>
    <row r="642" spans="1:9" x14ac:dyDescent="0.3">
      <c r="A642" t="s">
        <v>674</v>
      </c>
      <c r="B642">
        <v>45749</v>
      </c>
      <c r="C642" t="s">
        <v>16</v>
      </c>
      <c r="D642" t="s">
        <v>11</v>
      </c>
      <c r="E642" t="s">
        <v>17</v>
      </c>
      <c r="F642" t="s">
        <v>42</v>
      </c>
      <c r="G642" t="s">
        <v>19</v>
      </c>
      <c r="H642">
        <v>58007</v>
      </c>
      <c r="I642">
        <v>52100</v>
      </c>
    </row>
    <row r="643" spans="1:9" x14ac:dyDescent="0.3">
      <c r="A643" t="s">
        <v>675</v>
      </c>
      <c r="B643">
        <v>45749</v>
      </c>
      <c r="C643" t="s">
        <v>16</v>
      </c>
      <c r="D643" t="s">
        <v>11</v>
      </c>
      <c r="E643" t="s">
        <v>17</v>
      </c>
      <c r="F643" t="s">
        <v>46</v>
      </c>
      <c r="G643" t="s">
        <v>19</v>
      </c>
      <c r="H643">
        <v>105740</v>
      </c>
      <c r="I643">
        <v>109200</v>
      </c>
    </row>
    <row r="644" spans="1:9" x14ac:dyDescent="0.3">
      <c r="A644" t="s">
        <v>676</v>
      </c>
      <c r="B644">
        <v>45749</v>
      </c>
      <c r="C644" t="s">
        <v>36</v>
      </c>
      <c r="D644" t="s">
        <v>11</v>
      </c>
      <c r="E644" t="s">
        <v>37</v>
      </c>
      <c r="F644" t="s">
        <v>46</v>
      </c>
      <c r="G644" t="s">
        <v>19</v>
      </c>
      <c r="H644">
        <v>86959</v>
      </c>
      <c r="I644">
        <v>77200</v>
      </c>
    </row>
    <row r="645" spans="1:9" x14ac:dyDescent="0.3">
      <c r="A645" t="s">
        <v>677</v>
      </c>
      <c r="B645">
        <v>45749</v>
      </c>
      <c r="C645" t="s">
        <v>21</v>
      </c>
      <c r="D645" t="s">
        <v>11</v>
      </c>
      <c r="E645" t="s">
        <v>22</v>
      </c>
      <c r="F645" t="s">
        <v>18</v>
      </c>
      <c r="G645" t="s">
        <v>19</v>
      </c>
      <c r="H645">
        <v>88958</v>
      </c>
      <c r="I645">
        <v>102000</v>
      </c>
    </row>
    <row r="646" spans="1:9" x14ac:dyDescent="0.3">
      <c r="A646" t="s">
        <v>678</v>
      </c>
      <c r="B646">
        <v>45749</v>
      </c>
      <c r="C646" t="s">
        <v>21</v>
      </c>
      <c r="D646" t="s">
        <v>11</v>
      </c>
      <c r="E646" t="s">
        <v>22</v>
      </c>
      <c r="F646" t="s">
        <v>33</v>
      </c>
      <c r="G646" t="s">
        <v>19</v>
      </c>
      <c r="H646">
        <v>65010</v>
      </c>
      <c r="I646">
        <v>54100</v>
      </c>
    </row>
    <row r="647" spans="1:9" x14ac:dyDescent="0.3">
      <c r="A647" t="s">
        <v>679</v>
      </c>
      <c r="B647">
        <v>45749</v>
      </c>
      <c r="C647" t="s">
        <v>25</v>
      </c>
      <c r="D647" t="s">
        <v>11</v>
      </c>
      <c r="E647" t="s">
        <v>22</v>
      </c>
      <c r="F647" t="s">
        <v>26</v>
      </c>
      <c r="G647" t="s">
        <v>14</v>
      </c>
      <c r="H647">
        <v>82742</v>
      </c>
      <c r="I647">
        <v>75300</v>
      </c>
    </row>
    <row r="648" spans="1:9" x14ac:dyDescent="0.3">
      <c r="A648" t="s">
        <v>680</v>
      </c>
      <c r="B648">
        <v>45749</v>
      </c>
      <c r="C648" t="s">
        <v>25</v>
      </c>
      <c r="D648" t="s">
        <v>11</v>
      </c>
      <c r="E648" t="s">
        <v>22</v>
      </c>
      <c r="F648" t="s">
        <v>23</v>
      </c>
      <c r="G648" t="s">
        <v>14</v>
      </c>
      <c r="H648">
        <v>94911</v>
      </c>
      <c r="I648">
        <v>88900</v>
      </c>
    </row>
    <row r="649" spans="1:9" x14ac:dyDescent="0.3">
      <c r="A649" t="s">
        <v>681</v>
      </c>
      <c r="B649">
        <v>45749</v>
      </c>
      <c r="C649" t="s">
        <v>31</v>
      </c>
      <c r="D649" t="s">
        <v>11</v>
      </c>
      <c r="E649" t="s">
        <v>17</v>
      </c>
      <c r="F649" t="s">
        <v>37</v>
      </c>
      <c r="G649" t="s">
        <v>14</v>
      </c>
      <c r="H649">
        <v>43787</v>
      </c>
      <c r="I649">
        <v>44600</v>
      </c>
    </row>
    <row r="650" spans="1:9" x14ac:dyDescent="0.3">
      <c r="A650" t="s">
        <v>682</v>
      </c>
      <c r="B650">
        <v>45749</v>
      </c>
      <c r="C650" t="s">
        <v>55</v>
      </c>
      <c r="D650" t="s">
        <v>11</v>
      </c>
      <c r="E650" t="s">
        <v>37</v>
      </c>
      <c r="F650" t="s">
        <v>59</v>
      </c>
      <c r="G650" t="s">
        <v>14</v>
      </c>
      <c r="H650">
        <v>149422</v>
      </c>
      <c r="I650">
        <v>159500</v>
      </c>
    </row>
    <row r="651" spans="1:9" x14ac:dyDescent="0.3">
      <c r="A651" t="s">
        <v>683</v>
      </c>
      <c r="B651">
        <v>45750</v>
      </c>
      <c r="C651" t="s">
        <v>62</v>
      </c>
      <c r="D651" t="s">
        <v>11</v>
      </c>
      <c r="E651" t="s">
        <v>22</v>
      </c>
      <c r="F651" t="s">
        <v>56</v>
      </c>
      <c r="G651" t="s">
        <v>19</v>
      </c>
      <c r="H651">
        <v>72980</v>
      </c>
      <c r="I651">
        <v>71900</v>
      </c>
    </row>
    <row r="652" spans="1:9" x14ac:dyDescent="0.3">
      <c r="A652" t="s">
        <v>684</v>
      </c>
      <c r="B652">
        <v>45750</v>
      </c>
      <c r="C652" t="s">
        <v>62</v>
      </c>
      <c r="D652" t="s">
        <v>11</v>
      </c>
      <c r="E652" t="s">
        <v>22</v>
      </c>
      <c r="F652" t="s">
        <v>59</v>
      </c>
      <c r="G652" t="s">
        <v>14</v>
      </c>
      <c r="H652">
        <v>200141</v>
      </c>
      <c r="I652">
        <v>210600</v>
      </c>
    </row>
    <row r="653" spans="1:9" x14ac:dyDescent="0.3">
      <c r="A653" t="s">
        <v>685</v>
      </c>
      <c r="B653">
        <v>45750</v>
      </c>
      <c r="C653" t="s">
        <v>62</v>
      </c>
      <c r="D653" t="s">
        <v>11</v>
      </c>
      <c r="E653" t="s">
        <v>22</v>
      </c>
      <c r="F653" t="s">
        <v>13</v>
      </c>
      <c r="G653" t="s">
        <v>14</v>
      </c>
      <c r="H653">
        <v>188953</v>
      </c>
      <c r="I653">
        <v>186700</v>
      </c>
    </row>
    <row r="654" spans="1:9" x14ac:dyDescent="0.3">
      <c r="A654" t="s">
        <v>686</v>
      </c>
      <c r="B654">
        <v>45750</v>
      </c>
      <c r="C654" t="s">
        <v>21</v>
      </c>
      <c r="D654" t="s">
        <v>11</v>
      </c>
      <c r="E654" t="s">
        <v>22</v>
      </c>
      <c r="F654" t="s">
        <v>23</v>
      </c>
      <c r="G654" t="s">
        <v>14</v>
      </c>
      <c r="H654">
        <v>238894</v>
      </c>
      <c r="I654">
        <v>239000</v>
      </c>
    </row>
    <row r="655" spans="1:9" x14ac:dyDescent="0.3">
      <c r="A655" t="s">
        <v>687</v>
      </c>
      <c r="B655">
        <v>45750</v>
      </c>
      <c r="C655" t="s">
        <v>25</v>
      </c>
      <c r="D655" t="s">
        <v>11</v>
      </c>
      <c r="E655" t="s">
        <v>22</v>
      </c>
      <c r="F655" t="s">
        <v>56</v>
      </c>
      <c r="G655" t="s">
        <v>19</v>
      </c>
      <c r="H655">
        <v>51368</v>
      </c>
      <c r="I655">
        <v>43700</v>
      </c>
    </row>
    <row r="656" spans="1:9" x14ac:dyDescent="0.3">
      <c r="A656" t="s">
        <v>688</v>
      </c>
      <c r="B656">
        <v>45750</v>
      </c>
      <c r="C656" t="s">
        <v>31</v>
      </c>
      <c r="D656" t="s">
        <v>11</v>
      </c>
      <c r="E656" t="s">
        <v>17</v>
      </c>
      <c r="F656" t="s">
        <v>37</v>
      </c>
      <c r="G656" t="s">
        <v>14</v>
      </c>
      <c r="H656">
        <v>135460</v>
      </c>
      <c r="I656">
        <v>140000</v>
      </c>
    </row>
    <row r="657" spans="1:9" x14ac:dyDescent="0.3">
      <c r="A657" t="s">
        <v>689</v>
      </c>
      <c r="B657">
        <v>45750</v>
      </c>
      <c r="C657" t="s">
        <v>55</v>
      </c>
      <c r="D657" t="s">
        <v>11</v>
      </c>
      <c r="E657" t="s">
        <v>37</v>
      </c>
      <c r="F657" t="s">
        <v>37</v>
      </c>
      <c r="G657" t="s">
        <v>14</v>
      </c>
      <c r="H657">
        <v>175987</v>
      </c>
      <c r="I657">
        <v>159100</v>
      </c>
    </row>
    <row r="658" spans="1:9" x14ac:dyDescent="0.3">
      <c r="A658" t="s">
        <v>690</v>
      </c>
      <c r="B658">
        <v>45751</v>
      </c>
      <c r="C658" t="s">
        <v>10</v>
      </c>
      <c r="D658" t="s">
        <v>11</v>
      </c>
      <c r="E658" t="s">
        <v>12</v>
      </c>
      <c r="F658" t="s">
        <v>33</v>
      </c>
      <c r="G658" t="s">
        <v>19</v>
      </c>
      <c r="H658">
        <v>42799</v>
      </c>
      <c r="I658">
        <v>52700</v>
      </c>
    </row>
    <row r="659" spans="1:9" x14ac:dyDescent="0.3">
      <c r="A659" t="s">
        <v>691</v>
      </c>
      <c r="B659">
        <v>45751</v>
      </c>
      <c r="C659" t="s">
        <v>10</v>
      </c>
      <c r="D659" t="s">
        <v>11</v>
      </c>
      <c r="E659" t="s">
        <v>12</v>
      </c>
      <c r="F659" t="s">
        <v>33</v>
      </c>
      <c r="G659" t="s">
        <v>19</v>
      </c>
      <c r="H659">
        <v>40081</v>
      </c>
      <c r="I659">
        <v>46700</v>
      </c>
    </row>
    <row r="660" spans="1:9" x14ac:dyDescent="0.3">
      <c r="A660" t="s">
        <v>692</v>
      </c>
      <c r="B660">
        <v>45751</v>
      </c>
      <c r="C660" t="s">
        <v>10</v>
      </c>
      <c r="D660" t="s">
        <v>11</v>
      </c>
      <c r="E660" t="s">
        <v>12</v>
      </c>
      <c r="F660" t="s">
        <v>37</v>
      </c>
      <c r="G660" t="s">
        <v>14</v>
      </c>
      <c r="H660">
        <v>227556</v>
      </c>
      <c r="I660">
        <v>216200</v>
      </c>
    </row>
    <row r="661" spans="1:9" x14ac:dyDescent="0.3">
      <c r="A661" t="s">
        <v>693</v>
      </c>
      <c r="B661">
        <v>45751</v>
      </c>
      <c r="C661" t="s">
        <v>10</v>
      </c>
      <c r="D661" t="s">
        <v>11</v>
      </c>
      <c r="E661" t="s">
        <v>12</v>
      </c>
      <c r="F661" t="s">
        <v>26</v>
      </c>
      <c r="G661" t="s">
        <v>14</v>
      </c>
      <c r="H661">
        <v>194948</v>
      </c>
      <c r="I661">
        <v>216600</v>
      </c>
    </row>
    <row r="662" spans="1:9" x14ac:dyDescent="0.3">
      <c r="A662" t="s">
        <v>694</v>
      </c>
      <c r="B662">
        <v>45751</v>
      </c>
      <c r="C662" t="s">
        <v>10</v>
      </c>
      <c r="D662" t="s">
        <v>11</v>
      </c>
      <c r="E662" t="s">
        <v>12</v>
      </c>
      <c r="F662" t="s">
        <v>37</v>
      </c>
      <c r="G662" t="s">
        <v>14</v>
      </c>
      <c r="H662">
        <v>74314</v>
      </c>
      <c r="I662">
        <v>77300</v>
      </c>
    </row>
    <row r="663" spans="1:9" x14ac:dyDescent="0.3">
      <c r="A663" t="s">
        <v>695</v>
      </c>
      <c r="B663">
        <v>45751</v>
      </c>
      <c r="C663" t="s">
        <v>16</v>
      </c>
      <c r="D663" t="s">
        <v>11</v>
      </c>
      <c r="E663" t="s">
        <v>17</v>
      </c>
      <c r="F663" t="s">
        <v>39</v>
      </c>
      <c r="G663" t="s">
        <v>19</v>
      </c>
      <c r="H663">
        <v>78807</v>
      </c>
      <c r="I663">
        <v>76200</v>
      </c>
    </row>
    <row r="664" spans="1:9" x14ac:dyDescent="0.3">
      <c r="A664" t="s">
        <v>696</v>
      </c>
      <c r="B664">
        <v>45751</v>
      </c>
      <c r="C664" t="s">
        <v>16</v>
      </c>
      <c r="D664" t="s">
        <v>11</v>
      </c>
      <c r="E664" t="s">
        <v>17</v>
      </c>
      <c r="F664" t="s">
        <v>56</v>
      </c>
      <c r="G664" t="s">
        <v>19</v>
      </c>
      <c r="H664">
        <v>15704</v>
      </c>
      <c r="I664">
        <v>19400</v>
      </c>
    </row>
    <row r="665" spans="1:9" x14ac:dyDescent="0.3">
      <c r="A665" t="s">
        <v>697</v>
      </c>
      <c r="B665">
        <v>45751</v>
      </c>
      <c r="C665" t="s">
        <v>16</v>
      </c>
      <c r="D665" t="s">
        <v>11</v>
      </c>
      <c r="E665" t="s">
        <v>17</v>
      </c>
      <c r="F665" t="s">
        <v>37</v>
      </c>
      <c r="G665" t="s">
        <v>14</v>
      </c>
      <c r="H665">
        <v>82203</v>
      </c>
      <c r="I665">
        <v>85300</v>
      </c>
    </row>
    <row r="666" spans="1:9" x14ac:dyDescent="0.3">
      <c r="A666" t="s">
        <v>698</v>
      </c>
      <c r="B666">
        <v>45751</v>
      </c>
      <c r="C666" t="s">
        <v>36</v>
      </c>
      <c r="D666" t="s">
        <v>11</v>
      </c>
      <c r="E666" t="s">
        <v>37</v>
      </c>
      <c r="F666" t="s">
        <v>56</v>
      </c>
      <c r="G666" t="s">
        <v>19</v>
      </c>
      <c r="H666">
        <v>29363</v>
      </c>
      <c r="I666">
        <v>32400</v>
      </c>
    </row>
    <row r="667" spans="1:9" x14ac:dyDescent="0.3">
      <c r="A667" t="s">
        <v>699</v>
      </c>
      <c r="B667">
        <v>45751</v>
      </c>
      <c r="C667" t="s">
        <v>36</v>
      </c>
      <c r="D667" t="s">
        <v>11</v>
      </c>
      <c r="E667" t="s">
        <v>37</v>
      </c>
      <c r="F667" t="s">
        <v>18</v>
      </c>
      <c r="G667" t="s">
        <v>19</v>
      </c>
      <c r="H667">
        <v>40098</v>
      </c>
      <c r="I667">
        <v>30900</v>
      </c>
    </row>
    <row r="668" spans="1:9" x14ac:dyDescent="0.3">
      <c r="A668" t="s">
        <v>700</v>
      </c>
      <c r="B668">
        <v>45751</v>
      </c>
      <c r="C668" t="s">
        <v>21</v>
      </c>
      <c r="D668" t="s">
        <v>11</v>
      </c>
      <c r="E668" t="s">
        <v>22</v>
      </c>
      <c r="F668" t="s">
        <v>46</v>
      </c>
      <c r="G668" t="s">
        <v>19</v>
      </c>
      <c r="H668">
        <v>70047</v>
      </c>
      <c r="I668">
        <v>68900</v>
      </c>
    </row>
    <row r="669" spans="1:9" x14ac:dyDescent="0.3">
      <c r="A669" t="s">
        <v>701</v>
      </c>
      <c r="B669">
        <v>45751</v>
      </c>
      <c r="C669" t="s">
        <v>25</v>
      </c>
      <c r="D669" t="s">
        <v>11</v>
      </c>
      <c r="E669" t="s">
        <v>22</v>
      </c>
      <c r="F669" t="s">
        <v>59</v>
      </c>
      <c r="G669" t="s">
        <v>14</v>
      </c>
      <c r="H669">
        <v>188324</v>
      </c>
      <c r="I669">
        <v>187500</v>
      </c>
    </row>
    <row r="670" spans="1:9" x14ac:dyDescent="0.3">
      <c r="A670" t="s">
        <v>702</v>
      </c>
      <c r="B670">
        <v>45751</v>
      </c>
      <c r="C670" t="s">
        <v>31</v>
      </c>
      <c r="D670" t="s">
        <v>11</v>
      </c>
      <c r="E670" t="s">
        <v>17</v>
      </c>
      <c r="F670" t="s">
        <v>59</v>
      </c>
      <c r="G670" t="s">
        <v>14</v>
      </c>
      <c r="H670">
        <v>109160</v>
      </c>
      <c r="I670">
        <v>115200</v>
      </c>
    </row>
    <row r="671" spans="1:9" x14ac:dyDescent="0.3">
      <c r="A671" t="s">
        <v>703</v>
      </c>
      <c r="B671">
        <v>45751</v>
      </c>
      <c r="C671" t="s">
        <v>31</v>
      </c>
      <c r="D671" t="s">
        <v>11</v>
      </c>
      <c r="E671" t="s">
        <v>17</v>
      </c>
      <c r="F671" t="s">
        <v>59</v>
      </c>
      <c r="G671" t="s">
        <v>14</v>
      </c>
      <c r="H671">
        <v>111579</v>
      </c>
      <c r="I671">
        <v>107400</v>
      </c>
    </row>
    <row r="672" spans="1:9" x14ac:dyDescent="0.3">
      <c r="A672" t="s">
        <v>704</v>
      </c>
      <c r="B672">
        <v>45751</v>
      </c>
      <c r="C672" t="s">
        <v>55</v>
      </c>
      <c r="D672" t="s">
        <v>11</v>
      </c>
      <c r="E672" t="s">
        <v>37</v>
      </c>
      <c r="F672" t="s">
        <v>18</v>
      </c>
      <c r="G672" t="s">
        <v>19</v>
      </c>
      <c r="H672">
        <v>70361</v>
      </c>
      <c r="I672">
        <v>82900</v>
      </c>
    </row>
    <row r="673" spans="1:9" x14ac:dyDescent="0.3">
      <c r="A673" t="s">
        <v>705</v>
      </c>
      <c r="B673">
        <v>45752</v>
      </c>
      <c r="C673" t="s">
        <v>16</v>
      </c>
      <c r="D673" t="s">
        <v>11</v>
      </c>
      <c r="E673" t="s">
        <v>17</v>
      </c>
      <c r="F673" t="s">
        <v>18</v>
      </c>
      <c r="G673" t="s">
        <v>19</v>
      </c>
      <c r="H673">
        <v>45497</v>
      </c>
      <c r="I673">
        <v>40400</v>
      </c>
    </row>
    <row r="674" spans="1:9" x14ac:dyDescent="0.3">
      <c r="A674" t="s">
        <v>706</v>
      </c>
      <c r="B674">
        <v>45752</v>
      </c>
      <c r="C674" t="s">
        <v>36</v>
      </c>
      <c r="D674" t="s">
        <v>11</v>
      </c>
      <c r="E674" t="s">
        <v>37</v>
      </c>
      <c r="F674" t="s">
        <v>46</v>
      </c>
      <c r="G674" t="s">
        <v>19</v>
      </c>
      <c r="H674">
        <v>60829</v>
      </c>
      <c r="I674">
        <v>67000</v>
      </c>
    </row>
    <row r="675" spans="1:9" x14ac:dyDescent="0.3">
      <c r="A675" t="s">
        <v>707</v>
      </c>
      <c r="B675">
        <v>45752</v>
      </c>
      <c r="C675" t="s">
        <v>25</v>
      </c>
      <c r="D675" t="s">
        <v>11</v>
      </c>
      <c r="E675" t="s">
        <v>22</v>
      </c>
      <c r="F675" t="s">
        <v>56</v>
      </c>
      <c r="G675" t="s">
        <v>19</v>
      </c>
      <c r="H675">
        <v>33768</v>
      </c>
      <c r="I675">
        <v>35200</v>
      </c>
    </row>
    <row r="676" spans="1:9" x14ac:dyDescent="0.3">
      <c r="A676" t="s">
        <v>708</v>
      </c>
      <c r="B676">
        <v>45753</v>
      </c>
      <c r="C676" t="s">
        <v>21</v>
      </c>
      <c r="D676" t="s">
        <v>11</v>
      </c>
      <c r="E676" t="s">
        <v>22</v>
      </c>
      <c r="F676" t="s">
        <v>33</v>
      </c>
      <c r="G676" t="s">
        <v>19</v>
      </c>
      <c r="H676">
        <v>13195</v>
      </c>
      <c r="I676">
        <v>13500</v>
      </c>
    </row>
    <row r="677" spans="1:9" x14ac:dyDescent="0.3">
      <c r="A677" t="s">
        <v>709</v>
      </c>
      <c r="B677">
        <v>45753</v>
      </c>
      <c r="C677" t="s">
        <v>25</v>
      </c>
      <c r="D677" t="s">
        <v>11</v>
      </c>
      <c r="E677" t="s">
        <v>22</v>
      </c>
      <c r="F677" t="s">
        <v>18</v>
      </c>
      <c r="G677" t="s">
        <v>19</v>
      </c>
      <c r="H677">
        <v>46728</v>
      </c>
      <c r="I677">
        <v>49600</v>
      </c>
    </row>
    <row r="678" spans="1:9" x14ac:dyDescent="0.3">
      <c r="A678" t="s">
        <v>710</v>
      </c>
      <c r="B678">
        <v>45753</v>
      </c>
      <c r="C678" t="s">
        <v>31</v>
      </c>
      <c r="D678" t="s">
        <v>11</v>
      </c>
      <c r="E678" t="s">
        <v>17</v>
      </c>
      <c r="F678" t="s">
        <v>39</v>
      </c>
      <c r="G678" t="s">
        <v>19</v>
      </c>
      <c r="H678">
        <v>89123</v>
      </c>
      <c r="I678">
        <v>95000</v>
      </c>
    </row>
    <row r="679" spans="1:9" x14ac:dyDescent="0.3">
      <c r="A679" t="s">
        <v>711</v>
      </c>
      <c r="B679">
        <v>45753</v>
      </c>
      <c r="C679" t="s">
        <v>55</v>
      </c>
      <c r="D679" t="s">
        <v>11</v>
      </c>
      <c r="E679" t="s">
        <v>37</v>
      </c>
      <c r="F679" t="s">
        <v>59</v>
      </c>
      <c r="G679" t="s">
        <v>14</v>
      </c>
      <c r="H679">
        <v>145648</v>
      </c>
      <c r="I679">
        <v>160900</v>
      </c>
    </row>
    <row r="680" spans="1:9" x14ac:dyDescent="0.3">
      <c r="A680" t="s">
        <v>712</v>
      </c>
      <c r="B680">
        <v>45753</v>
      </c>
      <c r="C680" t="s">
        <v>55</v>
      </c>
      <c r="D680" t="s">
        <v>11</v>
      </c>
      <c r="E680" t="s">
        <v>37</v>
      </c>
      <c r="F680" t="s">
        <v>37</v>
      </c>
      <c r="G680" t="s">
        <v>14</v>
      </c>
      <c r="H680">
        <v>74761</v>
      </c>
      <c r="I680">
        <v>73900</v>
      </c>
    </row>
    <row r="681" spans="1:9" x14ac:dyDescent="0.3">
      <c r="A681" t="s">
        <v>713</v>
      </c>
      <c r="B681">
        <v>45754</v>
      </c>
      <c r="C681" t="s">
        <v>16</v>
      </c>
      <c r="D681" t="s">
        <v>11</v>
      </c>
      <c r="E681" t="s">
        <v>17</v>
      </c>
      <c r="F681" t="s">
        <v>56</v>
      </c>
      <c r="G681" t="s">
        <v>19</v>
      </c>
      <c r="H681">
        <v>60036</v>
      </c>
      <c r="I681">
        <v>75300</v>
      </c>
    </row>
    <row r="682" spans="1:9" x14ac:dyDescent="0.3">
      <c r="A682" t="s">
        <v>714</v>
      </c>
      <c r="B682">
        <v>45754</v>
      </c>
      <c r="C682" t="s">
        <v>16</v>
      </c>
      <c r="D682" t="s">
        <v>11</v>
      </c>
      <c r="E682" t="s">
        <v>17</v>
      </c>
      <c r="F682" t="s">
        <v>46</v>
      </c>
      <c r="G682" t="s">
        <v>19</v>
      </c>
      <c r="H682">
        <v>43998</v>
      </c>
      <c r="I682">
        <v>46500</v>
      </c>
    </row>
    <row r="683" spans="1:9" x14ac:dyDescent="0.3">
      <c r="A683" t="s">
        <v>715</v>
      </c>
      <c r="B683">
        <v>45754</v>
      </c>
      <c r="C683" t="s">
        <v>21</v>
      </c>
      <c r="D683" t="s">
        <v>11</v>
      </c>
      <c r="E683" t="s">
        <v>22</v>
      </c>
      <c r="F683" t="s">
        <v>56</v>
      </c>
      <c r="G683" t="s">
        <v>19</v>
      </c>
      <c r="H683">
        <v>94527</v>
      </c>
      <c r="I683">
        <v>85900</v>
      </c>
    </row>
    <row r="684" spans="1:9" x14ac:dyDescent="0.3">
      <c r="A684" t="s">
        <v>716</v>
      </c>
      <c r="B684">
        <v>45754</v>
      </c>
      <c r="C684" t="s">
        <v>25</v>
      </c>
      <c r="D684" t="s">
        <v>11</v>
      </c>
      <c r="E684" t="s">
        <v>22</v>
      </c>
      <c r="F684" t="s">
        <v>33</v>
      </c>
      <c r="G684" t="s">
        <v>19</v>
      </c>
      <c r="H684">
        <v>91411</v>
      </c>
      <c r="I684">
        <v>81800</v>
      </c>
    </row>
    <row r="685" spans="1:9" x14ac:dyDescent="0.3">
      <c r="A685" t="s">
        <v>717</v>
      </c>
      <c r="B685">
        <v>45754</v>
      </c>
      <c r="C685" t="s">
        <v>31</v>
      </c>
      <c r="D685" t="s">
        <v>11</v>
      </c>
      <c r="E685" t="s">
        <v>17</v>
      </c>
      <c r="F685" t="s">
        <v>56</v>
      </c>
      <c r="G685" t="s">
        <v>19</v>
      </c>
      <c r="H685">
        <v>94293</v>
      </c>
      <c r="I685">
        <v>85000</v>
      </c>
    </row>
    <row r="686" spans="1:9" x14ac:dyDescent="0.3">
      <c r="A686" t="s">
        <v>718</v>
      </c>
      <c r="B686">
        <v>45755</v>
      </c>
      <c r="C686" t="s">
        <v>21</v>
      </c>
      <c r="D686" t="s">
        <v>11</v>
      </c>
      <c r="E686" t="s">
        <v>22</v>
      </c>
      <c r="F686" t="s">
        <v>42</v>
      </c>
      <c r="G686" t="s">
        <v>19</v>
      </c>
      <c r="H686">
        <v>118820</v>
      </c>
      <c r="I686">
        <v>118500</v>
      </c>
    </row>
    <row r="687" spans="1:9" x14ac:dyDescent="0.3">
      <c r="A687" t="s">
        <v>719</v>
      </c>
      <c r="B687">
        <v>45755</v>
      </c>
      <c r="C687" t="s">
        <v>31</v>
      </c>
      <c r="D687" t="s">
        <v>11</v>
      </c>
      <c r="E687" t="s">
        <v>17</v>
      </c>
      <c r="F687" t="s">
        <v>37</v>
      </c>
      <c r="G687" t="s">
        <v>14</v>
      </c>
      <c r="H687">
        <v>112078</v>
      </c>
      <c r="I687">
        <v>107600</v>
      </c>
    </row>
    <row r="688" spans="1:9" x14ac:dyDescent="0.3">
      <c r="A688" t="s">
        <v>720</v>
      </c>
      <c r="B688">
        <v>45756</v>
      </c>
      <c r="C688" t="s">
        <v>16</v>
      </c>
      <c r="D688" t="s">
        <v>11</v>
      </c>
      <c r="E688" t="s">
        <v>17</v>
      </c>
      <c r="F688" t="s">
        <v>42</v>
      </c>
      <c r="G688" t="s">
        <v>19</v>
      </c>
      <c r="H688">
        <v>107251</v>
      </c>
      <c r="I688">
        <v>102200</v>
      </c>
    </row>
    <row r="689" spans="1:9" x14ac:dyDescent="0.3">
      <c r="A689" t="s">
        <v>721</v>
      </c>
      <c r="B689">
        <v>45756</v>
      </c>
      <c r="C689" t="s">
        <v>36</v>
      </c>
      <c r="D689" t="s">
        <v>11</v>
      </c>
      <c r="E689" t="s">
        <v>37</v>
      </c>
      <c r="F689" t="s">
        <v>56</v>
      </c>
      <c r="G689" t="s">
        <v>19</v>
      </c>
      <c r="H689">
        <v>90897</v>
      </c>
      <c r="I689">
        <v>95200</v>
      </c>
    </row>
    <row r="690" spans="1:9" x14ac:dyDescent="0.3">
      <c r="A690" t="s">
        <v>722</v>
      </c>
      <c r="B690">
        <v>45756</v>
      </c>
      <c r="C690" t="s">
        <v>36</v>
      </c>
      <c r="D690" t="s">
        <v>11</v>
      </c>
      <c r="E690" t="s">
        <v>37</v>
      </c>
      <c r="F690" t="s">
        <v>23</v>
      </c>
      <c r="G690" t="s">
        <v>14</v>
      </c>
      <c r="H690">
        <v>152336</v>
      </c>
      <c r="I690">
        <v>168300</v>
      </c>
    </row>
    <row r="691" spans="1:9" x14ac:dyDescent="0.3">
      <c r="A691" t="s">
        <v>723</v>
      </c>
      <c r="B691">
        <v>45756</v>
      </c>
      <c r="C691" t="s">
        <v>21</v>
      </c>
      <c r="D691" t="s">
        <v>11</v>
      </c>
      <c r="E691" t="s">
        <v>22</v>
      </c>
      <c r="F691" t="s">
        <v>12</v>
      </c>
      <c r="G691" t="s">
        <v>14</v>
      </c>
      <c r="H691">
        <v>114356</v>
      </c>
      <c r="I691">
        <v>112200</v>
      </c>
    </row>
    <row r="692" spans="1:9" x14ac:dyDescent="0.3">
      <c r="A692" t="s">
        <v>724</v>
      </c>
      <c r="B692">
        <v>45756</v>
      </c>
      <c r="C692" t="s">
        <v>25</v>
      </c>
      <c r="D692" t="s">
        <v>11</v>
      </c>
      <c r="E692" t="s">
        <v>22</v>
      </c>
      <c r="F692" t="s">
        <v>59</v>
      </c>
      <c r="G692" t="s">
        <v>14</v>
      </c>
      <c r="H692">
        <v>186721</v>
      </c>
      <c r="I692">
        <v>178300</v>
      </c>
    </row>
    <row r="693" spans="1:9" x14ac:dyDescent="0.3">
      <c r="A693" t="s">
        <v>725</v>
      </c>
      <c r="B693">
        <v>45756</v>
      </c>
      <c r="C693" t="s">
        <v>55</v>
      </c>
      <c r="D693" t="s">
        <v>11</v>
      </c>
      <c r="E693" t="s">
        <v>37</v>
      </c>
      <c r="F693" t="s">
        <v>59</v>
      </c>
      <c r="G693" t="s">
        <v>14</v>
      </c>
      <c r="H693">
        <v>115729</v>
      </c>
      <c r="I693">
        <v>100100</v>
      </c>
    </row>
    <row r="694" spans="1:9" x14ac:dyDescent="0.3">
      <c r="A694" t="s">
        <v>726</v>
      </c>
      <c r="B694">
        <v>45757</v>
      </c>
      <c r="C694" t="s">
        <v>62</v>
      </c>
      <c r="D694" t="s">
        <v>11</v>
      </c>
      <c r="E694" t="s">
        <v>22</v>
      </c>
      <c r="F694" t="s">
        <v>12</v>
      </c>
      <c r="G694" t="s">
        <v>14</v>
      </c>
      <c r="H694">
        <v>188216</v>
      </c>
      <c r="I694">
        <v>177200</v>
      </c>
    </row>
    <row r="695" spans="1:9" x14ac:dyDescent="0.3">
      <c r="A695" t="s">
        <v>727</v>
      </c>
      <c r="B695">
        <v>45757</v>
      </c>
      <c r="C695" t="s">
        <v>10</v>
      </c>
      <c r="D695" t="s">
        <v>11</v>
      </c>
      <c r="E695" t="s">
        <v>12</v>
      </c>
      <c r="F695" t="s">
        <v>13</v>
      </c>
      <c r="G695" t="s">
        <v>14</v>
      </c>
      <c r="H695">
        <v>194821</v>
      </c>
      <c r="I695">
        <v>186900</v>
      </c>
    </row>
    <row r="696" spans="1:9" x14ac:dyDescent="0.3">
      <c r="A696" t="s">
        <v>728</v>
      </c>
      <c r="B696">
        <v>45757</v>
      </c>
      <c r="C696" t="s">
        <v>16</v>
      </c>
      <c r="D696" t="s">
        <v>11</v>
      </c>
      <c r="E696" t="s">
        <v>17</v>
      </c>
      <c r="F696" t="s">
        <v>23</v>
      </c>
      <c r="G696" t="s">
        <v>14</v>
      </c>
      <c r="H696">
        <v>143576</v>
      </c>
      <c r="I696">
        <v>145700</v>
      </c>
    </row>
    <row r="697" spans="1:9" x14ac:dyDescent="0.3">
      <c r="A697" t="s">
        <v>729</v>
      </c>
      <c r="B697">
        <v>45757</v>
      </c>
      <c r="C697" t="s">
        <v>36</v>
      </c>
      <c r="D697" t="s">
        <v>11</v>
      </c>
      <c r="E697" t="s">
        <v>37</v>
      </c>
      <c r="F697" t="s">
        <v>46</v>
      </c>
      <c r="G697" t="s">
        <v>19</v>
      </c>
      <c r="H697">
        <v>72828</v>
      </c>
      <c r="I697">
        <v>69600</v>
      </c>
    </row>
    <row r="698" spans="1:9" x14ac:dyDescent="0.3">
      <c r="A698" t="s">
        <v>730</v>
      </c>
      <c r="B698">
        <v>45757</v>
      </c>
      <c r="C698" t="s">
        <v>25</v>
      </c>
      <c r="D698" t="s">
        <v>11</v>
      </c>
      <c r="E698" t="s">
        <v>22</v>
      </c>
      <c r="F698" t="s">
        <v>13</v>
      </c>
      <c r="G698" t="s">
        <v>14</v>
      </c>
      <c r="H698">
        <v>174569</v>
      </c>
      <c r="I698">
        <v>180000</v>
      </c>
    </row>
    <row r="699" spans="1:9" x14ac:dyDescent="0.3">
      <c r="A699" t="s">
        <v>731</v>
      </c>
      <c r="B699">
        <v>45757</v>
      </c>
      <c r="C699" t="s">
        <v>31</v>
      </c>
      <c r="D699" t="s">
        <v>11</v>
      </c>
      <c r="E699" t="s">
        <v>17</v>
      </c>
      <c r="F699" t="s">
        <v>39</v>
      </c>
      <c r="G699" t="s">
        <v>19</v>
      </c>
      <c r="H699">
        <v>97833</v>
      </c>
      <c r="I699">
        <v>89700</v>
      </c>
    </row>
    <row r="700" spans="1:9" x14ac:dyDescent="0.3">
      <c r="A700" t="s">
        <v>732</v>
      </c>
      <c r="B700">
        <v>45757</v>
      </c>
      <c r="C700" t="s">
        <v>31</v>
      </c>
      <c r="D700" t="s">
        <v>11</v>
      </c>
      <c r="E700" t="s">
        <v>17</v>
      </c>
      <c r="F700" t="s">
        <v>56</v>
      </c>
      <c r="G700" t="s">
        <v>19</v>
      </c>
      <c r="H700">
        <v>56897</v>
      </c>
      <c r="I700">
        <v>54500</v>
      </c>
    </row>
    <row r="701" spans="1:9" x14ac:dyDescent="0.3">
      <c r="A701" t="s">
        <v>733</v>
      </c>
      <c r="B701">
        <v>45757</v>
      </c>
      <c r="C701" t="s">
        <v>55</v>
      </c>
      <c r="D701" t="s">
        <v>11</v>
      </c>
      <c r="E701" t="s">
        <v>37</v>
      </c>
      <c r="F701" t="s">
        <v>18</v>
      </c>
      <c r="G701" t="s">
        <v>19</v>
      </c>
      <c r="H701">
        <v>100920</v>
      </c>
      <c r="I701">
        <v>106900</v>
      </c>
    </row>
    <row r="702" spans="1:9" x14ac:dyDescent="0.3">
      <c r="A702" t="s">
        <v>734</v>
      </c>
      <c r="B702">
        <v>45758</v>
      </c>
      <c r="C702" t="s">
        <v>16</v>
      </c>
      <c r="D702" t="s">
        <v>11</v>
      </c>
      <c r="E702" t="s">
        <v>17</v>
      </c>
      <c r="F702" t="s">
        <v>42</v>
      </c>
      <c r="G702" t="s">
        <v>19</v>
      </c>
      <c r="H702">
        <v>99266</v>
      </c>
      <c r="I702">
        <v>84100</v>
      </c>
    </row>
    <row r="703" spans="1:9" x14ac:dyDescent="0.3">
      <c r="A703" t="s">
        <v>735</v>
      </c>
      <c r="B703">
        <v>45758</v>
      </c>
      <c r="C703" t="s">
        <v>36</v>
      </c>
      <c r="D703" t="s">
        <v>11</v>
      </c>
      <c r="E703" t="s">
        <v>37</v>
      </c>
      <c r="F703" t="s">
        <v>59</v>
      </c>
      <c r="G703" t="s">
        <v>14</v>
      </c>
      <c r="H703">
        <v>117991</v>
      </c>
      <c r="I703">
        <v>124100</v>
      </c>
    </row>
    <row r="704" spans="1:9" x14ac:dyDescent="0.3">
      <c r="A704" t="s">
        <v>736</v>
      </c>
      <c r="B704">
        <v>45758</v>
      </c>
      <c r="C704" t="s">
        <v>21</v>
      </c>
      <c r="D704" t="s">
        <v>11</v>
      </c>
      <c r="E704" t="s">
        <v>22</v>
      </c>
      <c r="F704" t="s">
        <v>59</v>
      </c>
      <c r="G704" t="s">
        <v>14</v>
      </c>
      <c r="H704">
        <v>168965</v>
      </c>
      <c r="I704">
        <v>193900</v>
      </c>
    </row>
    <row r="705" spans="1:9" x14ac:dyDescent="0.3">
      <c r="A705" t="s">
        <v>737</v>
      </c>
      <c r="B705">
        <v>45758</v>
      </c>
      <c r="C705" t="s">
        <v>31</v>
      </c>
      <c r="D705" t="s">
        <v>11</v>
      </c>
      <c r="E705" t="s">
        <v>17</v>
      </c>
      <c r="F705" t="s">
        <v>12</v>
      </c>
      <c r="G705" t="s">
        <v>14</v>
      </c>
      <c r="H705">
        <v>170849</v>
      </c>
      <c r="I705">
        <v>187000</v>
      </c>
    </row>
    <row r="706" spans="1:9" x14ac:dyDescent="0.3">
      <c r="A706" t="s">
        <v>738</v>
      </c>
      <c r="B706">
        <v>45758</v>
      </c>
      <c r="C706" t="s">
        <v>31</v>
      </c>
      <c r="D706" t="s">
        <v>11</v>
      </c>
      <c r="E706" t="s">
        <v>17</v>
      </c>
      <c r="F706" t="s">
        <v>13</v>
      </c>
      <c r="G706" t="s">
        <v>14</v>
      </c>
      <c r="H706">
        <v>113502</v>
      </c>
      <c r="I706">
        <v>119700</v>
      </c>
    </row>
    <row r="707" spans="1:9" x14ac:dyDescent="0.3">
      <c r="A707" t="s">
        <v>739</v>
      </c>
      <c r="B707">
        <v>45758</v>
      </c>
      <c r="C707" t="s">
        <v>31</v>
      </c>
      <c r="D707" t="s">
        <v>11</v>
      </c>
      <c r="E707" t="s">
        <v>17</v>
      </c>
      <c r="F707" t="s">
        <v>13</v>
      </c>
      <c r="G707" t="s">
        <v>14</v>
      </c>
      <c r="H707">
        <v>89031</v>
      </c>
      <c r="I707">
        <v>84300</v>
      </c>
    </row>
    <row r="708" spans="1:9" x14ac:dyDescent="0.3">
      <c r="A708" t="s">
        <v>740</v>
      </c>
      <c r="B708">
        <v>45758</v>
      </c>
      <c r="C708" t="s">
        <v>55</v>
      </c>
      <c r="D708" t="s">
        <v>11</v>
      </c>
      <c r="E708" t="s">
        <v>37</v>
      </c>
      <c r="F708" t="s">
        <v>42</v>
      </c>
      <c r="G708" t="s">
        <v>19</v>
      </c>
      <c r="H708">
        <v>65846</v>
      </c>
      <c r="I708">
        <v>62200</v>
      </c>
    </row>
    <row r="709" spans="1:9" x14ac:dyDescent="0.3">
      <c r="A709" t="s">
        <v>741</v>
      </c>
      <c r="B709">
        <v>45758</v>
      </c>
      <c r="C709" t="s">
        <v>55</v>
      </c>
      <c r="D709" t="s">
        <v>11</v>
      </c>
      <c r="E709" t="s">
        <v>37</v>
      </c>
      <c r="F709" t="s">
        <v>26</v>
      </c>
      <c r="G709" t="s">
        <v>14</v>
      </c>
      <c r="H709">
        <v>94880</v>
      </c>
      <c r="I709">
        <v>102700</v>
      </c>
    </row>
    <row r="710" spans="1:9" x14ac:dyDescent="0.3">
      <c r="A710" t="s">
        <v>742</v>
      </c>
      <c r="B710">
        <v>45758</v>
      </c>
      <c r="C710" t="s">
        <v>55</v>
      </c>
      <c r="D710" t="s">
        <v>11</v>
      </c>
      <c r="E710" t="s">
        <v>37</v>
      </c>
      <c r="F710" t="s">
        <v>26</v>
      </c>
      <c r="G710" t="s">
        <v>14</v>
      </c>
      <c r="H710">
        <v>194319</v>
      </c>
      <c r="I710">
        <v>211900</v>
      </c>
    </row>
    <row r="711" spans="1:9" x14ac:dyDescent="0.3">
      <c r="A711" t="s">
        <v>743</v>
      </c>
      <c r="B711">
        <v>45759</v>
      </c>
      <c r="C711" t="s">
        <v>62</v>
      </c>
      <c r="D711" t="s">
        <v>11</v>
      </c>
      <c r="E711" t="s">
        <v>22</v>
      </c>
      <c r="F711" t="s">
        <v>56</v>
      </c>
      <c r="G711" t="s">
        <v>19</v>
      </c>
      <c r="H711">
        <v>95829</v>
      </c>
      <c r="I711">
        <v>103500</v>
      </c>
    </row>
    <row r="712" spans="1:9" x14ac:dyDescent="0.3">
      <c r="A712" t="s">
        <v>744</v>
      </c>
      <c r="B712">
        <v>45759</v>
      </c>
      <c r="C712" t="s">
        <v>10</v>
      </c>
      <c r="D712" t="s">
        <v>11</v>
      </c>
      <c r="E712" t="s">
        <v>12</v>
      </c>
      <c r="F712" t="s">
        <v>12</v>
      </c>
      <c r="G712" t="s">
        <v>14</v>
      </c>
      <c r="H712">
        <v>226642</v>
      </c>
      <c r="I712">
        <v>223000</v>
      </c>
    </row>
    <row r="713" spans="1:9" x14ac:dyDescent="0.3">
      <c r="A713" t="s">
        <v>745</v>
      </c>
      <c r="B713">
        <v>45759</v>
      </c>
      <c r="C713" t="s">
        <v>10</v>
      </c>
      <c r="D713" t="s">
        <v>11</v>
      </c>
      <c r="E713" t="s">
        <v>12</v>
      </c>
      <c r="F713" t="s">
        <v>59</v>
      </c>
      <c r="G713" t="s">
        <v>14</v>
      </c>
      <c r="H713">
        <v>160236</v>
      </c>
      <c r="I713">
        <v>186800</v>
      </c>
    </row>
    <row r="714" spans="1:9" x14ac:dyDescent="0.3">
      <c r="A714" t="s">
        <v>746</v>
      </c>
      <c r="B714">
        <v>45759</v>
      </c>
      <c r="C714" t="s">
        <v>16</v>
      </c>
      <c r="D714" t="s">
        <v>11</v>
      </c>
      <c r="E714" t="s">
        <v>17</v>
      </c>
      <c r="F714" t="s">
        <v>59</v>
      </c>
      <c r="G714" t="s">
        <v>14</v>
      </c>
      <c r="H714">
        <v>95271</v>
      </c>
      <c r="I714">
        <v>97600</v>
      </c>
    </row>
    <row r="715" spans="1:9" x14ac:dyDescent="0.3">
      <c r="A715" t="s">
        <v>747</v>
      </c>
      <c r="B715">
        <v>45759</v>
      </c>
      <c r="C715" t="s">
        <v>36</v>
      </c>
      <c r="D715" t="s">
        <v>11</v>
      </c>
      <c r="E715" t="s">
        <v>37</v>
      </c>
      <c r="F715" t="s">
        <v>33</v>
      </c>
      <c r="G715" t="s">
        <v>19</v>
      </c>
      <c r="H715">
        <v>80550</v>
      </c>
      <c r="I715">
        <v>76900</v>
      </c>
    </row>
    <row r="716" spans="1:9" x14ac:dyDescent="0.3">
      <c r="A716" t="s">
        <v>748</v>
      </c>
      <c r="B716">
        <v>45759</v>
      </c>
      <c r="C716" t="s">
        <v>21</v>
      </c>
      <c r="D716" t="s">
        <v>11</v>
      </c>
      <c r="E716" t="s">
        <v>22</v>
      </c>
      <c r="F716" t="s">
        <v>39</v>
      </c>
      <c r="G716" t="s">
        <v>19</v>
      </c>
      <c r="H716">
        <v>92803</v>
      </c>
      <c r="I716">
        <v>96700</v>
      </c>
    </row>
    <row r="717" spans="1:9" x14ac:dyDescent="0.3">
      <c r="A717" t="s">
        <v>749</v>
      </c>
      <c r="B717">
        <v>45759</v>
      </c>
      <c r="C717" t="s">
        <v>21</v>
      </c>
      <c r="D717" t="s">
        <v>11</v>
      </c>
      <c r="E717" t="s">
        <v>22</v>
      </c>
      <c r="F717" t="s">
        <v>59</v>
      </c>
      <c r="G717" t="s">
        <v>14</v>
      </c>
      <c r="H717">
        <v>144819</v>
      </c>
      <c r="I717">
        <v>157100</v>
      </c>
    </row>
    <row r="718" spans="1:9" x14ac:dyDescent="0.3">
      <c r="A718" t="s">
        <v>750</v>
      </c>
      <c r="B718">
        <v>45759</v>
      </c>
      <c r="C718" t="s">
        <v>55</v>
      </c>
      <c r="D718" t="s">
        <v>11</v>
      </c>
      <c r="E718" t="s">
        <v>37</v>
      </c>
      <c r="F718" t="s">
        <v>59</v>
      </c>
      <c r="G718" t="s">
        <v>14</v>
      </c>
      <c r="H718">
        <v>178696</v>
      </c>
      <c r="I718">
        <v>175000</v>
      </c>
    </row>
    <row r="719" spans="1:9" x14ac:dyDescent="0.3">
      <c r="A719" t="s">
        <v>751</v>
      </c>
      <c r="B719">
        <v>45759</v>
      </c>
      <c r="C719" t="s">
        <v>55</v>
      </c>
      <c r="D719" t="s">
        <v>11</v>
      </c>
      <c r="E719" t="s">
        <v>37</v>
      </c>
      <c r="F719" t="s">
        <v>13</v>
      </c>
      <c r="G719" t="s">
        <v>14</v>
      </c>
      <c r="H719">
        <v>25508</v>
      </c>
      <c r="I719">
        <v>24400</v>
      </c>
    </row>
    <row r="720" spans="1:9" x14ac:dyDescent="0.3">
      <c r="A720" t="s">
        <v>752</v>
      </c>
      <c r="B720">
        <v>45759</v>
      </c>
      <c r="C720" t="s">
        <v>55</v>
      </c>
      <c r="D720" t="s">
        <v>11</v>
      </c>
      <c r="E720" t="s">
        <v>37</v>
      </c>
      <c r="F720" t="s">
        <v>23</v>
      </c>
      <c r="G720" t="s">
        <v>14</v>
      </c>
      <c r="H720">
        <v>218539</v>
      </c>
      <c r="I720">
        <v>234600</v>
      </c>
    </row>
    <row r="721" spans="1:9" x14ac:dyDescent="0.3">
      <c r="A721" t="s">
        <v>753</v>
      </c>
      <c r="B721">
        <v>45760</v>
      </c>
      <c r="C721" t="s">
        <v>62</v>
      </c>
      <c r="D721" t="s">
        <v>11</v>
      </c>
      <c r="E721" t="s">
        <v>22</v>
      </c>
      <c r="F721" t="s">
        <v>39</v>
      </c>
      <c r="G721" t="s">
        <v>19</v>
      </c>
      <c r="H721">
        <v>39517</v>
      </c>
      <c r="I721">
        <v>39700</v>
      </c>
    </row>
    <row r="722" spans="1:9" x14ac:dyDescent="0.3">
      <c r="A722" t="s">
        <v>754</v>
      </c>
      <c r="B722">
        <v>45760</v>
      </c>
      <c r="C722" t="s">
        <v>16</v>
      </c>
      <c r="D722" t="s">
        <v>11</v>
      </c>
      <c r="E722" t="s">
        <v>17</v>
      </c>
      <c r="F722" t="s">
        <v>56</v>
      </c>
      <c r="G722" t="s">
        <v>19</v>
      </c>
      <c r="H722">
        <v>56757</v>
      </c>
      <c r="I722">
        <v>63000</v>
      </c>
    </row>
    <row r="723" spans="1:9" x14ac:dyDescent="0.3">
      <c r="A723" t="s">
        <v>755</v>
      </c>
      <c r="B723">
        <v>45760</v>
      </c>
      <c r="C723" t="s">
        <v>16</v>
      </c>
      <c r="D723" t="s">
        <v>11</v>
      </c>
      <c r="E723" t="s">
        <v>17</v>
      </c>
      <c r="F723" t="s">
        <v>42</v>
      </c>
      <c r="G723" t="s">
        <v>19</v>
      </c>
      <c r="H723">
        <v>59653</v>
      </c>
      <c r="I723">
        <v>63500</v>
      </c>
    </row>
    <row r="724" spans="1:9" x14ac:dyDescent="0.3">
      <c r="A724" t="s">
        <v>756</v>
      </c>
      <c r="B724">
        <v>45760</v>
      </c>
      <c r="C724" t="s">
        <v>16</v>
      </c>
      <c r="D724" t="s">
        <v>11</v>
      </c>
      <c r="E724" t="s">
        <v>17</v>
      </c>
      <c r="F724" t="s">
        <v>13</v>
      </c>
      <c r="G724" t="s">
        <v>14</v>
      </c>
      <c r="H724">
        <v>150326</v>
      </c>
      <c r="I724">
        <v>162800</v>
      </c>
    </row>
    <row r="725" spans="1:9" x14ac:dyDescent="0.3">
      <c r="A725" t="s">
        <v>757</v>
      </c>
      <c r="B725">
        <v>45760</v>
      </c>
      <c r="C725" t="s">
        <v>16</v>
      </c>
      <c r="D725" t="s">
        <v>11</v>
      </c>
      <c r="E725" t="s">
        <v>17</v>
      </c>
      <c r="F725" t="s">
        <v>37</v>
      </c>
      <c r="G725" t="s">
        <v>14</v>
      </c>
      <c r="H725">
        <v>74903</v>
      </c>
      <c r="I725">
        <v>72400</v>
      </c>
    </row>
    <row r="726" spans="1:9" x14ac:dyDescent="0.3">
      <c r="A726" t="s">
        <v>758</v>
      </c>
      <c r="B726">
        <v>45760</v>
      </c>
      <c r="C726" t="s">
        <v>31</v>
      </c>
      <c r="D726" t="s">
        <v>11</v>
      </c>
      <c r="E726" t="s">
        <v>17</v>
      </c>
      <c r="F726" t="s">
        <v>56</v>
      </c>
      <c r="G726" t="s">
        <v>19</v>
      </c>
      <c r="H726">
        <v>55239</v>
      </c>
      <c r="I726">
        <v>58200</v>
      </c>
    </row>
    <row r="727" spans="1:9" x14ac:dyDescent="0.3">
      <c r="A727" t="s">
        <v>759</v>
      </c>
      <c r="B727">
        <v>45760</v>
      </c>
      <c r="C727" t="s">
        <v>31</v>
      </c>
      <c r="D727" t="s">
        <v>11</v>
      </c>
      <c r="E727" t="s">
        <v>17</v>
      </c>
      <c r="F727" t="s">
        <v>12</v>
      </c>
      <c r="G727" t="s">
        <v>14</v>
      </c>
      <c r="H727">
        <v>202700</v>
      </c>
      <c r="I727">
        <v>184900</v>
      </c>
    </row>
    <row r="728" spans="1:9" x14ac:dyDescent="0.3">
      <c r="A728" t="s">
        <v>760</v>
      </c>
      <c r="B728">
        <v>45761</v>
      </c>
      <c r="C728" t="s">
        <v>62</v>
      </c>
      <c r="D728" t="s">
        <v>11</v>
      </c>
      <c r="E728" t="s">
        <v>22</v>
      </c>
      <c r="F728" t="s">
        <v>39</v>
      </c>
      <c r="G728" t="s">
        <v>19</v>
      </c>
      <c r="H728">
        <v>59603</v>
      </c>
      <c r="I728">
        <v>57500</v>
      </c>
    </row>
    <row r="729" spans="1:9" x14ac:dyDescent="0.3">
      <c r="A729" t="s">
        <v>761</v>
      </c>
      <c r="B729">
        <v>45761</v>
      </c>
      <c r="C729" t="s">
        <v>62</v>
      </c>
      <c r="D729" t="s">
        <v>11</v>
      </c>
      <c r="E729" t="s">
        <v>22</v>
      </c>
      <c r="F729" t="s">
        <v>26</v>
      </c>
      <c r="G729" t="s">
        <v>14</v>
      </c>
      <c r="H729">
        <v>74139</v>
      </c>
      <c r="I729">
        <v>72000</v>
      </c>
    </row>
    <row r="730" spans="1:9" x14ac:dyDescent="0.3">
      <c r="A730" t="s">
        <v>762</v>
      </c>
      <c r="B730">
        <v>45761</v>
      </c>
      <c r="C730" t="s">
        <v>10</v>
      </c>
      <c r="D730" t="s">
        <v>11</v>
      </c>
      <c r="E730" t="s">
        <v>12</v>
      </c>
      <c r="F730" t="s">
        <v>59</v>
      </c>
      <c r="G730" t="s">
        <v>14</v>
      </c>
      <c r="H730">
        <v>221166</v>
      </c>
      <c r="I730">
        <v>249700</v>
      </c>
    </row>
    <row r="731" spans="1:9" x14ac:dyDescent="0.3">
      <c r="A731" t="s">
        <v>763</v>
      </c>
      <c r="B731">
        <v>45761</v>
      </c>
      <c r="C731" t="s">
        <v>36</v>
      </c>
      <c r="D731" t="s">
        <v>11</v>
      </c>
      <c r="E731" t="s">
        <v>37</v>
      </c>
      <c r="F731" t="s">
        <v>18</v>
      </c>
      <c r="G731" t="s">
        <v>19</v>
      </c>
      <c r="H731">
        <v>23261</v>
      </c>
      <c r="I731">
        <v>24700</v>
      </c>
    </row>
    <row r="732" spans="1:9" x14ac:dyDescent="0.3">
      <c r="A732" t="s">
        <v>764</v>
      </c>
      <c r="B732">
        <v>45761</v>
      </c>
      <c r="C732" t="s">
        <v>21</v>
      </c>
      <c r="D732" t="s">
        <v>11</v>
      </c>
      <c r="E732" t="s">
        <v>22</v>
      </c>
      <c r="F732" t="s">
        <v>33</v>
      </c>
      <c r="G732" t="s">
        <v>19</v>
      </c>
      <c r="H732">
        <v>76506</v>
      </c>
      <c r="I732">
        <v>69800</v>
      </c>
    </row>
    <row r="733" spans="1:9" x14ac:dyDescent="0.3">
      <c r="A733" t="s">
        <v>765</v>
      </c>
      <c r="B733">
        <v>45761</v>
      </c>
      <c r="C733" t="s">
        <v>25</v>
      </c>
      <c r="D733" t="s">
        <v>11</v>
      </c>
      <c r="E733" t="s">
        <v>22</v>
      </c>
      <c r="F733" t="s">
        <v>59</v>
      </c>
      <c r="G733" t="s">
        <v>14</v>
      </c>
      <c r="H733">
        <v>215903</v>
      </c>
      <c r="I733">
        <v>231000</v>
      </c>
    </row>
    <row r="734" spans="1:9" x14ac:dyDescent="0.3">
      <c r="A734" t="s">
        <v>766</v>
      </c>
      <c r="B734">
        <v>45761</v>
      </c>
      <c r="C734" t="s">
        <v>31</v>
      </c>
      <c r="D734" t="s">
        <v>11</v>
      </c>
      <c r="E734" t="s">
        <v>17</v>
      </c>
      <c r="F734" t="s">
        <v>39</v>
      </c>
      <c r="G734" t="s">
        <v>19</v>
      </c>
      <c r="H734">
        <v>68165</v>
      </c>
      <c r="I734">
        <v>67000</v>
      </c>
    </row>
    <row r="735" spans="1:9" x14ac:dyDescent="0.3">
      <c r="A735" t="s">
        <v>767</v>
      </c>
      <c r="B735">
        <v>45761</v>
      </c>
      <c r="C735" t="s">
        <v>31</v>
      </c>
      <c r="D735" t="s">
        <v>11</v>
      </c>
      <c r="E735" t="s">
        <v>17</v>
      </c>
      <c r="F735" t="s">
        <v>12</v>
      </c>
      <c r="G735" t="s">
        <v>14</v>
      </c>
      <c r="H735">
        <v>149670</v>
      </c>
      <c r="I735">
        <v>165700</v>
      </c>
    </row>
    <row r="736" spans="1:9" x14ac:dyDescent="0.3">
      <c r="A736" t="s">
        <v>768</v>
      </c>
      <c r="B736">
        <v>45761</v>
      </c>
      <c r="C736" t="s">
        <v>31</v>
      </c>
      <c r="D736" t="s">
        <v>11</v>
      </c>
      <c r="E736" t="s">
        <v>17</v>
      </c>
      <c r="F736" t="s">
        <v>13</v>
      </c>
      <c r="G736" t="s">
        <v>14</v>
      </c>
      <c r="H736">
        <v>76989</v>
      </c>
      <c r="I736">
        <v>73900</v>
      </c>
    </row>
    <row r="737" spans="1:9" x14ac:dyDescent="0.3">
      <c r="A737" t="s">
        <v>769</v>
      </c>
      <c r="B737">
        <v>45762</v>
      </c>
      <c r="C737" t="s">
        <v>62</v>
      </c>
      <c r="D737" t="s">
        <v>11</v>
      </c>
      <c r="E737" t="s">
        <v>22</v>
      </c>
      <c r="F737" t="s">
        <v>42</v>
      </c>
      <c r="G737" t="s">
        <v>19</v>
      </c>
      <c r="H737">
        <v>85772</v>
      </c>
      <c r="I737">
        <v>76200</v>
      </c>
    </row>
    <row r="738" spans="1:9" x14ac:dyDescent="0.3">
      <c r="A738" t="s">
        <v>770</v>
      </c>
      <c r="B738">
        <v>45762</v>
      </c>
      <c r="C738" t="s">
        <v>16</v>
      </c>
      <c r="D738" t="s">
        <v>11</v>
      </c>
      <c r="E738" t="s">
        <v>17</v>
      </c>
      <c r="F738" t="s">
        <v>37</v>
      </c>
      <c r="G738" t="s">
        <v>14</v>
      </c>
      <c r="H738">
        <v>136756</v>
      </c>
      <c r="I738">
        <v>146500</v>
      </c>
    </row>
    <row r="739" spans="1:9" x14ac:dyDescent="0.3">
      <c r="A739" t="s">
        <v>771</v>
      </c>
      <c r="B739">
        <v>45762</v>
      </c>
      <c r="C739" t="s">
        <v>36</v>
      </c>
      <c r="D739" t="s">
        <v>11</v>
      </c>
      <c r="E739" t="s">
        <v>37</v>
      </c>
      <c r="F739" t="s">
        <v>23</v>
      </c>
      <c r="G739" t="s">
        <v>14</v>
      </c>
      <c r="H739">
        <v>178754</v>
      </c>
      <c r="I739">
        <v>175300</v>
      </c>
    </row>
    <row r="740" spans="1:9" x14ac:dyDescent="0.3">
      <c r="A740" t="s">
        <v>772</v>
      </c>
      <c r="B740">
        <v>45762</v>
      </c>
      <c r="C740" t="s">
        <v>21</v>
      </c>
      <c r="D740" t="s">
        <v>11</v>
      </c>
      <c r="E740" t="s">
        <v>22</v>
      </c>
      <c r="F740" t="s">
        <v>42</v>
      </c>
      <c r="G740" t="s">
        <v>19</v>
      </c>
      <c r="H740">
        <v>98310</v>
      </c>
      <c r="I740">
        <v>113900</v>
      </c>
    </row>
    <row r="741" spans="1:9" x14ac:dyDescent="0.3">
      <c r="A741" t="s">
        <v>773</v>
      </c>
      <c r="B741">
        <v>45762</v>
      </c>
      <c r="C741" t="s">
        <v>25</v>
      </c>
      <c r="D741" t="s">
        <v>11</v>
      </c>
      <c r="E741" t="s">
        <v>22</v>
      </c>
      <c r="F741" t="s">
        <v>13</v>
      </c>
      <c r="G741" t="s">
        <v>14</v>
      </c>
      <c r="H741">
        <v>161846</v>
      </c>
      <c r="I741">
        <v>137500</v>
      </c>
    </row>
    <row r="742" spans="1:9" x14ac:dyDescent="0.3">
      <c r="A742" t="s">
        <v>774</v>
      </c>
      <c r="B742">
        <v>45762</v>
      </c>
      <c r="C742" t="s">
        <v>31</v>
      </c>
      <c r="D742" t="s">
        <v>11</v>
      </c>
      <c r="E742" t="s">
        <v>17</v>
      </c>
      <c r="F742" t="s">
        <v>56</v>
      </c>
      <c r="G742" t="s">
        <v>19</v>
      </c>
      <c r="H742">
        <v>14570</v>
      </c>
      <c r="I742">
        <v>15200</v>
      </c>
    </row>
    <row r="743" spans="1:9" x14ac:dyDescent="0.3">
      <c r="A743" t="s">
        <v>775</v>
      </c>
      <c r="B743">
        <v>45762</v>
      </c>
      <c r="C743" t="s">
        <v>31</v>
      </c>
      <c r="D743" t="s">
        <v>11</v>
      </c>
      <c r="E743" t="s">
        <v>17</v>
      </c>
      <c r="F743" t="s">
        <v>39</v>
      </c>
      <c r="G743" t="s">
        <v>19</v>
      </c>
      <c r="H743">
        <v>69925</v>
      </c>
      <c r="I743">
        <v>70200</v>
      </c>
    </row>
    <row r="744" spans="1:9" x14ac:dyDescent="0.3">
      <c r="A744" t="s">
        <v>776</v>
      </c>
      <c r="B744">
        <v>45763</v>
      </c>
      <c r="C744" t="s">
        <v>10</v>
      </c>
      <c r="D744" t="s">
        <v>11</v>
      </c>
      <c r="E744" t="s">
        <v>12</v>
      </c>
      <c r="F744" t="s">
        <v>13</v>
      </c>
      <c r="G744" t="s">
        <v>14</v>
      </c>
      <c r="H744">
        <v>205377</v>
      </c>
      <c r="I744">
        <v>215900</v>
      </c>
    </row>
    <row r="745" spans="1:9" x14ac:dyDescent="0.3">
      <c r="A745" t="s">
        <v>777</v>
      </c>
      <c r="B745">
        <v>45763</v>
      </c>
      <c r="C745" t="s">
        <v>16</v>
      </c>
      <c r="D745" t="s">
        <v>11</v>
      </c>
      <c r="E745" t="s">
        <v>17</v>
      </c>
      <c r="F745" t="s">
        <v>56</v>
      </c>
      <c r="G745" t="s">
        <v>19</v>
      </c>
      <c r="H745">
        <v>103118</v>
      </c>
      <c r="I745">
        <v>108000</v>
      </c>
    </row>
    <row r="746" spans="1:9" x14ac:dyDescent="0.3">
      <c r="A746" t="s">
        <v>778</v>
      </c>
      <c r="B746">
        <v>45763</v>
      </c>
      <c r="C746" t="s">
        <v>36</v>
      </c>
      <c r="D746" t="s">
        <v>11</v>
      </c>
      <c r="E746" t="s">
        <v>37</v>
      </c>
      <c r="F746" t="s">
        <v>42</v>
      </c>
      <c r="G746" t="s">
        <v>19</v>
      </c>
      <c r="H746">
        <v>82007</v>
      </c>
      <c r="I746">
        <v>75400</v>
      </c>
    </row>
    <row r="747" spans="1:9" x14ac:dyDescent="0.3">
      <c r="A747" t="s">
        <v>779</v>
      </c>
      <c r="B747">
        <v>45763</v>
      </c>
      <c r="C747" t="s">
        <v>21</v>
      </c>
      <c r="D747" t="s">
        <v>11</v>
      </c>
      <c r="E747" t="s">
        <v>22</v>
      </c>
      <c r="F747" t="s">
        <v>13</v>
      </c>
      <c r="G747" t="s">
        <v>14</v>
      </c>
      <c r="H747">
        <v>36010</v>
      </c>
      <c r="I747">
        <v>38700</v>
      </c>
    </row>
    <row r="748" spans="1:9" x14ac:dyDescent="0.3">
      <c r="A748" t="s">
        <v>780</v>
      </c>
      <c r="B748">
        <v>45763</v>
      </c>
      <c r="C748" t="s">
        <v>31</v>
      </c>
      <c r="D748" t="s">
        <v>11</v>
      </c>
      <c r="E748" t="s">
        <v>17</v>
      </c>
      <c r="F748" t="s">
        <v>18</v>
      </c>
      <c r="G748" t="s">
        <v>19</v>
      </c>
      <c r="H748">
        <v>23616</v>
      </c>
      <c r="I748">
        <v>24500</v>
      </c>
    </row>
    <row r="749" spans="1:9" x14ac:dyDescent="0.3">
      <c r="A749" t="s">
        <v>781</v>
      </c>
      <c r="B749">
        <v>45764</v>
      </c>
      <c r="C749" t="s">
        <v>62</v>
      </c>
      <c r="D749" t="s">
        <v>11</v>
      </c>
      <c r="E749" t="s">
        <v>22</v>
      </c>
      <c r="F749" t="s">
        <v>18</v>
      </c>
      <c r="G749" t="s">
        <v>19</v>
      </c>
      <c r="H749">
        <v>80840</v>
      </c>
      <c r="I749">
        <v>73800</v>
      </c>
    </row>
    <row r="750" spans="1:9" x14ac:dyDescent="0.3">
      <c r="A750" t="s">
        <v>782</v>
      </c>
      <c r="B750">
        <v>45764</v>
      </c>
      <c r="C750" t="s">
        <v>36</v>
      </c>
      <c r="D750" t="s">
        <v>11</v>
      </c>
      <c r="E750" t="s">
        <v>37</v>
      </c>
      <c r="F750" t="s">
        <v>12</v>
      </c>
      <c r="G750" t="s">
        <v>14</v>
      </c>
      <c r="H750">
        <v>181204</v>
      </c>
      <c r="I750">
        <v>204500</v>
      </c>
    </row>
    <row r="751" spans="1:9" x14ac:dyDescent="0.3">
      <c r="A751" t="s">
        <v>783</v>
      </c>
      <c r="B751">
        <v>45764</v>
      </c>
      <c r="C751" t="s">
        <v>36</v>
      </c>
      <c r="D751" t="s">
        <v>11</v>
      </c>
      <c r="E751" t="s">
        <v>37</v>
      </c>
      <c r="F751" t="s">
        <v>37</v>
      </c>
      <c r="G751" t="s">
        <v>14</v>
      </c>
      <c r="H751">
        <v>71062</v>
      </c>
      <c r="I751">
        <v>66100</v>
      </c>
    </row>
    <row r="752" spans="1:9" x14ac:dyDescent="0.3">
      <c r="A752" t="s">
        <v>784</v>
      </c>
      <c r="B752">
        <v>45764</v>
      </c>
      <c r="C752" t="s">
        <v>36</v>
      </c>
      <c r="D752" t="s">
        <v>11</v>
      </c>
      <c r="E752" t="s">
        <v>37</v>
      </c>
      <c r="F752" t="s">
        <v>13</v>
      </c>
      <c r="G752" t="s">
        <v>14</v>
      </c>
      <c r="H752">
        <v>115060</v>
      </c>
      <c r="I752">
        <v>115100</v>
      </c>
    </row>
    <row r="753" spans="1:9" x14ac:dyDescent="0.3">
      <c r="A753" t="s">
        <v>785</v>
      </c>
      <c r="B753">
        <v>45764</v>
      </c>
      <c r="C753" t="s">
        <v>25</v>
      </c>
      <c r="D753" t="s">
        <v>11</v>
      </c>
      <c r="E753" t="s">
        <v>22</v>
      </c>
      <c r="F753" t="s">
        <v>13</v>
      </c>
      <c r="G753" t="s">
        <v>14</v>
      </c>
      <c r="H753">
        <v>75838</v>
      </c>
      <c r="I753">
        <v>80800</v>
      </c>
    </row>
    <row r="754" spans="1:9" x14ac:dyDescent="0.3">
      <c r="A754" t="s">
        <v>786</v>
      </c>
      <c r="B754">
        <v>45764</v>
      </c>
      <c r="C754" t="s">
        <v>25</v>
      </c>
      <c r="D754" t="s">
        <v>11</v>
      </c>
      <c r="E754" t="s">
        <v>22</v>
      </c>
      <c r="F754" t="s">
        <v>13</v>
      </c>
      <c r="G754" t="s">
        <v>14</v>
      </c>
      <c r="H754">
        <v>67602</v>
      </c>
      <c r="I754">
        <v>72900</v>
      </c>
    </row>
    <row r="755" spans="1:9" x14ac:dyDescent="0.3">
      <c r="A755" t="s">
        <v>787</v>
      </c>
      <c r="B755">
        <v>45764</v>
      </c>
      <c r="C755" t="s">
        <v>25</v>
      </c>
      <c r="D755" t="s">
        <v>11</v>
      </c>
      <c r="E755" t="s">
        <v>22</v>
      </c>
      <c r="F755" t="s">
        <v>12</v>
      </c>
      <c r="G755" t="s">
        <v>14</v>
      </c>
      <c r="H755">
        <v>203150</v>
      </c>
      <c r="I755">
        <v>198400</v>
      </c>
    </row>
    <row r="756" spans="1:9" x14ac:dyDescent="0.3">
      <c r="A756" t="s">
        <v>788</v>
      </c>
      <c r="B756">
        <v>45764</v>
      </c>
      <c r="C756" t="s">
        <v>31</v>
      </c>
      <c r="D756" t="s">
        <v>11</v>
      </c>
      <c r="E756" t="s">
        <v>17</v>
      </c>
      <c r="F756" t="s">
        <v>39</v>
      </c>
      <c r="G756" t="s">
        <v>19</v>
      </c>
      <c r="H756">
        <v>43565</v>
      </c>
      <c r="I756">
        <v>43900</v>
      </c>
    </row>
    <row r="757" spans="1:9" x14ac:dyDescent="0.3">
      <c r="A757" t="s">
        <v>789</v>
      </c>
      <c r="B757">
        <v>45764</v>
      </c>
      <c r="C757" t="s">
        <v>31</v>
      </c>
      <c r="D757" t="s">
        <v>11</v>
      </c>
      <c r="E757" t="s">
        <v>17</v>
      </c>
      <c r="F757" t="s">
        <v>39</v>
      </c>
      <c r="G757" t="s">
        <v>19</v>
      </c>
      <c r="H757">
        <v>116321</v>
      </c>
      <c r="I757">
        <v>113600</v>
      </c>
    </row>
    <row r="758" spans="1:9" x14ac:dyDescent="0.3">
      <c r="A758" t="s">
        <v>790</v>
      </c>
      <c r="B758">
        <v>45765</v>
      </c>
      <c r="C758" t="s">
        <v>62</v>
      </c>
      <c r="D758" t="s">
        <v>11</v>
      </c>
      <c r="E758" t="s">
        <v>22</v>
      </c>
      <c r="F758" t="s">
        <v>42</v>
      </c>
      <c r="G758" t="s">
        <v>19</v>
      </c>
      <c r="H758">
        <v>99184</v>
      </c>
      <c r="I758">
        <v>93500</v>
      </c>
    </row>
    <row r="759" spans="1:9" x14ac:dyDescent="0.3">
      <c r="A759" t="s">
        <v>791</v>
      </c>
      <c r="B759">
        <v>45765</v>
      </c>
      <c r="C759" t="s">
        <v>62</v>
      </c>
      <c r="D759" t="s">
        <v>11</v>
      </c>
      <c r="E759" t="s">
        <v>22</v>
      </c>
      <c r="F759" t="s">
        <v>13</v>
      </c>
      <c r="G759" t="s">
        <v>14</v>
      </c>
      <c r="H759">
        <v>163645</v>
      </c>
      <c r="I759">
        <v>161500</v>
      </c>
    </row>
    <row r="760" spans="1:9" x14ac:dyDescent="0.3">
      <c r="A760" t="s">
        <v>792</v>
      </c>
      <c r="B760">
        <v>45765</v>
      </c>
      <c r="C760" t="s">
        <v>62</v>
      </c>
      <c r="D760" t="s">
        <v>11</v>
      </c>
      <c r="E760" t="s">
        <v>22</v>
      </c>
      <c r="F760" t="s">
        <v>26</v>
      </c>
      <c r="G760" t="s">
        <v>14</v>
      </c>
      <c r="H760">
        <v>29949</v>
      </c>
      <c r="I760">
        <v>30400</v>
      </c>
    </row>
    <row r="761" spans="1:9" x14ac:dyDescent="0.3">
      <c r="A761" t="s">
        <v>793</v>
      </c>
      <c r="B761">
        <v>45765</v>
      </c>
      <c r="C761" t="s">
        <v>16</v>
      </c>
      <c r="D761" t="s">
        <v>11</v>
      </c>
      <c r="E761" t="s">
        <v>17</v>
      </c>
      <c r="F761" t="s">
        <v>56</v>
      </c>
      <c r="G761" t="s">
        <v>19</v>
      </c>
      <c r="H761">
        <v>46093</v>
      </c>
      <c r="I761">
        <v>49900</v>
      </c>
    </row>
    <row r="762" spans="1:9" x14ac:dyDescent="0.3">
      <c r="A762" t="s">
        <v>794</v>
      </c>
      <c r="B762">
        <v>45765</v>
      </c>
      <c r="C762" t="s">
        <v>25</v>
      </c>
      <c r="D762" t="s">
        <v>11</v>
      </c>
      <c r="E762" t="s">
        <v>22</v>
      </c>
      <c r="F762" t="s">
        <v>18</v>
      </c>
      <c r="G762" t="s">
        <v>19</v>
      </c>
      <c r="H762">
        <v>12774</v>
      </c>
      <c r="I762">
        <v>10700</v>
      </c>
    </row>
    <row r="763" spans="1:9" x14ac:dyDescent="0.3">
      <c r="A763" t="s">
        <v>795</v>
      </c>
      <c r="B763">
        <v>45765</v>
      </c>
      <c r="C763" t="s">
        <v>25</v>
      </c>
      <c r="D763" t="s">
        <v>11</v>
      </c>
      <c r="E763" t="s">
        <v>22</v>
      </c>
      <c r="F763" t="s">
        <v>18</v>
      </c>
      <c r="G763" t="s">
        <v>19</v>
      </c>
      <c r="H763">
        <v>48782</v>
      </c>
      <c r="I763">
        <v>50800</v>
      </c>
    </row>
    <row r="764" spans="1:9" x14ac:dyDescent="0.3">
      <c r="A764" t="s">
        <v>796</v>
      </c>
      <c r="B764">
        <v>45765</v>
      </c>
      <c r="C764" t="s">
        <v>55</v>
      </c>
      <c r="D764" t="s">
        <v>11</v>
      </c>
      <c r="E764" t="s">
        <v>37</v>
      </c>
      <c r="F764" t="s">
        <v>13</v>
      </c>
      <c r="G764" t="s">
        <v>14</v>
      </c>
      <c r="H764">
        <v>149211</v>
      </c>
      <c r="I764">
        <v>132100</v>
      </c>
    </row>
    <row r="765" spans="1:9" x14ac:dyDescent="0.3">
      <c r="A765" t="s">
        <v>797</v>
      </c>
      <c r="B765">
        <v>45766</v>
      </c>
      <c r="C765" t="s">
        <v>10</v>
      </c>
      <c r="D765" t="s">
        <v>11</v>
      </c>
      <c r="E765" t="s">
        <v>12</v>
      </c>
      <c r="F765" t="s">
        <v>46</v>
      </c>
      <c r="G765" t="s">
        <v>19</v>
      </c>
      <c r="H765">
        <v>100074</v>
      </c>
      <c r="I765">
        <v>98200</v>
      </c>
    </row>
    <row r="766" spans="1:9" x14ac:dyDescent="0.3">
      <c r="A766" t="s">
        <v>798</v>
      </c>
      <c r="B766">
        <v>45766</v>
      </c>
      <c r="C766" t="s">
        <v>16</v>
      </c>
      <c r="D766" t="s">
        <v>11</v>
      </c>
      <c r="E766" t="s">
        <v>17</v>
      </c>
      <c r="F766" t="s">
        <v>56</v>
      </c>
      <c r="G766" t="s">
        <v>19</v>
      </c>
      <c r="H766">
        <v>46811</v>
      </c>
      <c r="I766">
        <v>42100</v>
      </c>
    </row>
    <row r="767" spans="1:9" x14ac:dyDescent="0.3">
      <c r="A767" t="s">
        <v>799</v>
      </c>
      <c r="B767">
        <v>45766</v>
      </c>
      <c r="C767" t="s">
        <v>36</v>
      </c>
      <c r="D767" t="s">
        <v>11</v>
      </c>
      <c r="E767" t="s">
        <v>37</v>
      </c>
      <c r="F767" t="s">
        <v>33</v>
      </c>
      <c r="G767" t="s">
        <v>19</v>
      </c>
      <c r="H767">
        <v>53957</v>
      </c>
      <c r="I767">
        <v>47400</v>
      </c>
    </row>
    <row r="768" spans="1:9" x14ac:dyDescent="0.3">
      <c r="A768" t="s">
        <v>800</v>
      </c>
      <c r="B768">
        <v>45766</v>
      </c>
      <c r="C768" t="s">
        <v>21</v>
      </c>
      <c r="D768" t="s">
        <v>11</v>
      </c>
      <c r="E768" t="s">
        <v>22</v>
      </c>
      <c r="F768" t="s">
        <v>56</v>
      </c>
      <c r="G768" t="s">
        <v>19</v>
      </c>
      <c r="H768">
        <v>108764</v>
      </c>
      <c r="I768">
        <v>91900</v>
      </c>
    </row>
    <row r="769" spans="1:9" x14ac:dyDescent="0.3">
      <c r="A769" t="s">
        <v>801</v>
      </c>
      <c r="B769">
        <v>45766</v>
      </c>
      <c r="C769" t="s">
        <v>25</v>
      </c>
      <c r="D769" t="s">
        <v>11</v>
      </c>
      <c r="E769" t="s">
        <v>22</v>
      </c>
      <c r="F769" t="s">
        <v>18</v>
      </c>
      <c r="G769" t="s">
        <v>19</v>
      </c>
      <c r="H769">
        <v>64201</v>
      </c>
      <c r="I769">
        <v>58100</v>
      </c>
    </row>
    <row r="770" spans="1:9" x14ac:dyDescent="0.3">
      <c r="A770" t="s">
        <v>802</v>
      </c>
      <c r="B770">
        <v>45766</v>
      </c>
      <c r="C770" t="s">
        <v>25</v>
      </c>
      <c r="D770" t="s">
        <v>11</v>
      </c>
      <c r="E770" t="s">
        <v>22</v>
      </c>
      <c r="F770" t="s">
        <v>13</v>
      </c>
      <c r="G770" t="s">
        <v>14</v>
      </c>
      <c r="H770">
        <v>246737</v>
      </c>
      <c r="I770">
        <v>277600</v>
      </c>
    </row>
    <row r="771" spans="1:9" x14ac:dyDescent="0.3">
      <c r="A771" t="s">
        <v>803</v>
      </c>
      <c r="B771">
        <v>45766</v>
      </c>
      <c r="C771" t="s">
        <v>31</v>
      </c>
      <c r="D771" t="s">
        <v>11</v>
      </c>
      <c r="E771" t="s">
        <v>17</v>
      </c>
      <c r="F771" t="s">
        <v>56</v>
      </c>
      <c r="G771" t="s">
        <v>19</v>
      </c>
      <c r="H771">
        <v>93018</v>
      </c>
      <c r="I771">
        <v>94300</v>
      </c>
    </row>
    <row r="772" spans="1:9" x14ac:dyDescent="0.3">
      <c r="A772" t="s">
        <v>804</v>
      </c>
      <c r="B772">
        <v>45766</v>
      </c>
      <c r="C772" t="s">
        <v>31</v>
      </c>
      <c r="D772" t="s">
        <v>11</v>
      </c>
      <c r="E772" t="s">
        <v>17</v>
      </c>
      <c r="F772" t="s">
        <v>12</v>
      </c>
      <c r="G772" t="s">
        <v>14</v>
      </c>
      <c r="H772">
        <v>212959</v>
      </c>
      <c r="I772">
        <v>222000</v>
      </c>
    </row>
    <row r="773" spans="1:9" x14ac:dyDescent="0.3">
      <c r="A773" t="s">
        <v>805</v>
      </c>
      <c r="B773">
        <v>45766</v>
      </c>
      <c r="C773" t="s">
        <v>55</v>
      </c>
      <c r="D773" t="s">
        <v>11</v>
      </c>
      <c r="E773" t="s">
        <v>37</v>
      </c>
      <c r="F773" t="s">
        <v>46</v>
      </c>
      <c r="G773" t="s">
        <v>19</v>
      </c>
      <c r="H773">
        <v>80481</v>
      </c>
      <c r="I773">
        <v>84100</v>
      </c>
    </row>
    <row r="774" spans="1:9" x14ac:dyDescent="0.3">
      <c r="A774" t="s">
        <v>806</v>
      </c>
      <c r="B774">
        <v>45767</v>
      </c>
      <c r="C774" t="s">
        <v>62</v>
      </c>
      <c r="D774" t="s">
        <v>11</v>
      </c>
      <c r="E774" t="s">
        <v>22</v>
      </c>
      <c r="F774" t="s">
        <v>46</v>
      </c>
      <c r="G774" t="s">
        <v>19</v>
      </c>
      <c r="H774">
        <v>38667</v>
      </c>
      <c r="I774">
        <v>36700</v>
      </c>
    </row>
    <row r="775" spans="1:9" x14ac:dyDescent="0.3">
      <c r="A775" t="s">
        <v>807</v>
      </c>
      <c r="B775">
        <v>45767</v>
      </c>
      <c r="C775" t="s">
        <v>62</v>
      </c>
      <c r="D775" t="s">
        <v>11</v>
      </c>
      <c r="E775" t="s">
        <v>22</v>
      </c>
      <c r="F775" t="s">
        <v>37</v>
      </c>
      <c r="G775" t="s">
        <v>14</v>
      </c>
      <c r="H775">
        <v>123586</v>
      </c>
      <c r="I775">
        <v>116500</v>
      </c>
    </row>
    <row r="776" spans="1:9" x14ac:dyDescent="0.3">
      <c r="A776" t="s">
        <v>808</v>
      </c>
      <c r="B776">
        <v>45767</v>
      </c>
      <c r="C776" t="s">
        <v>62</v>
      </c>
      <c r="D776" t="s">
        <v>11</v>
      </c>
      <c r="E776" t="s">
        <v>22</v>
      </c>
      <c r="F776" t="s">
        <v>12</v>
      </c>
      <c r="G776" t="s">
        <v>14</v>
      </c>
      <c r="H776">
        <v>107023</v>
      </c>
      <c r="I776">
        <v>112800</v>
      </c>
    </row>
    <row r="777" spans="1:9" x14ac:dyDescent="0.3">
      <c r="A777" t="s">
        <v>809</v>
      </c>
      <c r="B777">
        <v>45767</v>
      </c>
      <c r="C777" t="s">
        <v>62</v>
      </c>
      <c r="D777" t="s">
        <v>11</v>
      </c>
      <c r="E777" t="s">
        <v>22</v>
      </c>
      <c r="F777" t="s">
        <v>26</v>
      </c>
      <c r="G777" t="s">
        <v>14</v>
      </c>
      <c r="H777">
        <v>138205</v>
      </c>
      <c r="I777">
        <v>150200</v>
      </c>
    </row>
    <row r="778" spans="1:9" x14ac:dyDescent="0.3">
      <c r="A778" t="s">
        <v>810</v>
      </c>
      <c r="B778">
        <v>45767</v>
      </c>
      <c r="C778" t="s">
        <v>16</v>
      </c>
      <c r="D778" t="s">
        <v>11</v>
      </c>
      <c r="E778" t="s">
        <v>17</v>
      </c>
      <c r="F778" t="s">
        <v>56</v>
      </c>
      <c r="G778" t="s">
        <v>19</v>
      </c>
      <c r="H778">
        <v>48754</v>
      </c>
      <c r="I778">
        <v>51500</v>
      </c>
    </row>
    <row r="779" spans="1:9" x14ac:dyDescent="0.3">
      <c r="A779" t="s">
        <v>811</v>
      </c>
      <c r="B779">
        <v>45767</v>
      </c>
      <c r="C779" t="s">
        <v>16</v>
      </c>
      <c r="D779" t="s">
        <v>11</v>
      </c>
      <c r="E779" t="s">
        <v>17</v>
      </c>
      <c r="F779" t="s">
        <v>12</v>
      </c>
      <c r="G779" t="s">
        <v>14</v>
      </c>
      <c r="H779">
        <v>58687</v>
      </c>
      <c r="I779">
        <v>56000</v>
      </c>
    </row>
    <row r="780" spans="1:9" x14ac:dyDescent="0.3">
      <c r="A780" t="s">
        <v>812</v>
      </c>
      <c r="B780">
        <v>45767</v>
      </c>
      <c r="C780" t="s">
        <v>36</v>
      </c>
      <c r="D780" t="s">
        <v>11</v>
      </c>
      <c r="E780" t="s">
        <v>37</v>
      </c>
      <c r="F780" t="s">
        <v>46</v>
      </c>
      <c r="G780" t="s">
        <v>19</v>
      </c>
      <c r="H780">
        <v>90669</v>
      </c>
      <c r="I780">
        <v>93600</v>
      </c>
    </row>
    <row r="781" spans="1:9" x14ac:dyDescent="0.3">
      <c r="A781" t="s">
        <v>813</v>
      </c>
      <c r="B781">
        <v>45767</v>
      </c>
      <c r="C781" t="s">
        <v>36</v>
      </c>
      <c r="D781" t="s">
        <v>11</v>
      </c>
      <c r="E781" t="s">
        <v>37</v>
      </c>
      <c r="F781" t="s">
        <v>42</v>
      </c>
      <c r="G781" t="s">
        <v>19</v>
      </c>
      <c r="H781">
        <v>86065</v>
      </c>
      <c r="I781">
        <v>78100</v>
      </c>
    </row>
    <row r="782" spans="1:9" x14ac:dyDescent="0.3">
      <c r="A782" t="s">
        <v>814</v>
      </c>
      <c r="B782">
        <v>45767</v>
      </c>
      <c r="C782" t="s">
        <v>36</v>
      </c>
      <c r="D782" t="s">
        <v>11</v>
      </c>
      <c r="E782" t="s">
        <v>37</v>
      </c>
      <c r="F782" t="s">
        <v>59</v>
      </c>
      <c r="G782" t="s">
        <v>14</v>
      </c>
      <c r="H782">
        <v>214606</v>
      </c>
      <c r="I782">
        <v>190100</v>
      </c>
    </row>
    <row r="783" spans="1:9" x14ac:dyDescent="0.3">
      <c r="A783" t="s">
        <v>815</v>
      </c>
      <c r="B783">
        <v>45767</v>
      </c>
      <c r="C783" t="s">
        <v>25</v>
      </c>
      <c r="D783" t="s">
        <v>11</v>
      </c>
      <c r="E783" t="s">
        <v>22</v>
      </c>
      <c r="F783" t="s">
        <v>39</v>
      </c>
      <c r="G783" t="s">
        <v>19</v>
      </c>
      <c r="H783">
        <v>52914</v>
      </c>
      <c r="I783">
        <v>51400</v>
      </c>
    </row>
    <row r="784" spans="1:9" x14ac:dyDescent="0.3">
      <c r="A784" t="s">
        <v>816</v>
      </c>
      <c r="B784">
        <v>45767</v>
      </c>
      <c r="C784" t="s">
        <v>55</v>
      </c>
      <c r="D784" t="s">
        <v>11</v>
      </c>
      <c r="E784" t="s">
        <v>37</v>
      </c>
      <c r="F784" t="s">
        <v>33</v>
      </c>
      <c r="G784" t="s">
        <v>19</v>
      </c>
      <c r="H784">
        <v>81294</v>
      </c>
      <c r="I784">
        <v>85500</v>
      </c>
    </row>
    <row r="785" spans="1:9" x14ac:dyDescent="0.3">
      <c r="A785" t="s">
        <v>817</v>
      </c>
      <c r="B785">
        <v>45767</v>
      </c>
      <c r="C785" t="s">
        <v>55</v>
      </c>
      <c r="D785" t="s">
        <v>11</v>
      </c>
      <c r="E785" t="s">
        <v>37</v>
      </c>
      <c r="F785" t="s">
        <v>18</v>
      </c>
      <c r="G785" t="s">
        <v>19</v>
      </c>
      <c r="H785">
        <v>21591</v>
      </c>
      <c r="I785">
        <v>20400</v>
      </c>
    </row>
    <row r="786" spans="1:9" x14ac:dyDescent="0.3">
      <c r="A786" t="s">
        <v>818</v>
      </c>
      <c r="B786">
        <v>45768</v>
      </c>
      <c r="C786" t="s">
        <v>62</v>
      </c>
      <c r="D786" t="s">
        <v>11</v>
      </c>
      <c r="E786" t="s">
        <v>22</v>
      </c>
      <c r="F786" t="s">
        <v>23</v>
      </c>
      <c r="G786" t="s">
        <v>14</v>
      </c>
      <c r="H786">
        <v>144673</v>
      </c>
      <c r="I786">
        <v>151100</v>
      </c>
    </row>
    <row r="787" spans="1:9" x14ac:dyDescent="0.3">
      <c r="A787" t="s">
        <v>819</v>
      </c>
      <c r="B787">
        <v>45768</v>
      </c>
      <c r="C787" t="s">
        <v>62</v>
      </c>
      <c r="D787" t="s">
        <v>11</v>
      </c>
      <c r="E787" t="s">
        <v>22</v>
      </c>
      <c r="F787" t="s">
        <v>13</v>
      </c>
      <c r="G787" t="s">
        <v>14</v>
      </c>
      <c r="H787">
        <v>91581</v>
      </c>
      <c r="I787">
        <v>81500</v>
      </c>
    </row>
    <row r="788" spans="1:9" x14ac:dyDescent="0.3">
      <c r="A788" t="s">
        <v>820</v>
      </c>
      <c r="B788">
        <v>45768</v>
      </c>
      <c r="C788" t="s">
        <v>62</v>
      </c>
      <c r="D788" t="s">
        <v>11</v>
      </c>
      <c r="E788" t="s">
        <v>22</v>
      </c>
      <c r="F788" t="s">
        <v>12</v>
      </c>
      <c r="G788" t="s">
        <v>14</v>
      </c>
      <c r="H788">
        <v>33365</v>
      </c>
      <c r="I788">
        <v>34900</v>
      </c>
    </row>
    <row r="789" spans="1:9" x14ac:dyDescent="0.3">
      <c r="A789" t="s">
        <v>821</v>
      </c>
      <c r="B789">
        <v>45768</v>
      </c>
      <c r="C789" t="s">
        <v>10</v>
      </c>
      <c r="D789" t="s">
        <v>11</v>
      </c>
      <c r="E789" t="s">
        <v>12</v>
      </c>
      <c r="F789" t="s">
        <v>12</v>
      </c>
      <c r="G789" t="s">
        <v>14</v>
      </c>
      <c r="H789">
        <v>121179</v>
      </c>
      <c r="I789">
        <v>136500</v>
      </c>
    </row>
    <row r="790" spans="1:9" x14ac:dyDescent="0.3">
      <c r="A790" t="s">
        <v>822</v>
      </c>
      <c r="B790">
        <v>45768</v>
      </c>
      <c r="C790" t="s">
        <v>36</v>
      </c>
      <c r="D790" t="s">
        <v>11</v>
      </c>
      <c r="E790" t="s">
        <v>37</v>
      </c>
      <c r="F790" t="s">
        <v>12</v>
      </c>
      <c r="G790" t="s">
        <v>14</v>
      </c>
      <c r="H790">
        <v>88584</v>
      </c>
      <c r="I790">
        <v>113000</v>
      </c>
    </row>
    <row r="791" spans="1:9" x14ac:dyDescent="0.3">
      <c r="A791" t="s">
        <v>823</v>
      </c>
      <c r="B791">
        <v>45768</v>
      </c>
      <c r="C791" t="s">
        <v>36</v>
      </c>
      <c r="D791" t="s">
        <v>11</v>
      </c>
      <c r="E791" t="s">
        <v>37</v>
      </c>
      <c r="F791" t="s">
        <v>13</v>
      </c>
      <c r="G791" t="s">
        <v>14</v>
      </c>
      <c r="H791">
        <v>82841</v>
      </c>
      <c r="I791">
        <v>89800</v>
      </c>
    </row>
    <row r="792" spans="1:9" x14ac:dyDescent="0.3">
      <c r="A792" t="s">
        <v>824</v>
      </c>
      <c r="B792">
        <v>45768</v>
      </c>
      <c r="C792" t="s">
        <v>21</v>
      </c>
      <c r="D792" t="s">
        <v>11</v>
      </c>
      <c r="E792" t="s">
        <v>22</v>
      </c>
      <c r="F792" t="s">
        <v>42</v>
      </c>
      <c r="G792" t="s">
        <v>19</v>
      </c>
      <c r="H792">
        <v>113566</v>
      </c>
      <c r="I792">
        <v>107900</v>
      </c>
    </row>
    <row r="793" spans="1:9" x14ac:dyDescent="0.3">
      <c r="A793" t="s">
        <v>825</v>
      </c>
      <c r="B793">
        <v>45768</v>
      </c>
      <c r="C793" t="s">
        <v>55</v>
      </c>
      <c r="D793" t="s">
        <v>11</v>
      </c>
      <c r="E793" t="s">
        <v>37</v>
      </c>
      <c r="F793" t="s">
        <v>56</v>
      </c>
      <c r="G793" t="s">
        <v>19</v>
      </c>
      <c r="H793">
        <v>96560</v>
      </c>
      <c r="I793">
        <v>101100</v>
      </c>
    </row>
    <row r="794" spans="1:9" x14ac:dyDescent="0.3">
      <c r="A794" t="s">
        <v>826</v>
      </c>
      <c r="B794">
        <v>45768</v>
      </c>
      <c r="C794" t="s">
        <v>55</v>
      </c>
      <c r="D794" t="s">
        <v>11</v>
      </c>
      <c r="E794" t="s">
        <v>37</v>
      </c>
      <c r="F794" t="s">
        <v>42</v>
      </c>
      <c r="G794" t="s">
        <v>19</v>
      </c>
      <c r="H794">
        <v>82007</v>
      </c>
      <c r="I794">
        <v>69600</v>
      </c>
    </row>
    <row r="795" spans="1:9" x14ac:dyDescent="0.3">
      <c r="A795" t="s">
        <v>827</v>
      </c>
      <c r="B795">
        <v>45769</v>
      </c>
      <c r="C795" t="s">
        <v>62</v>
      </c>
      <c r="D795" t="s">
        <v>11</v>
      </c>
      <c r="E795" t="s">
        <v>22</v>
      </c>
      <c r="F795" t="s">
        <v>46</v>
      </c>
      <c r="G795" t="s">
        <v>19</v>
      </c>
      <c r="H795">
        <v>97756</v>
      </c>
      <c r="I795">
        <v>104100</v>
      </c>
    </row>
    <row r="796" spans="1:9" x14ac:dyDescent="0.3">
      <c r="A796" t="s">
        <v>828</v>
      </c>
      <c r="B796">
        <v>45769</v>
      </c>
      <c r="C796" t="s">
        <v>10</v>
      </c>
      <c r="D796" t="s">
        <v>11</v>
      </c>
      <c r="E796" t="s">
        <v>12</v>
      </c>
      <c r="F796" t="s">
        <v>46</v>
      </c>
      <c r="G796" t="s">
        <v>19</v>
      </c>
      <c r="H796">
        <v>19697</v>
      </c>
      <c r="I796">
        <v>23500</v>
      </c>
    </row>
    <row r="797" spans="1:9" x14ac:dyDescent="0.3">
      <c r="A797" t="s">
        <v>829</v>
      </c>
      <c r="B797">
        <v>45769</v>
      </c>
      <c r="C797" t="s">
        <v>36</v>
      </c>
      <c r="D797" t="s">
        <v>11</v>
      </c>
      <c r="E797" t="s">
        <v>37</v>
      </c>
      <c r="F797" t="s">
        <v>12</v>
      </c>
      <c r="G797" t="s">
        <v>14</v>
      </c>
      <c r="H797">
        <v>198192</v>
      </c>
      <c r="I797">
        <v>177100</v>
      </c>
    </row>
    <row r="798" spans="1:9" x14ac:dyDescent="0.3">
      <c r="A798" t="s">
        <v>830</v>
      </c>
      <c r="B798">
        <v>45770</v>
      </c>
      <c r="C798" t="s">
        <v>62</v>
      </c>
      <c r="D798" t="s">
        <v>11</v>
      </c>
      <c r="E798" t="s">
        <v>22</v>
      </c>
      <c r="F798" t="s">
        <v>23</v>
      </c>
      <c r="G798" t="s">
        <v>14</v>
      </c>
      <c r="H798">
        <v>81137</v>
      </c>
      <c r="I798">
        <v>84000</v>
      </c>
    </row>
    <row r="799" spans="1:9" x14ac:dyDescent="0.3">
      <c r="A799" t="s">
        <v>831</v>
      </c>
      <c r="B799">
        <v>45770</v>
      </c>
      <c r="C799" t="s">
        <v>62</v>
      </c>
      <c r="D799" t="s">
        <v>11</v>
      </c>
      <c r="E799" t="s">
        <v>22</v>
      </c>
      <c r="F799" t="s">
        <v>13</v>
      </c>
      <c r="G799" t="s">
        <v>14</v>
      </c>
      <c r="H799">
        <v>245427</v>
      </c>
      <c r="I799">
        <v>273800</v>
      </c>
    </row>
    <row r="800" spans="1:9" x14ac:dyDescent="0.3">
      <c r="A800" t="s">
        <v>832</v>
      </c>
      <c r="B800">
        <v>45770</v>
      </c>
      <c r="C800" t="s">
        <v>10</v>
      </c>
      <c r="D800" t="s">
        <v>11</v>
      </c>
      <c r="E800" t="s">
        <v>12</v>
      </c>
      <c r="F800" t="s">
        <v>12</v>
      </c>
      <c r="G800" t="s">
        <v>14</v>
      </c>
      <c r="H800">
        <v>200218</v>
      </c>
      <c r="I800">
        <v>205800</v>
      </c>
    </row>
    <row r="801" spans="1:9" x14ac:dyDescent="0.3">
      <c r="A801" t="s">
        <v>833</v>
      </c>
      <c r="B801">
        <v>45770</v>
      </c>
      <c r="C801" t="s">
        <v>36</v>
      </c>
      <c r="D801" t="s">
        <v>11</v>
      </c>
      <c r="E801" t="s">
        <v>37</v>
      </c>
      <c r="F801" t="s">
        <v>33</v>
      </c>
      <c r="G801" t="s">
        <v>19</v>
      </c>
      <c r="H801">
        <v>98671</v>
      </c>
      <c r="I801">
        <v>93300</v>
      </c>
    </row>
    <row r="802" spans="1:9" x14ac:dyDescent="0.3">
      <c r="A802" t="s">
        <v>834</v>
      </c>
      <c r="B802">
        <v>45770</v>
      </c>
      <c r="C802" t="s">
        <v>25</v>
      </c>
      <c r="D802" t="s">
        <v>11</v>
      </c>
      <c r="E802" t="s">
        <v>22</v>
      </c>
      <c r="F802" t="s">
        <v>12</v>
      </c>
      <c r="G802" t="s">
        <v>14</v>
      </c>
      <c r="H802">
        <v>204208</v>
      </c>
      <c r="I802">
        <v>199100</v>
      </c>
    </row>
    <row r="803" spans="1:9" x14ac:dyDescent="0.3">
      <c r="A803" t="s">
        <v>835</v>
      </c>
      <c r="B803">
        <v>45770</v>
      </c>
      <c r="C803" t="s">
        <v>31</v>
      </c>
      <c r="D803" t="s">
        <v>11</v>
      </c>
      <c r="E803" t="s">
        <v>17</v>
      </c>
      <c r="F803" t="s">
        <v>12</v>
      </c>
      <c r="G803" t="s">
        <v>14</v>
      </c>
      <c r="H803">
        <v>190835</v>
      </c>
      <c r="I803">
        <v>192100</v>
      </c>
    </row>
    <row r="804" spans="1:9" x14ac:dyDescent="0.3">
      <c r="A804" t="s">
        <v>836</v>
      </c>
      <c r="B804">
        <v>45770</v>
      </c>
      <c r="C804" t="s">
        <v>55</v>
      </c>
      <c r="D804" t="s">
        <v>11</v>
      </c>
      <c r="E804" t="s">
        <v>37</v>
      </c>
      <c r="F804" t="s">
        <v>46</v>
      </c>
      <c r="G804" t="s">
        <v>19</v>
      </c>
      <c r="H804">
        <v>49639</v>
      </c>
      <c r="I804">
        <v>44100</v>
      </c>
    </row>
    <row r="805" spans="1:9" x14ac:dyDescent="0.3">
      <c r="A805" t="s">
        <v>837</v>
      </c>
      <c r="B805">
        <v>45770</v>
      </c>
      <c r="C805" t="s">
        <v>55</v>
      </c>
      <c r="D805" t="s">
        <v>11</v>
      </c>
      <c r="E805" t="s">
        <v>37</v>
      </c>
      <c r="F805" t="s">
        <v>39</v>
      </c>
      <c r="G805" t="s">
        <v>19</v>
      </c>
      <c r="H805">
        <v>22145</v>
      </c>
      <c r="I805">
        <v>19400</v>
      </c>
    </row>
    <row r="806" spans="1:9" x14ac:dyDescent="0.3">
      <c r="A806" t="s">
        <v>838</v>
      </c>
      <c r="B806">
        <v>45770</v>
      </c>
      <c r="C806" t="s">
        <v>55</v>
      </c>
      <c r="D806" t="s">
        <v>11</v>
      </c>
      <c r="E806" t="s">
        <v>37</v>
      </c>
      <c r="F806" t="s">
        <v>13</v>
      </c>
      <c r="G806" t="s">
        <v>14</v>
      </c>
      <c r="H806">
        <v>108865</v>
      </c>
      <c r="I806">
        <v>122900</v>
      </c>
    </row>
    <row r="807" spans="1:9" x14ac:dyDescent="0.3">
      <c r="A807" t="s">
        <v>839</v>
      </c>
      <c r="B807">
        <v>45771</v>
      </c>
      <c r="C807" t="s">
        <v>62</v>
      </c>
      <c r="D807" t="s">
        <v>11</v>
      </c>
      <c r="E807" t="s">
        <v>22</v>
      </c>
      <c r="F807" t="s">
        <v>37</v>
      </c>
      <c r="G807" t="s">
        <v>14</v>
      </c>
      <c r="H807">
        <v>110983</v>
      </c>
      <c r="I807">
        <v>106600</v>
      </c>
    </row>
    <row r="808" spans="1:9" x14ac:dyDescent="0.3">
      <c r="A808" t="s">
        <v>840</v>
      </c>
      <c r="B808">
        <v>45771</v>
      </c>
      <c r="C808" t="s">
        <v>62</v>
      </c>
      <c r="D808" t="s">
        <v>11</v>
      </c>
      <c r="E808" t="s">
        <v>22</v>
      </c>
      <c r="F808" t="s">
        <v>12</v>
      </c>
      <c r="G808" t="s">
        <v>14</v>
      </c>
      <c r="H808">
        <v>173213</v>
      </c>
      <c r="I808">
        <v>169700</v>
      </c>
    </row>
    <row r="809" spans="1:9" x14ac:dyDescent="0.3">
      <c r="A809" t="s">
        <v>841</v>
      </c>
      <c r="B809">
        <v>45771</v>
      </c>
      <c r="C809" t="s">
        <v>10</v>
      </c>
      <c r="D809" t="s">
        <v>11</v>
      </c>
      <c r="E809" t="s">
        <v>12</v>
      </c>
      <c r="F809" t="s">
        <v>42</v>
      </c>
      <c r="G809" t="s">
        <v>19</v>
      </c>
      <c r="H809">
        <v>58288</v>
      </c>
      <c r="I809">
        <v>60000</v>
      </c>
    </row>
    <row r="810" spans="1:9" x14ac:dyDescent="0.3">
      <c r="A810" t="s">
        <v>842</v>
      </c>
      <c r="B810">
        <v>45771</v>
      </c>
      <c r="C810" t="s">
        <v>16</v>
      </c>
      <c r="D810" t="s">
        <v>11</v>
      </c>
      <c r="E810" t="s">
        <v>17</v>
      </c>
      <c r="F810" t="s">
        <v>33</v>
      </c>
      <c r="G810" t="s">
        <v>19</v>
      </c>
      <c r="H810">
        <v>49235</v>
      </c>
      <c r="I810">
        <v>51500</v>
      </c>
    </row>
    <row r="811" spans="1:9" x14ac:dyDescent="0.3">
      <c r="A811" t="s">
        <v>843</v>
      </c>
      <c r="B811">
        <v>45771</v>
      </c>
      <c r="C811" t="s">
        <v>16</v>
      </c>
      <c r="D811" t="s">
        <v>11</v>
      </c>
      <c r="E811" t="s">
        <v>17</v>
      </c>
      <c r="F811" t="s">
        <v>23</v>
      </c>
      <c r="G811" t="s">
        <v>14</v>
      </c>
      <c r="H811">
        <v>174296</v>
      </c>
      <c r="I811">
        <v>171500</v>
      </c>
    </row>
    <row r="812" spans="1:9" x14ac:dyDescent="0.3">
      <c r="A812" t="s">
        <v>844</v>
      </c>
      <c r="B812">
        <v>45771</v>
      </c>
      <c r="C812" t="s">
        <v>16</v>
      </c>
      <c r="D812" t="s">
        <v>11</v>
      </c>
      <c r="E812" t="s">
        <v>17</v>
      </c>
      <c r="F812" t="s">
        <v>59</v>
      </c>
      <c r="G812" t="s">
        <v>14</v>
      </c>
      <c r="H812">
        <v>66754</v>
      </c>
      <c r="I812">
        <v>74500</v>
      </c>
    </row>
    <row r="813" spans="1:9" x14ac:dyDescent="0.3">
      <c r="A813" t="s">
        <v>845</v>
      </c>
      <c r="B813">
        <v>45771</v>
      </c>
      <c r="C813" t="s">
        <v>21</v>
      </c>
      <c r="D813" t="s">
        <v>11</v>
      </c>
      <c r="E813" t="s">
        <v>22</v>
      </c>
      <c r="F813" t="s">
        <v>46</v>
      </c>
      <c r="G813" t="s">
        <v>19</v>
      </c>
      <c r="H813">
        <v>68428</v>
      </c>
      <c r="I813">
        <v>70300</v>
      </c>
    </row>
    <row r="814" spans="1:9" x14ac:dyDescent="0.3">
      <c r="A814" t="s">
        <v>846</v>
      </c>
      <c r="B814">
        <v>45771</v>
      </c>
      <c r="C814" t="s">
        <v>31</v>
      </c>
      <c r="D814" t="s">
        <v>11</v>
      </c>
      <c r="E814" t="s">
        <v>17</v>
      </c>
      <c r="F814" t="s">
        <v>42</v>
      </c>
      <c r="G814" t="s">
        <v>19</v>
      </c>
      <c r="H814">
        <v>28389</v>
      </c>
      <c r="I814">
        <v>22900</v>
      </c>
    </row>
    <row r="815" spans="1:9" x14ac:dyDescent="0.3">
      <c r="A815" t="s">
        <v>847</v>
      </c>
      <c r="B815">
        <v>45772</v>
      </c>
      <c r="C815" t="s">
        <v>62</v>
      </c>
      <c r="D815" t="s">
        <v>11</v>
      </c>
      <c r="E815" t="s">
        <v>22</v>
      </c>
      <c r="F815" t="s">
        <v>56</v>
      </c>
      <c r="G815" t="s">
        <v>19</v>
      </c>
      <c r="H815">
        <v>23116</v>
      </c>
      <c r="I815">
        <v>22300</v>
      </c>
    </row>
    <row r="816" spans="1:9" x14ac:dyDescent="0.3">
      <c r="A816" t="s">
        <v>848</v>
      </c>
      <c r="B816">
        <v>45772</v>
      </c>
      <c r="C816" t="s">
        <v>10</v>
      </c>
      <c r="D816" t="s">
        <v>11</v>
      </c>
      <c r="E816" t="s">
        <v>12</v>
      </c>
      <c r="F816" t="s">
        <v>26</v>
      </c>
      <c r="G816" t="s">
        <v>14</v>
      </c>
      <c r="H816">
        <v>149573</v>
      </c>
      <c r="I816">
        <v>164800</v>
      </c>
    </row>
    <row r="817" spans="1:9" x14ac:dyDescent="0.3">
      <c r="A817" t="s">
        <v>849</v>
      </c>
      <c r="B817">
        <v>45772</v>
      </c>
      <c r="C817" t="s">
        <v>36</v>
      </c>
      <c r="D817" t="s">
        <v>11</v>
      </c>
      <c r="E817" t="s">
        <v>37</v>
      </c>
      <c r="F817" t="s">
        <v>12</v>
      </c>
      <c r="G817" t="s">
        <v>14</v>
      </c>
      <c r="H817">
        <v>82565</v>
      </c>
      <c r="I817">
        <v>86100</v>
      </c>
    </row>
    <row r="818" spans="1:9" x14ac:dyDescent="0.3">
      <c r="A818" t="s">
        <v>850</v>
      </c>
      <c r="B818">
        <v>45772</v>
      </c>
      <c r="C818" t="s">
        <v>36</v>
      </c>
      <c r="D818" t="s">
        <v>11</v>
      </c>
      <c r="E818" t="s">
        <v>37</v>
      </c>
      <c r="F818" t="s">
        <v>12</v>
      </c>
      <c r="G818" t="s">
        <v>14</v>
      </c>
      <c r="H818">
        <v>112037</v>
      </c>
      <c r="I818">
        <v>126000</v>
      </c>
    </row>
    <row r="819" spans="1:9" x14ac:dyDescent="0.3">
      <c r="A819" t="s">
        <v>851</v>
      </c>
      <c r="B819">
        <v>45772</v>
      </c>
      <c r="C819" t="s">
        <v>31</v>
      </c>
      <c r="D819" t="s">
        <v>11</v>
      </c>
      <c r="E819" t="s">
        <v>17</v>
      </c>
      <c r="F819" t="s">
        <v>33</v>
      </c>
      <c r="G819" t="s">
        <v>19</v>
      </c>
      <c r="H819">
        <v>96061</v>
      </c>
      <c r="I819">
        <v>113800</v>
      </c>
    </row>
    <row r="820" spans="1:9" x14ac:dyDescent="0.3">
      <c r="A820" t="s">
        <v>852</v>
      </c>
      <c r="B820">
        <v>45772</v>
      </c>
      <c r="C820" t="s">
        <v>31</v>
      </c>
      <c r="D820" t="s">
        <v>11</v>
      </c>
      <c r="E820" t="s">
        <v>17</v>
      </c>
      <c r="F820" t="s">
        <v>18</v>
      </c>
      <c r="G820" t="s">
        <v>19</v>
      </c>
      <c r="H820">
        <v>37262</v>
      </c>
      <c r="I820">
        <v>33500</v>
      </c>
    </row>
    <row r="821" spans="1:9" x14ac:dyDescent="0.3">
      <c r="A821" t="s">
        <v>853</v>
      </c>
      <c r="B821">
        <v>45772</v>
      </c>
      <c r="C821" t="s">
        <v>55</v>
      </c>
      <c r="D821" t="s">
        <v>11</v>
      </c>
      <c r="E821" t="s">
        <v>37</v>
      </c>
      <c r="F821" t="s">
        <v>12</v>
      </c>
      <c r="G821" t="s">
        <v>14</v>
      </c>
      <c r="H821">
        <v>80122</v>
      </c>
      <c r="I821">
        <v>79900</v>
      </c>
    </row>
    <row r="822" spans="1:9" x14ac:dyDescent="0.3">
      <c r="A822" t="s">
        <v>854</v>
      </c>
      <c r="B822">
        <v>45773</v>
      </c>
      <c r="C822" t="s">
        <v>62</v>
      </c>
      <c r="D822" t="s">
        <v>11</v>
      </c>
      <c r="E822" t="s">
        <v>22</v>
      </c>
      <c r="F822" t="s">
        <v>33</v>
      </c>
      <c r="G822" t="s">
        <v>19</v>
      </c>
      <c r="H822">
        <v>96145</v>
      </c>
      <c r="I822">
        <v>80000</v>
      </c>
    </row>
    <row r="823" spans="1:9" x14ac:dyDescent="0.3">
      <c r="A823" t="s">
        <v>855</v>
      </c>
      <c r="B823">
        <v>45773</v>
      </c>
      <c r="C823" t="s">
        <v>62</v>
      </c>
      <c r="D823" t="s">
        <v>11</v>
      </c>
      <c r="E823" t="s">
        <v>22</v>
      </c>
      <c r="F823" t="s">
        <v>46</v>
      </c>
      <c r="G823" t="s">
        <v>19</v>
      </c>
      <c r="H823">
        <v>72144</v>
      </c>
      <c r="I823">
        <v>58600</v>
      </c>
    </row>
    <row r="824" spans="1:9" x14ac:dyDescent="0.3">
      <c r="A824" t="s">
        <v>856</v>
      </c>
      <c r="B824">
        <v>45773</v>
      </c>
      <c r="C824" t="s">
        <v>10</v>
      </c>
      <c r="D824" t="s">
        <v>11</v>
      </c>
      <c r="E824" t="s">
        <v>12</v>
      </c>
      <c r="F824" t="s">
        <v>56</v>
      </c>
      <c r="G824" t="s">
        <v>19</v>
      </c>
      <c r="H824">
        <v>49132</v>
      </c>
      <c r="I824">
        <v>48000</v>
      </c>
    </row>
    <row r="825" spans="1:9" x14ac:dyDescent="0.3">
      <c r="A825" t="s">
        <v>857</v>
      </c>
      <c r="B825">
        <v>45773</v>
      </c>
      <c r="C825" t="s">
        <v>36</v>
      </c>
      <c r="D825" t="s">
        <v>11</v>
      </c>
      <c r="E825" t="s">
        <v>37</v>
      </c>
      <c r="F825" t="s">
        <v>42</v>
      </c>
      <c r="G825" t="s">
        <v>19</v>
      </c>
      <c r="H825">
        <v>42371</v>
      </c>
      <c r="I825">
        <v>32300</v>
      </c>
    </row>
    <row r="826" spans="1:9" x14ac:dyDescent="0.3">
      <c r="A826" t="s">
        <v>858</v>
      </c>
      <c r="B826">
        <v>45773</v>
      </c>
      <c r="C826" t="s">
        <v>21</v>
      </c>
      <c r="D826" t="s">
        <v>11</v>
      </c>
      <c r="E826" t="s">
        <v>22</v>
      </c>
      <c r="F826" t="s">
        <v>39</v>
      </c>
      <c r="G826" t="s">
        <v>19</v>
      </c>
      <c r="H826">
        <v>100416</v>
      </c>
      <c r="I826">
        <v>108000</v>
      </c>
    </row>
    <row r="827" spans="1:9" x14ac:dyDescent="0.3">
      <c r="A827" t="s">
        <v>859</v>
      </c>
      <c r="B827">
        <v>45773</v>
      </c>
      <c r="C827" t="s">
        <v>21</v>
      </c>
      <c r="D827" t="s">
        <v>11</v>
      </c>
      <c r="E827" t="s">
        <v>22</v>
      </c>
      <c r="F827" t="s">
        <v>37</v>
      </c>
      <c r="G827" t="s">
        <v>14</v>
      </c>
      <c r="H827">
        <v>31426</v>
      </c>
      <c r="I827">
        <v>29300</v>
      </c>
    </row>
    <row r="828" spans="1:9" x14ac:dyDescent="0.3">
      <c r="A828" t="s">
        <v>860</v>
      </c>
      <c r="B828">
        <v>45773</v>
      </c>
      <c r="C828" t="s">
        <v>31</v>
      </c>
      <c r="D828" t="s">
        <v>11</v>
      </c>
      <c r="E828" t="s">
        <v>17</v>
      </c>
      <c r="F828" t="s">
        <v>56</v>
      </c>
      <c r="G828" t="s">
        <v>19</v>
      </c>
      <c r="H828">
        <v>61852</v>
      </c>
      <c r="I828">
        <v>55700</v>
      </c>
    </row>
    <row r="829" spans="1:9" x14ac:dyDescent="0.3">
      <c r="A829" t="s">
        <v>861</v>
      </c>
      <c r="B829">
        <v>45773</v>
      </c>
      <c r="C829" t="s">
        <v>31</v>
      </c>
      <c r="D829" t="s">
        <v>11</v>
      </c>
      <c r="E829" t="s">
        <v>17</v>
      </c>
      <c r="F829" t="s">
        <v>33</v>
      </c>
      <c r="G829" t="s">
        <v>19</v>
      </c>
      <c r="H829">
        <v>89346</v>
      </c>
      <c r="I829">
        <v>80400</v>
      </c>
    </row>
    <row r="830" spans="1:9" x14ac:dyDescent="0.3">
      <c r="A830" t="s">
        <v>862</v>
      </c>
      <c r="B830">
        <v>45773</v>
      </c>
      <c r="C830" t="s">
        <v>55</v>
      </c>
      <c r="D830" t="s">
        <v>11</v>
      </c>
      <c r="E830" t="s">
        <v>37</v>
      </c>
      <c r="F830" t="s">
        <v>12</v>
      </c>
      <c r="G830" t="s">
        <v>14</v>
      </c>
      <c r="H830">
        <v>53633</v>
      </c>
      <c r="I830">
        <v>53400</v>
      </c>
    </row>
    <row r="831" spans="1:9" x14ac:dyDescent="0.3">
      <c r="A831" t="s">
        <v>863</v>
      </c>
      <c r="B831">
        <v>45774</v>
      </c>
      <c r="C831" t="s">
        <v>62</v>
      </c>
      <c r="D831" t="s">
        <v>11</v>
      </c>
      <c r="E831" t="s">
        <v>22</v>
      </c>
      <c r="F831" t="s">
        <v>59</v>
      </c>
      <c r="G831" t="s">
        <v>14</v>
      </c>
      <c r="H831">
        <v>63654</v>
      </c>
      <c r="I831">
        <v>62100</v>
      </c>
    </row>
    <row r="832" spans="1:9" x14ac:dyDescent="0.3">
      <c r="A832" t="s">
        <v>864</v>
      </c>
      <c r="B832">
        <v>45774</v>
      </c>
      <c r="C832" t="s">
        <v>31</v>
      </c>
      <c r="D832" t="s">
        <v>11</v>
      </c>
      <c r="E832" t="s">
        <v>17</v>
      </c>
      <c r="F832" t="s">
        <v>42</v>
      </c>
      <c r="G832" t="s">
        <v>19</v>
      </c>
      <c r="H832">
        <v>59587</v>
      </c>
      <c r="I832">
        <v>59600</v>
      </c>
    </row>
    <row r="833" spans="1:9" x14ac:dyDescent="0.3">
      <c r="A833" t="s">
        <v>865</v>
      </c>
      <c r="B833">
        <v>45774</v>
      </c>
      <c r="C833" t="s">
        <v>55</v>
      </c>
      <c r="D833" t="s">
        <v>11</v>
      </c>
      <c r="E833" t="s">
        <v>37</v>
      </c>
      <c r="F833" t="s">
        <v>42</v>
      </c>
      <c r="G833" t="s">
        <v>19</v>
      </c>
      <c r="H833">
        <v>67111</v>
      </c>
      <c r="I833">
        <v>64800</v>
      </c>
    </row>
    <row r="834" spans="1:9" x14ac:dyDescent="0.3">
      <c r="A834" t="s">
        <v>866</v>
      </c>
      <c r="B834">
        <v>45774</v>
      </c>
      <c r="C834" t="s">
        <v>55</v>
      </c>
      <c r="D834" t="s">
        <v>11</v>
      </c>
      <c r="E834" t="s">
        <v>37</v>
      </c>
      <c r="F834" t="s">
        <v>46</v>
      </c>
      <c r="G834" t="s">
        <v>19</v>
      </c>
      <c r="H834">
        <v>54456</v>
      </c>
      <c r="I834">
        <v>67300</v>
      </c>
    </row>
    <row r="835" spans="1:9" x14ac:dyDescent="0.3">
      <c r="A835" t="s">
        <v>867</v>
      </c>
      <c r="B835">
        <v>45774</v>
      </c>
      <c r="C835" t="s">
        <v>55</v>
      </c>
      <c r="D835" t="s">
        <v>11</v>
      </c>
      <c r="E835" t="s">
        <v>37</v>
      </c>
      <c r="F835" t="s">
        <v>13</v>
      </c>
      <c r="G835" t="s">
        <v>14</v>
      </c>
      <c r="H835">
        <v>50283</v>
      </c>
      <c r="I835">
        <v>58100</v>
      </c>
    </row>
    <row r="836" spans="1:9" x14ac:dyDescent="0.3">
      <c r="A836" t="s">
        <v>868</v>
      </c>
      <c r="B836">
        <v>45775</v>
      </c>
      <c r="C836" t="s">
        <v>62</v>
      </c>
      <c r="D836" t="s">
        <v>11</v>
      </c>
      <c r="E836" t="s">
        <v>22</v>
      </c>
      <c r="F836" t="s">
        <v>26</v>
      </c>
      <c r="G836" t="s">
        <v>14</v>
      </c>
      <c r="H836">
        <v>238933</v>
      </c>
      <c r="I836">
        <v>271600</v>
      </c>
    </row>
    <row r="837" spans="1:9" x14ac:dyDescent="0.3">
      <c r="A837" t="s">
        <v>869</v>
      </c>
      <c r="B837">
        <v>45775</v>
      </c>
      <c r="C837" t="s">
        <v>10</v>
      </c>
      <c r="D837" t="s">
        <v>11</v>
      </c>
      <c r="E837" t="s">
        <v>12</v>
      </c>
      <c r="F837" t="s">
        <v>59</v>
      </c>
      <c r="G837" t="s">
        <v>14</v>
      </c>
      <c r="H837">
        <v>73312</v>
      </c>
      <c r="I837">
        <v>71900</v>
      </c>
    </row>
    <row r="838" spans="1:9" x14ac:dyDescent="0.3">
      <c r="A838" t="s">
        <v>870</v>
      </c>
      <c r="B838">
        <v>45775</v>
      </c>
      <c r="C838" t="s">
        <v>16</v>
      </c>
      <c r="D838" t="s">
        <v>11</v>
      </c>
      <c r="E838" t="s">
        <v>17</v>
      </c>
      <c r="F838" t="s">
        <v>39</v>
      </c>
      <c r="G838" t="s">
        <v>19</v>
      </c>
      <c r="H838">
        <v>64212</v>
      </c>
      <c r="I838">
        <v>60900</v>
      </c>
    </row>
    <row r="839" spans="1:9" x14ac:dyDescent="0.3">
      <c r="A839" t="s">
        <v>871</v>
      </c>
      <c r="B839">
        <v>45775</v>
      </c>
      <c r="C839" t="s">
        <v>16</v>
      </c>
      <c r="D839" t="s">
        <v>11</v>
      </c>
      <c r="E839" t="s">
        <v>17</v>
      </c>
      <c r="F839" t="s">
        <v>39</v>
      </c>
      <c r="G839" t="s">
        <v>19</v>
      </c>
      <c r="H839">
        <v>102010</v>
      </c>
      <c r="I839">
        <v>97500</v>
      </c>
    </row>
    <row r="840" spans="1:9" x14ac:dyDescent="0.3">
      <c r="A840" t="s">
        <v>872</v>
      </c>
      <c r="B840">
        <v>45775</v>
      </c>
      <c r="C840" t="s">
        <v>16</v>
      </c>
      <c r="D840" t="s">
        <v>11</v>
      </c>
      <c r="E840" t="s">
        <v>17</v>
      </c>
      <c r="F840" t="s">
        <v>46</v>
      </c>
      <c r="G840" t="s">
        <v>19</v>
      </c>
      <c r="H840">
        <v>98250</v>
      </c>
      <c r="I840">
        <v>114100</v>
      </c>
    </row>
    <row r="841" spans="1:9" x14ac:dyDescent="0.3">
      <c r="A841" t="s">
        <v>873</v>
      </c>
      <c r="B841">
        <v>45775</v>
      </c>
      <c r="C841" t="s">
        <v>36</v>
      </c>
      <c r="D841" t="s">
        <v>11</v>
      </c>
      <c r="E841" t="s">
        <v>37</v>
      </c>
      <c r="F841" t="s">
        <v>46</v>
      </c>
      <c r="G841" t="s">
        <v>19</v>
      </c>
      <c r="H841">
        <v>22813</v>
      </c>
      <c r="I841">
        <v>22700</v>
      </c>
    </row>
    <row r="842" spans="1:9" x14ac:dyDescent="0.3">
      <c r="A842" t="s">
        <v>874</v>
      </c>
      <c r="B842">
        <v>45775</v>
      </c>
      <c r="C842" t="s">
        <v>36</v>
      </c>
      <c r="D842" t="s">
        <v>11</v>
      </c>
      <c r="E842" t="s">
        <v>37</v>
      </c>
      <c r="F842" t="s">
        <v>18</v>
      </c>
      <c r="G842" t="s">
        <v>19</v>
      </c>
      <c r="H842">
        <v>95963</v>
      </c>
      <c r="I842">
        <v>93700</v>
      </c>
    </row>
    <row r="843" spans="1:9" x14ac:dyDescent="0.3">
      <c r="A843" t="s">
        <v>875</v>
      </c>
      <c r="B843">
        <v>45775</v>
      </c>
      <c r="C843" t="s">
        <v>21</v>
      </c>
      <c r="D843" t="s">
        <v>11</v>
      </c>
      <c r="E843" t="s">
        <v>22</v>
      </c>
      <c r="F843" t="s">
        <v>23</v>
      </c>
      <c r="G843" t="s">
        <v>14</v>
      </c>
      <c r="H843">
        <v>108897</v>
      </c>
      <c r="I843">
        <v>103500</v>
      </c>
    </row>
    <row r="844" spans="1:9" x14ac:dyDescent="0.3">
      <c r="A844" t="s">
        <v>876</v>
      </c>
      <c r="B844">
        <v>45775</v>
      </c>
      <c r="C844" t="s">
        <v>25</v>
      </c>
      <c r="D844" t="s">
        <v>11</v>
      </c>
      <c r="E844" t="s">
        <v>22</v>
      </c>
      <c r="F844" t="s">
        <v>12</v>
      </c>
      <c r="G844" t="s">
        <v>14</v>
      </c>
      <c r="H844">
        <v>128478</v>
      </c>
      <c r="I844">
        <v>125600</v>
      </c>
    </row>
    <row r="845" spans="1:9" x14ac:dyDescent="0.3">
      <c r="A845" t="s">
        <v>877</v>
      </c>
      <c r="B845">
        <v>45775</v>
      </c>
      <c r="C845" t="s">
        <v>25</v>
      </c>
      <c r="D845" t="s">
        <v>11</v>
      </c>
      <c r="E845" t="s">
        <v>22</v>
      </c>
      <c r="F845" t="s">
        <v>59</v>
      </c>
      <c r="G845" t="s">
        <v>14</v>
      </c>
      <c r="H845">
        <v>65058</v>
      </c>
      <c r="I845">
        <v>68000</v>
      </c>
    </row>
    <row r="846" spans="1:9" x14ac:dyDescent="0.3">
      <c r="A846" t="s">
        <v>878</v>
      </c>
      <c r="B846">
        <v>45775</v>
      </c>
      <c r="C846" t="s">
        <v>55</v>
      </c>
      <c r="D846" t="s">
        <v>11</v>
      </c>
      <c r="E846" t="s">
        <v>37</v>
      </c>
      <c r="F846" t="s">
        <v>23</v>
      </c>
      <c r="G846" t="s">
        <v>14</v>
      </c>
      <c r="H846">
        <v>245807</v>
      </c>
      <c r="I846">
        <v>243200</v>
      </c>
    </row>
    <row r="847" spans="1:9" x14ac:dyDescent="0.3">
      <c r="A847" t="s">
        <v>879</v>
      </c>
      <c r="B847">
        <v>45776</v>
      </c>
      <c r="C847" t="s">
        <v>62</v>
      </c>
      <c r="D847" t="s">
        <v>11</v>
      </c>
      <c r="E847" t="s">
        <v>22</v>
      </c>
      <c r="F847" t="s">
        <v>37</v>
      </c>
      <c r="G847" t="s">
        <v>14</v>
      </c>
      <c r="H847">
        <v>234861</v>
      </c>
      <c r="I847">
        <v>226600</v>
      </c>
    </row>
    <row r="848" spans="1:9" x14ac:dyDescent="0.3">
      <c r="A848" t="s">
        <v>880</v>
      </c>
      <c r="B848">
        <v>45776</v>
      </c>
      <c r="C848" t="s">
        <v>36</v>
      </c>
      <c r="D848" t="s">
        <v>11</v>
      </c>
      <c r="E848" t="s">
        <v>37</v>
      </c>
      <c r="F848" t="s">
        <v>12</v>
      </c>
      <c r="G848" t="s">
        <v>14</v>
      </c>
      <c r="H848">
        <v>119307</v>
      </c>
      <c r="I848">
        <v>123600</v>
      </c>
    </row>
    <row r="849" spans="1:9" x14ac:dyDescent="0.3">
      <c r="A849" t="s">
        <v>881</v>
      </c>
      <c r="B849">
        <v>45776</v>
      </c>
      <c r="C849" t="s">
        <v>25</v>
      </c>
      <c r="D849" t="s">
        <v>11</v>
      </c>
      <c r="E849" t="s">
        <v>22</v>
      </c>
      <c r="F849" t="s">
        <v>39</v>
      </c>
      <c r="G849" t="s">
        <v>19</v>
      </c>
      <c r="H849">
        <v>100569</v>
      </c>
      <c r="I849">
        <v>116800</v>
      </c>
    </row>
    <row r="850" spans="1:9" x14ac:dyDescent="0.3">
      <c r="A850" t="s">
        <v>882</v>
      </c>
      <c r="B850">
        <v>45776</v>
      </c>
      <c r="C850" t="s">
        <v>25</v>
      </c>
      <c r="D850" t="s">
        <v>11</v>
      </c>
      <c r="E850" t="s">
        <v>22</v>
      </c>
      <c r="F850" t="s">
        <v>56</v>
      </c>
      <c r="G850" t="s">
        <v>19</v>
      </c>
      <c r="H850">
        <v>111976</v>
      </c>
      <c r="I850">
        <v>101600</v>
      </c>
    </row>
    <row r="851" spans="1:9" x14ac:dyDescent="0.3">
      <c r="A851" t="s">
        <v>883</v>
      </c>
      <c r="B851">
        <v>45776</v>
      </c>
      <c r="C851" t="s">
        <v>55</v>
      </c>
      <c r="D851" t="s">
        <v>11</v>
      </c>
      <c r="E851" t="s">
        <v>37</v>
      </c>
      <c r="F851" t="s">
        <v>37</v>
      </c>
      <c r="G851" t="s">
        <v>14</v>
      </c>
      <c r="H851">
        <v>167988</v>
      </c>
      <c r="I851">
        <v>168400</v>
      </c>
    </row>
    <row r="852" spans="1:9" x14ac:dyDescent="0.3">
      <c r="A852" t="s">
        <v>884</v>
      </c>
      <c r="B852">
        <v>45777</v>
      </c>
      <c r="C852" t="s">
        <v>62</v>
      </c>
      <c r="D852" t="s">
        <v>11</v>
      </c>
      <c r="E852" t="s">
        <v>22</v>
      </c>
      <c r="F852" t="s">
        <v>26</v>
      </c>
      <c r="G852" t="s">
        <v>14</v>
      </c>
      <c r="H852">
        <v>49843</v>
      </c>
      <c r="I852">
        <v>57500</v>
      </c>
    </row>
    <row r="853" spans="1:9" x14ac:dyDescent="0.3">
      <c r="A853" t="s">
        <v>885</v>
      </c>
      <c r="B853">
        <v>45777</v>
      </c>
      <c r="C853" t="s">
        <v>10</v>
      </c>
      <c r="D853" t="s">
        <v>11</v>
      </c>
      <c r="E853" t="s">
        <v>12</v>
      </c>
      <c r="F853" t="s">
        <v>26</v>
      </c>
      <c r="G853" t="s">
        <v>14</v>
      </c>
      <c r="H853">
        <v>189084</v>
      </c>
      <c r="I853">
        <v>204700</v>
      </c>
    </row>
    <row r="854" spans="1:9" x14ac:dyDescent="0.3">
      <c r="A854" t="s">
        <v>886</v>
      </c>
      <c r="B854">
        <v>45777</v>
      </c>
      <c r="C854" t="s">
        <v>16</v>
      </c>
      <c r="D854" t="s">
        <v>11</v>
      </c>
      <c r="E854" t="s">
        <v>17</v>
      </c>
      <c r="F854" t="s">
        <v>39</v>
      </c>
      <c r="G854" t="s">
        <v>19</v>
      </c>
      <c r="H854">
        <v>116832</v>
      </c>
      <c r="I854">
        <v>104400</v>
      </c>
    </row>
    <row r="855" spans="1:9" x14ac:dyDescent="0.3">
      <c r="A855" t="s">
        <v>887</v>
      </c>
      <c r="B855">
        <v>45777</v>
      </c>
      <c r="C855" t="s">
        <v>21</v>
      </c>
      <c r="D855" t="s">
        <v>11</v>
      </c>
      <c r="E855" t="s">
        <v>22</v>
      </c>
      <c r="F855" t="s">
        <v>13</v>
      </c>
      <c r="G855" t="s">
        <v>14</v>
      </c>
      <c r="H855">
        <v>34792</v>
      </c>
      <c r="I855">
        <v>34400</v>
      </c>
    </row>
    <row r="856" spans="1:9" x14ac:dyDescent="0.3">
      <c r="A856" t="s">
        <v>888</v>
      </c>
      <c r="B856">
        <v>45777</v>
      </c>
      <c r="C856" t="s">
        <v>55</v>
      </c>
      <c r="D856" t="s">
        <v>11</v>
      </c>
      <c r="E856" t="s">
        <v>37</v>
      </c>
      <c r="F856" t="s">
        <v>26</v>
      </c>
      <c r="G856" t="s">
        <v>14</v>
      </c>
      <c r="H856">
        <v>99480</v>
      </c>
      <c r="I856">
        <v>89800</v>
      </c>
    </row>
    <row r="857" spans="1:9" x14ac:dyDescent="0.3">
      <c r="A857" t="s">
        <v>889</v>
      </c>
      <c r="B857">
        <v>45778</v>
      </c>
      <c r="C857" t="s">
        <v>62</v>
      </c>
      <c r="D857" t="s">
        <v>11</v>
      </c>
      <c r="E857" t="s">
        <v>22</v>
      </c>
      <c r="F857" t="s">
        <v>37</v>
      </c>
      <c r="G857" t="s">
        <v>14</v>
      </c>
      <c r="H857">
        <v>172607</v>
      </c>
      <c r="I857">
        <v>184000</v>
      </c>
    </row>
    <row r="858" spans="1:9" x14ac:dyDescent="0.3">
      <c r="A858" t="s">
        <v>890</v>
      </c>
      <c r="B858">
        <v>45778</v>
      </c>
      <c r="C858" t="s">
        <v>62</v>
      </c>
      <c r="D858" t="s">
        <v>11</v>
      </c>
      <c r="E858" t="s">
        <v>22</v>
      </c>
      <c r="F858" t="s">
        <v>59</v>
      </c>
      <c r="G858" t="s">
        <v>14</v>
      </c>
      <c r="H858">
        <v>245815</v>
      </c>
      <c r="I858">
        <v>276200</v>
      </c>
    </row>
    <row r="859" spans="1:9" x14ac:dyDescent="0.3">
      <c r="A859" t="s">
        <v>891</v>
      </c>
      <c r="B859">
        <v>45778</v>
      </c>
      <c r="C859" t="s">
        <v>10</v>
      </c>
      <c r="D859" t="s">
        <v>11</v>
      </c>
      <c r="E859" t="s">
        <v>12</v>
      </c>
      <c r="F859" t="s">
        <v>18</v>
      </c>
      <c r="G859" t="s">
        <v>19</v>
      </c>
      <c r="H859">
        <v>96352</v>
      </c>
      <c r="I859">
        <v>110900</v>
      </c>
    </row>
    <row r="860" spans="1:9" x14ac:dyDescent="0.3">
      <c r="A860" t="s">
        <v>892</v>
      </c>
      <c r="B860">
        <v>45778</v>
      </c>
      <c r="C860" t="s">
        <v>10</v>
      </c>
      <c r="D860" t="s">
        <v>11</v>
      </c>
      <c r="E860" t="s">
        <v>12</v>
      </c>
      <c r="F860" t="s">
        <v>33</v>
      </c>
      <c r="G860" t="s">
        <v>19</v>
      </c>
      <c r="H860">
        <v>45131</v>
      </c>
      <c r="I860">
        <v>33300</v>
      </c>
    </row>
    <row r="861" spans="1:9" x14ac:dyDescent="0.3">
      <c r="A861" t="s">
        <v>893</v>
      </c>
      <c r="B861">
        <v>45778</v>
      </c>
      <c r="C861" t="s">
        <v>16</v>
      </c>
      <c r="D861" t="s">
        <v>11</v>
      </c>
      <c r="E861" t="s">
        <v>17</v>
      </c>
      <c r="F861" t="s">
        <v>56</v>
      </c>
      <c r="G861" t="s">
        <v>19</v>
      </c>
      <c r="H861">
        <v>99693</v>
      </c>
      <c r="I861">
        <v>99700</v>
      </c>
    </row>
    <row r="862" spans="1:9" x14ac:dyDescent="0.3">
      <c r="A862" t="s">
        <v>894</v>
      </c>
      <c r="B862">
        <v>45778</v>
      </c>
      <c r="C862" t="s">
        <v>16</v>
      </c>
      <c r="D862" t="s">
        <v>11</v>
      </c>
      <c r="E862" t="s">
        <v>17</v>
      </c>
      <c r="F862" t="s">
        <v>42</v>
      </c>
      <c r="G862" t="s">
        <v>19</v>
      </c>
      <c r="H862">
        <v>13302</v>
      </c>
      <c r="I862">
        <v>13200</v>
      </c>
    </row>
    <row r="863" spans="1:9" x14ac:dyDescent="0.3">
      <c r="A863" t="s">
        <v>895</v>
      </c>
      <c r="B863">
        <v>45778</v>
      </c>
      <c r="C863" t="s">
        <v>16</v>
      </c>
      <c r="D863" t="s">
        <v>11</v>
      </c>
      <c r="E863" t="s">
        <v>17</v>
      </c>
      <c r="F863" t="s">
        <v>46</v>
      </c>
      <c r="G863" t="s">
        <v>19</v>
      </c>
      <c r="H863">
        <v>57410</v>
      </c>
      <c r="I863">
        <v>55700</v>
      </c>
    </row>
    <row r="864" spans="1:9" x14ac:dyDescent="0.3">
      <c r="A864" t="s">
        <v>896</v>
      </c>
      <c r="B864">
        <v>45778</v>
      </c>
      <c r="C864" t="s">
        <v>16</v>
      </c>
      <c r="D864" t="s">
        <v>11</v>
      </c>
      <c r="E864" t="s">
        <v>17</v>
      </c>
      <c r="F864" t="s">
        <v>42</v>
      </c>
      <c r="G864" t="s">
        <v>19</v>
      </c>
      <c r="H864">
        <v>25891</v>
      </c>
      <c r="I864">
        <v>26000</v>
      </c>
    </row>
    <row r="865" spans="1:9" x14ac:dyDescent="0.3">
      <c r="A865" t="s">
        <v>897</v>
      </c>
      <c r="B865">
        <v>45778</v>
      </c>
      <c r="C865" t="s">
        <v>16</v>
      </c>
      <c r="D865" t="s">
        <v>11</v>
      </c>
      <c r="E865" t="s">
        <v>17</v>
      </c>
      <c r="F865" t="s">
        <v>23</v>
      </c>
      <c r="G865" t="s">
        <v>14</v>
      </c>
      <c r="H865">
        <v>69912</v>
      </c>
      <c r="I865">
        <v>67700</v>
      </c>
    </row>
    <row r="866" spans="1:9" x14ac:dyDescent="0.3">
      <c r="A866" t="s">
        <v>898</v>
      </c>
      <c r="B866">
        <v>45778</v>
      </c>
      <c r="C866" t="s">
        <v>21</v>
      </c>
      <c r="D866" t="s">
        <v>11</v>
      </c>
      <c r="E866" t="s">
        <v>22</v>
      </c>
      <c r="F866" t="s">
        <v>13</v>
      </c>
      <c r="G866" t="s">
        <v>14</v>
      </c>
      <c r="H866">
        <v>83491</v>
      </c>
      <c r="I866">
        <v>96500</v>
      </c>
    </row>
    <row r="867" spans="1:9" x14ac:dyDescent="0.3">
      <c r="A867" t="s">
        <v>899</v>
      </c>
      <c r="B867">
        <v>45778</v>
      </c>
      <c r="C867" t="s">
        <v>21</v>
      </c>
      <c r="D867" t="s">
        <v>11</v>
      </c>
      <c r="E867" t="s">
        <v>22</v>
      </c>
      <c r="F867" t="s">
        <v>37</v>
      </c>
      <c r="G867" t="s">
        <v>14</v>
      </c>
      <c r="H867">
        <v>184863</v>
      </c>
      <c r="I867">
        <v>194400</v>
      </c>
    </row>
    <row r="868" spans="1:9" x14ac:dyDescent="0.3">
      <c r="A868" t="s">
        <v>900</v>
      </c>
      <c r="B868">
        <v>45778</v>
      </c>
      <c r="C868" t="s">
        <v>21</v>
      </c>
      <c r="D868" t="s">
        <v>11</v>
      </c>
      <c r="E868" t="s">
        <v>22</v>
      </c>
      <c r="F868" t="s">
        <v>12</v>
      </c>
      <c r="G868" t="s">
        <v>14</v>
      </c>
      <c r="H868">
        <v>101928</v>
      </c>
      <c r="I868">
        <v>130600</v>
      </c>
    </row>
    <row r="869" spans="1:9" x14ac:dyDescent="0.3">
      <c r="A869" t="s">
        <v>901</v>
      </c>
      <c r="B869">
        <v>45778</v>
      </c>
      <c r="C869" t="s">
        <v>25</v>
      </c>
      <c r="D869" t="s">
        <v>11</v>
      </c>
      <c r="E869" t="s">
        <v>22</v>
      </c>
      <c r="F869" t="s">
        <v>13</v>
      </c>
      <c r="G869" t="s">
        <v>14</v>
      </c>
      <c r="H869">
        <v>49130</v>
      </c>
      <c r="I869">
        <v>53700</v>
      </c>
    </row>
    <row r="870" spans="1:9" x14ac:dyDescent="0.3">
      <c r="A870" t="s">
        <v>902</v>
      </c>
      <c r="B870">
        <v>45778</v>
      </c>
      <c r="C870" t="s">
        <v>25</v>
      </c>
      <c r="D870" t="s">
        <v>11</v>
      </c>
      <c r="E870" t="s">
        <v>22</v>
      </c>
      <c r="F870" t="s">
        <v>12</v>
      </c>
      <c r="G870" t="s">
        <v>14</v>
      </c>
      <c r="H870">
        <v>184408</v>
      </c>
      <c r="I870">
        <v>171100</v>
      </c>
    </row>
    <row r="871" spans="1:9" x14ac:dyDescent="0.3">
      <c r="A871" t="s">
        <v>903</v>
      </c>
      <c r="B871">
        <v>45778</v>
      </c>
      <c r="C871" t="s">
        <v>31</v>
      </c>
      <c r="D871" t="s">
        <v>11</v>
      </c>
      <c r="E871" t="s">
        <v>17</v>
      </c>
      <c r="F871" t="s">
        <v>37</v>
      </c>
      <c r="G871" t="s">
        <v>14</v>
      </c>
      <c r="H871">
        <v>33623</v>
      </c>
      <c r="I871">
        <v>33300</v>
      </c>
    </row>
    <row r="872" spans="1:9" x14ac:dyDescent="0.3">
      <c r="A872" t="s">
        <v>904</v>
      </c>
      <c r="B872">
        <v>45778</v>
      </c>
      <c r="C872" t="s">
        <v>55</v>
      </c>
      <c r="D872" t="s">
        <v>11</v>
      </c>
      <c r="E872" t="s">
        <v>37</v>
      </c>
      <c r="F872" t="s">
        <v>42</v>
      </c>
      <c r="G872" t="s">
        <v>19</v>
      </c>
      <c r="H872">
        <v>96562</v>
      </c>
      <c r="I872">
        <v>104200</v>
      </c>
    </row>
    <row r="873" spans="1:9" x14ac:dyDescent="0.3">
      <c r="A873" t="s">
        <v>905</v>
      </c>
      <c r="B873">
        <v>45779</v>
      </c>
      <c r="C873" t="s">
        <v>62</v>
      </c>
      <c r="D873" t="s">
        <v>11</v>
      </c>
      <c r="E873" t="s">
        <v>22</v>
      </c>
      <c r="F873" t="s">
        <v>42</v>
      </c>
      <c r="G873" t="s">
        <v>19</v>
      </c>
      <c r="H873">
        <v>38020</v>
      </c>
      <c r="I873">
        <v>34500</v>
      </c>
    </row>
    <row r="874" spans="1:9" x14ac:dyDescent="0.3">
      <c r="A874" t="s">
        <v>906</v>
      </c>
      <c r="B874">
        <v>45779</v>
      </c>
      <c r="C874" t="s">
        <v>62</v>
      </c>
      <c r="D874" t="s">
        <v>11</v>
      </c>
      <c r="E874" t="s">
        <v>22</v>
      </c>
      <c r="F874" t="s">
        <v>23</v>
      </c>
      <c r="G874" t="s">
        <v>14</v>
      </c>
      <c r="H874">
        <v>136187</v>
      </c>
      <c r="I874">
        <v>141500</v>
      </c>
    </row>
    <row r="875" spans="1:9" x14ac:dyDescent="0.3">
      <c r="A875" t="s">
        <v>907</v>
      </c>
      <c r="B875">
        <v>45779</v>
      </c>
      <c r="C875" t="s">
        <v>36</v>
      </c>
      <c r="D875" t="s">
        <v>11</v>
      </c>
      <c r="E875" t="s">
        <v>37</v>
      </c>
      <c r="F875" t="s">
        <v>46</v>
      </c>
      <c r="G875" t="s">
        <v>19</v>
      </c>
      <c r="H875">
        <v>44256</v>
      </c>
      <c r="I875">
        <v>44300</v>
      </c>
    </row>
    <row r="876" spans="1:9" x14ac:dyDescent="0.3">
      <c r="A876" t="s">
        <v>908</v>
      </c>
      <c r="B876">
        <v>45779</v>
      </c>
      <c r="C876" t="s">
        <v>21</v>
      </c>
      <c r="D876" t="s">
        <v>11</v>
      </c>
      <c r="E876" t="s">
        <v>22</v>
      </c>
      <c r="F876" t="s">
        <v>42</v>
      </c>
      <c r="G876" t="s">
        <v>19</v>
      </c>
      <c r="H876">
        <v>117153</v>
      </c>
      <c r="I876">
        <v>113500</v>
      </c>
    </row>
    <row r="877" spans="1:9" x14ac:dyDescent="0.3">
      <c r="A877" t="s">
        <v>909</v>
      </c>
      <c r="B877">
        <v>45779</v>
      </c>
      <c r="C877" t="s">
        <v>25</v>
      </c>
      <c r="D877" t="s">
        <v>11</v>
      </c>
      <c r="E877" t="s">
        <v>22</v>
      </c>
      <c r="F877" t="s">
        <v>12</v>
      </c>
      <c r="G877" t="s">
        <v>14</v>
      </c>
      <c r="H877">
        <v>155218</v>
      </c>
      <c r="I877">
        <v>158000</v>
      </c>
    </row>
    <row r="878" spans="1:9" x14ac:dyDescent="0.3">
      <c r="A878" t="s">
        <v>910</v>
      </c>
      <c r="B878">
        <v>45779</v>
      </c>
      <c r="C878" t="s">
        <v>55</v>
      </c>
      <c r="D878" t="s">
        <v>11</v>
      </c>
      <c r="E878" t="s">
        <v>37</v>
      </c>
      <c r="F878" t="s">
        <v>33</v>
      </c>
      <c r="G878" t="s">
        <v>19</v>
      </c>
      <c r="H878">
        <v>14821</v>
      </c>
      <c r="I878">
        <v>14900</v>
      </c>
    </row>
    <row r="879" spans="1:9" x14ac:dyDescent="0.3">
      <c r="A879" t="s">
        <v>911</v>
      </c>
      <c r="B879">
        <v>45779</v>
      </c>
      <c r="C879" t="s">
        <v>55</v>
      </c>
      <c r="D879" t="s">
        <v>11</v>
      </c>
      <c r="E879" t="s">
        <v>37</v>
      </c>
      <c r="F879" t="s">
        <v>46</v>
      </c>
      <c r="G879" t="s">
        <v>19</v>
      </c>
      <c r="H879">
        <v>55676</v>
      </c>
      <c r="I879">
        <v>56300</v>
      </c>
    </row>
    <row r="880" spans="1:9" x14ac:dyDescent="0.3">
      <c r="A880" t="s">
        <v>912</v>
      </c>
      <c r="B880">
        <v>45780</v>
      </c>
      <c r="C880" t="s">
        <v>10</v>
      </c>
      <c r="D880" t="s">
        <v>11</v>
      </c>
      <c r="E880" t="s">
        <v>12</v>
      </c>
      <c r="F880" t="s">
        <v>33</v>
      </c>
      <c r="G880" t="s">
        <v>19</v>
      </c>
      <c r="H880">
        <v>27737</v>
      </c>
      <c r="I880">
        <v>31300</v>
      </c>
    </row>
    <row r="881" spans="1:9" x14ac:dyDescent="0.3">
      <c r="A881" t="s">
        <v>913</v>
      </c>
      <c r="B881">
        <v>45780</v>
      </c>
      <c r="C881" t="s">
        <v>10</v>
      </c>
      <c r="D881" t="s">
        <v>11</v>
      </c>
      <c r="E881" t="s">
        <v>12</v>
      </c>
      <c r="F881" t="s">
        <v>33</v>
      </c>
      <c r="G881" t="s">
        <v>19</v>
      </c>
      <c r="H881">
        <v>85210</v>
      </c>
      <c r="I881">
        <v>90400</v>
      </c>
    </row>
    <row r="882" spans="1:9" x14ac:dyDescent="0.3">
      <c r="A882" t="s">
        <v>914</v>
      </c>
      <c r="B882">
        <v>45780</v>
      </c>
      <c r="C882" t="s">
        <v>16</v>
      </c>
      <c r="D882" t="s">
        <v>11</v>
      </c>
      <c r="E882" t="s">
        <v>17</v>
      </c>
      <c r="F882" t="s">
        <v>23</v>
      </c>
      <c r="G882" t="s">
        <v>14</v>
      </c>
      <c r="H882">
        <v>212489</v>
      </c>
      <c r="I882">
        <v>216600</v>
      </c>
    </row>
    <row r="883" spans="1:9" x14ac:dyDescent="0.3">
      <c r="A883" t="s">
        <v>915</v>
      </c>
      <c r="B883">
        <v>45780</v>
      </c>
      <c r="C883" t="s">
        <v>36</v>
      </c>
      <c r="D883" t="s">
        <v>11</v>
      </c>
      <c r="E883" t="s">
        <v>37</v>
      </c>
      <c r="F883" t="s">
        <v>18</v>
      </c>
      <c r="G883" t="s">
        <v>19</v>
      </c>
      <c r="H883">
        <v>14382</v>
      </c>
      <c r="I883">
        <v>13500</v>
      </c>
    </row>
    <row r="884" spans="1:9" x14ac:dyDescent="0.3">
      <c r="A884" t="s">
        <v>916</v>
      </c>
      <c r="B884">
        <v>45780</v>
      </c>
      <c r="C884" t="s">
        <v>21</v>
      </c>
      <c r="D884" t="s">
        <v>11</v>
      </c>
      <c r="E884" t="s">
        <v>22</v>
      </c>
      <c r="F884" t="s">
        <v>13</v>
      </c>
      <c r="G884" t="s">
        <v>14</v>
      </c>
      <c r="H884">
        <v>242678</v>
      </c>
      <c r="I884">
        <v>266300</v>
      </c>
    </row>
    <row r="885" spans="1:9" x14ac:dyDescent="0.3">
      <c r="A885" t="s">
        <v>917</v>
      </c>
      <c r="B885">
        <v>45780</v>
      </c>
      <c r="C885" t="s">
        <v>21</v>
      </c>
      <c r="D885" t="s">
        <v>11</v>
      </c>
      <c r="E885" t="s">
        <v>22</v>
      </c>
      <c r="F885" t="s">
        <v>37</v>
      </c>
      <c r="G885" t="s">
        <v>14</v>
      </c>
      <c r="H885">
        <v>159952</v>
      </c>
      <c r="I885">
        <v>149900</v>
      </c>
    </row>
    <row r="886" spans="1:9" x14ac:dyDescent="0.3">
      <c r="A886" t="s">
        <v>918</v>
      </c>
      <c r="B886">
        <v>45781</v>
      </c>
      <c r="C886" t="s">
        <v>62</v>
      </c>
      <c r="D886" t="s">
        <v>11</v>
      </c>
      <c r="E886" t="s">
        <v>22</v>
      </c>
      <c r="F886" t="s">
        <v>33</v>
      </c>
      <c r="G886" t="s">
        <v>19</v>
      </c>
      <c r="H886">
        <v>62678</v>
      </c>
      <c r="I886">
        <v>63400</v>
      </c>
    </row>
    <row r="887" spans="1:9" x14ac:dyDescent="0.3">
      <c r="A887" t="s">
        <v>919</v>
      </c>
      <c r="B887">
        <v>45781</v>
      </c>
      <c r="C887" t="s">
        <v>16</v>
      </c>
      <c r="D887" t="s">
        <v>11</v>
      </c>
      <c r="E887" t="s">
        <v>17</v>
      </c>
      <c r="F887" t="s">
        <v>33</v>
      </c>
      <c r="G887" t="s">
        <v>19</v>
      </c>
      <c r="H887">
        <v>57590</v>
      </c>
      <c r="I887">
        <v>54900</v>
      </c>
    </row>
    <row r="888" spans="1:9" x14ac:dyDescent="0.3">
      <c r="A888" t="s">
        <v>920</v>
      </c>
      <c r="B888">
        <v>45781</v>
      </c>
      <c r="C888" t="s">
        <v>36</v>
      </c>
      <c r="D888" t="s">
        <v>11</v>
      </c>
      <c r="E888" t="s">
        <v>37</v>
      </c>
      <c r="F888" t="s">
        <v>12</v>
      </c>
      <c r="G888" t="s">
        <v>14</v>
      </c>
      <c r="H888">
        <v>177466</v>
      </c>
      <c r="I888">
        <v>156600</v>
      </c>
    </row>
    <row r="889" spans="1:9" x14ac:dyDescent="0.3">
      <c r="A889" t="s">
        <v>921</v>
      </c>
      <c r="B889">
        <v>45781</v>
      </c>
      <c r="C889" t="s">
        <v>36</v>
      </c>
      <c r="D889" t="s">
        <v>11</v>
      </c>
      <c r="E889" t="s">
        <v>37</v>
      </c>
      <c r="F889" t="s">
        <v>23</v>
      </c>
      <c r="G889" t="s">
        <v>14</v>
      </c>
      <c r="H889">
        <v>26985</v>
      </c>
      <c r="I889">
        <v>29300</v>
      </c>
    </row>
    <row r="890" spans="1:9" x14ac:dyDescent="0.3">
      <c r="A890" t="s">
        <v>922</v>
      </c>
      <c r="B890">
        <v>45781</v>
      </c>
      <c r="C890" t="s">
        <v>31</v>
      </c>
      <c r="D890" t="s">
        <v>11</v>
      </c>
      <c r="E890" t="s">
        <v>17</v>
      </c>
      <c r="F890" t="s">
        <v>59</v>
      </c>
      <c r="G890" t="s">
        <v>14</v>
      </c>
      <c r="H890">
        <v>170892</v>
      </c>
      <c r="I890">
        <v>192400</v>
      </c>
    </row>
    <row r="891" spans="1:9" x14ac:dyDescent="0.3">
      <c r="A891" t="s">
        <v>923</v>
      </c>
      <c r="B891">
        <v>45781</v>
      </c>
      <c r="C891" t="s">
        <v>55</v>
      </c>
      <c r="D891" t="s">
        <v>11</v>
      </c>
      <c r="E891" t="s">
        <v>37</v>
      </c>
      <c r="F891" t="s">
        <v>13</v>
      </c>
      <c r="G891" t="s">
        <v>14</v>
      </c>
      <c r="H891">
        <v>174832</v>
      </c>
      <c r="I891">
        <v>147300</v>
      </c>
    </row>
    <row r="892" spans="1:9" x14ac:dyDescent="0.3">
      <c r="A892" t="s">
        <v>924</v>
      </c>
      <c r="B892">
        <v>45782</v>
      </c>
      <c r="C892" t="s">
        <v>62</v>
      </c>
      <c r="D892" t="s">
        <v>11</v>
      </c>
      <c r="E892" t="s">
        <v>22</v>
      </c>
      <c r="F892" t="s">
        <v>56</v>
      </c>
      <c r="G892" t="s">
        <v>19</v>
      </c>
      <c r="H892">
        <v>103027</v>
      </c>
      <c r="I892">
        <v>103800</v>
      </c>
    </row>
    <row r="893" spans="1:9" x14ac:dyDescent="0.3">
      <c r="A893" t="s">
        <v>925</v>
      </c>
      <c r="B893">
        <v>45782</v>
      </c>
      <c r="C893" t="s">
        <v>62</v>
      </c>
      <c r="D893" t="s">
        <v>11</v>
      </c>
      <c r="E893" t="s">
        <v>22</v>
      </c>
      <c r="F893" t="s">
        <v>23</v>
      </c>
      <c r="G893" t="s">
        <v>14</v>
      </c>
      <c r="H893">
        <v>73688</v>
      </c>
      <c r="I893">
        <v>70100</v>
      </c>
    </row>
    <row r="894" spans="1:9" x14ac:dyDescent="0.3">
      <c r="A894" t="s">
        <v>926</v>
      </c>
      <c r="B894">
        <v>45782</v>
      </c>
      <c r="C894" t="s">
        <v>10</v>
      </c>
      <c r="D894" t="s">
        <v>11</v>
      </c>
      <c r="E894" t="s">
        <v>12</v>
      </c>
      <c r="F894" t="s">
        <v>39</v>
      </c>
      <c r="G894" t="s">
        <v>19</v>
      </c>
      <c r="H894">
        <v>101750</v>
      </c>
      <c r="I894">
        <v>103500</v>
      </c>
    </row>
    <row r="895" spans="1:9" x14ac:dyDescent="0.3">
      <c r="A895" t="s">
        <v>927</v>
      </c>
      <c r="B895">
        <v>45782</v>
      </c>
      <c r="C895" t="s">
        <v>16</v>
      </c>
      <c r="D895" t="s">
        <v>11</v>
      </c>
      <c r="E895" t="s">
        <v>17</v>
      </c>
      <c r="F895" t="s">
        <v>39</v>
      </c>
      <c r="G895" t="s">
        <v>19</v>
      </c>
      <c r="H895">
        <v>117074</v>
      </c>
      <c r="I895">
        <v>123000</v>
      </c>
    </row>
    <row r="896" spans="1:9" x14ac:dyDescent="0.3">
      <c r="A896" t="s">
        <v>928</v>
      </c>
      <c r="B896">
        <v>45782</v>
      </c>
      <c r="C896" t="s">
        <v>16</v>
      </c>
      <c r="D896" t="s">
        <v>11</v>
      </c>
      <c r="E896" t="s">
        <v>17</v>
      </c>
      <c r="F896" t="s">
        <v>46</v>
      </c>
      <c r="G896" t="s">
        <v>19</v>
      </c>
      <c r="H896">
        <v>116468</v>
      </c>
      <c r="I896">
        <v>122800</v>
      </c>
    </row>
    <row r="897" spans="1:9" x14ac:dyDescent="0.3">
      <c r="A897" t="s">
        <v>929</v>
      </c>
      <c r="B897">
        <v>45782</v>
      </c>
      <c r="C897" t="s">
        <v>21</v>
      </c>
      <c r="D897" t="s">
        <v>11</v>
      </c>
      <c r="E897" t="s">
        <v>22</v>
      </c>
      <c r="F897" t="s">
        <v>59</v>
      </c>
      <c r="G897" t="s">
        <v>14</v>
      </c>
      <c r="H897">
        <v>36211</v>
      </c>
      <c r="I897">
        <v>37000</v>
      </c>
    </row>
    <row r="898" spans="1:9" x14ac:dyDescent="0.3">
      <c r="A898" t="s">
        <v>930</v>
      </c>
      <c r="B898">
        <v>45782</v>
      </c>
      <c r="C898" t="s">
        <v>31</v>
      </c>
      <c r="D898" t="s">
        <v>11</v>
      </c>
      <c r="E898" t="s">
        <v>17</v>
      </c>
      <c r="F898" t="s">
        <v>33</v>
      </c>
      <c r="G898" t="s">
        <v>19</v>
      </c>
      <c r="H898">
        <v>29680</v>
      </c>
      <c r="I898">
        <v>30800</v>
      </c>
    </row>
    <row r="899" spans="1:9" x14ac:dyDescent="0.3">
      <c r="A899" t="s">
        <v>931</v>
      </c>
      <c r="B899">
        <v>45782</v>
      </c>
      <c r="C899" t="s">
        <v>31</v>
      </c>
      <c r="D899" t="s">
        <v>11</v>
      </c>
      <c r="E899" t="s">
        <v>17</v>
      </c>
      <c r="F899" t="s">
        <v>56</v>
      </c>
      <c r="G899" t="s">
        <v>19</v>
      </c>
      <c r="H899">
        <v>100584</v>
      </c>
      <c r="I899">
        <v>117400</v>
      </c>
    </row>
    <row r="900" spans="1:9" x14ac:dyDescent="0.3">
      <c r="A900" t="s">
        <v>932</v>
      </c>
      <c r="B900">
        <v>45782</v>
      </c>
      <c r="C900" t="s">
        <v>55</v>
      </c>
      <c r="D900" t="s">
        <v>11</v>
      </c>
      <c r="E900" t="s">
        <v>37</v>
      </c>
      <c r="F900" t="s">
        <v>13</v>
      </c>
      <c r="G900" t="s">
        <v>14</v>
      </c>
      <c r="H900">
        <v>40876</v>
      </c>
      <c r="I900">
        <v>35500</v>
      </c>
    </row>
    <row r="901" spans="1:9" x14ac:dyDescent="0.3">
      <c r="A901" t="s">
        <v>933</v>
      </c>
      <c r="B901">
        <v>45783</v>
      </c>
      <c r="C901" t="s">
        <v>36</v>
      </c>
      <c r="D901" t="s">
        <v>11</v>
      </c>
      <c r="E901" t="s">
        <v>37</v>
      </c>
      <c r="F901" t="s">
        <v>56</v>
      </c>
      <c r="G901" t="s">
        <v>19</v>
      </c>
      <c r="H901">
        <v>83353</v>
      </c>
      <c r="I901">
        <v>71700</v>
      </c>
    </row>
    <row r="902" spans="1:9" x14ac:dyDescent="0.3">
      <c r="A902" t="s">
        <v>934</v>
      </c>
      <c r="B902">
        <v>45783</v>
      </c>
      <c r="C902" t="s">
        <v>36</v>
      </c>
      <c r="D902" t="s">
        <v>11</v>
      </c>
      <c r="E902" t="s">
        <v>37</v>
      </c>
      <c r="F902" t="s">
        <v>18</v>
      </c>
      <c r="G902" t="s">
        <v>19</v>
      </c>
      <c r="H902">
        <v>98310</v>
      </c>
      <c r="I902">
        <v>83500</v>
      </c>
    </row>
    <row r="903" spans="1:9" x14ac:dyDescent="0.3">
      <c r="A903" t="s">
        <v>935</v>
      </c>
      <c r="B903">
        <v>45783</v>
      </c>
      <c r="C903" t="s">
        <v>21</v>
      </c>
      <c r="D903" t="s">
        <v>11</v>
      </c>
      <c r="E903" t="s">
        <v>22</v>
      </c>
      <c r="F903" t="s">
        <v>18</v>
      </c>
      <c r="G903" t="s">
        <v>19</v>
      </c>
      <c r="H903">
        <v>109405</v>
      </c>
      <c r="I903">
        <v>106000</v>
      </c>
    </row>
    <row r="904" spans="1:9" x14ac:dyDescent="0.3">
      <c r="A904" t="s">
        <v>936</v>
      </c>
      <c r="B904">
        <v>45784</v>
      </c>
      <c r="C904" t="s">
        <v>62</v>
      </c>
      <c r="D904" t="s">
        <v>11</v>
      </c>
      <c r="E904" t="s">
        <v>22</v>
      </c>
      <c r="F904" t="s">
        <v>39</v>
      </c>
      <c r="G904" t="s">
        <v>19</v>
      </c>
      <c r="H904">
        <v>59065</v>
      </c>
      <c r="I904">
        <v>51200</v>
      </c>
    </row>
    <row r="905" spans="1:9" x14ac:dyDescent="0.3">
      <c r="A905" t="s">
        <v>937</v>
      </c>
      <c r="B905">
        <v>45784</v>
      </c>
      <c r="C905" t="s">
        <v>16</v>
      </c>
      <c r="D905" t="s">
        <v>11</v>
      </c>
      <c r="E905" t="s">
        <v>17</v>
      </c>
      <c r="F905" t="s">
        <v>33</v>
      </c>
      <c r="G905" t="s">
        <v>19</v>
      </c>
      <c r="H905">
        <v>31686</v>
      </c>
      <c r="I905">
        <v>31400</v>
      </c>
    </row>
    <row r="906" spans="1:9" x14ac:dyDescent="0.3">
      <c r="A906" t="s">
        <v>938</v>
      </c>
      <c r="B906">
        <v>45784</v>
      </c>
      <c r="C906" t="s">
        <v>16</v>
      </c>
      <c r="D906" t="s">
        <v>11</v>
      </c>
      <c r="E906" t="s">
        <v>17</v>
      </c>
      <c r="F906" t="s">
        <v>26</v>
      </c>
      <c r="G906" t="s">
        <v>14</v>
      </c>
      <c r="H906">
        <v>145851</v>
      </c>
      <c r="I906">
        <v>151800</v>
      </c>
    </row>
    <row r="907" spans="1:9" x14ac:dyDescent="0.3">
      <c r="A907" t="s">
        <v>939</v>
      </c>
      <c r="B907">
        <v>45784</v>
      </c>
      <c r="C907" t="s">
        <v>16</v>
      </c>
      <c r="D907" t="s">
        <v>11</v>
      </c>
      <c r="E907" t="s">
        <v>17</v>
      </c>
      <c r="F907" t="s">
        <v>59</v>
      </c>
      <c r="G907" t="s">
        <v>14</v>
      </c>
      <c r="H907">
        <v>58149</v>
      </c>
      <c r="I907">
        <v>61100</v>
      </c>
    </row>
    <row r="908" spans="1:9" x14ac:dyDescent="0.3">
      <c r="A908" t="s">
        <v>940</v>
      </c>
      <c r="B908">
        <v>45784</v>
      </c>
      <c r="C908" t="s">
        <v>21</v>
      </c>
      <c r="D908" t="s">
        <v>11</v>
      </c>
      <c r="E908" t="s">
        <v>22</v>
      </c>
      <c r="F908" t="s">
        <v>56</v>
      </c>
      <c r="G908" t="s">
        <v>19</v>
      </c>
      <c r="H908">
        <v>109309</v>
      </c>
      <c r="I908">
        <v>113700</v>
      </c>
    </row>
    <row r="909" spans="1:9" x14ac:dyDescent="0.3">
      <c r="A909" t="s">
        <v>941</v>
      </c>
      <c r="B909">
        <v>45784</v>
      </c>
      <c r="C909" t="s">
        <v>25</v>
      </c>
      <c r="D909" t="s">
        <v>11</v>
      </c>
      <c r="E909" t="s">
        <v>22</v>
      </c>
      <c r="F909" t="s">
        <v>42</v>
      </c>
      <c r="G909" t="s">
        <v>19</v>
      </c>
      <c r="H909">
        <v>28706</v>
      </c>
      <c r="I909">
        <v>26900</v>
      </c>
    </row>
    <row r="910" spans="1:9" x14ac:dyDescent="0.3">
      <c r="A910" t="s">
        <v>942</v>
      </c>
      <c r="B910">
        <v>45785</v>
      </c>
      <c r="C910" t="s">
        <v>10</v>
      </c>
      <c r="D910" t="s">
        <v>11</v>
      </c>
      <c r="E910" t="s">
        <v>12</v>
      </c>
      <c r="F910" t="s">
        <v>37</v>
      </c>
      <c r="G910" t="s">
        <v>14</v>
      </c>
      <c r="H910">
        <v>179076</v>
      </c>
      <c r="I910">
        <v>191800</v>
      </c>
    </row>
    <row r="911" spans="1:9" x14ac:dyDescent="0.3">
      <c r="A911" t="s">
        <v>943</v>
      </c>
      <c r="B911">
        <v>45785</v>
      </c>
      <c r="C911" t="s">
        <v>16</v>
      </c>
      <c r="D911" t="s">
        <v>11</v>
      </c>
      <c r="E911" t="s">
        <v>17</v>
      </c>
      <c r="F911" t="s">
        <v>59</v>
      </c>
      <c r="G911" t="s">
        <v>14</v>
      </c>
      <c r="H911">
        <v>149623</v>
      </c>
      <c r="I911">
        <v>148300</v>
      </c>
    </row>
    <row r="912" spans="1:9" x14ac:dyDescent="0.3">
      <c r="A912" t="s">
        <v>944</v>
      </c>
      <c r="B912">
        <v>45785</v>
      </c>
      <c r="C912" t="s">
        <v>16</v>
      </c>
      <c r="D912" t="s">
        <v>11</v>
      </c>
      <c r="E912" t="s">
        <v>17</v>
      </c>
      <c r="F912" t="s">
        <v>37</v>
      </c>
      <c r="G912" t="s">
        <v>14</v>
      </c>
      <c r="H912">
        <v>45109</v>
      </c>
      <c r="I912">
        <v>43800</v>
      </c>
    </row>
    <row r="913" spans="1:9" x14ac:dyDescent="0.3">
      <c r="A913" t="s">
        <v>945</v>
      </c>
      <c r="B913">
        <v>45785</v>
      </c>
      <c r="C913" t="s">
        <v>25</v>
      </c>
      <c r="D913" t="s">
        <v>11</v>
      </c>
      <c r="E913" t="s">
        <v>22</v>
      </c>
      <c r="F913" t="s">
        <v>39</v>
      </c>
      <c r="G913" t="s">
        <v>19</v>
      </c>
      <c r="H913">
        <v>74598</v>
      </c>
      <c r="I913">
        <v>81800</v>
      </c>
    </row>
    <row r="914" spans="1:9" x14ac:dyDescent="0.3">
      <c r="A914" t="s">
        <v>946</v>
      </c>
      <c r="B914">
        <v>45785</v>
      </c>
      <c r="C914" t="s">
        <v>25</v>
      </c>
      <c r="D914" t="s">
        <v>11</v>
      </c>
      <c r="E914" t="s">
        <v>22</v>
      </c>
      <c r="F914" t="s">
        <v>23</v>
      </c>
      <c r="G914" t="s">
        <v>14</v>
      </c>
      <c r="H914">
        <v>200746</v>
      </c>
      <c r="I914">
        <v>222800</v>
      </c>
    </row>
    <row r="915" spans="1:9" x14ac:dyDescent="0.3">
      <c r="A915" t="s">
        <v>947</v>
      </c>
      <c r="B915">
        <v>45786</v>
      </c>
      <c r="C915" t="s">
        <v>62</v>
      </c>
      <c r="D915" t="s">
        <v>11</v>
      </c>
      <c r="E915" t="s">
        <v>22</v>
      </c>
      <c r="F915" t="s">
        <v>26</v>
      </c>
      <c r="G915" t="s">
        <v>14</v>
      </c>
      <c r="H915">
        <v>154180</v>
      </c>
      <c r="I915">
        <v>151300</v>
      </c>
    </row>
    <row r="916" spans="1:9" x14ac:dyDescent="0.3">
      <c r="A916" t="s">
        <v>948</v>
      </c>
      <c r="B916">
        <v>45786</v>
      </c>
      <c r="C916" t="s">
        <v>10</v>
      </c>
      <c r="D916" t="s">
        <v>11</v>
      </c>
      <c r="E916" t="s">
        <v>12</v>
      </c>
      <c r="F916" t="s">
        <v>33</v>
      </c>
      <c r="G916" t="s">
        <v>19</v>
      </c>
      <c r="H916">
        <v>71214</v>
      </c>
      <c r="I916">
        <v>69100</v>
      </c>
    </row>
    <row r="917" spans="1:9" x14ac:dyDescent="0.3">
      <c r="A917" t="s">
        <v>949</v>
      </c>
      <c r="B917">
        <v>45786</v>
      </c>
      <c r="C917" t="s">
        <v>10</v>
      </c>
      <c r="D917" t="s">
        <v>11</v>
      </c>
      <c r="E917" t="s">
        <v>12</v>
      </c>
      <c r="F917" t="s">
        <v>12</v>
      </c>
      <c r="G917" t="s">
        <v>14</v>
      </c>
      <c r="H917">
        <v>222100</v>
      </c>
      <c r="I917">
        <v>185100</v>
      </c>
    </row>
    <row r="918" spans="1:9" x14ac:dyDescent="0.3">
      <c r="A918" t="s">
        <v>950</v>
      </c>
      <c r="B918">
        <v>45786</v>
      </c>
      <c r="C918" t="s">
        <v>16</v>
      </c>
      <c r="D918" t="s">
        <v>11</v>
      </c>
      <c r="E918" t="s">
        <v>17</v>
      </c>
      <c r="F918" t="s">
        <v>33</v>
      </c>
      <c r="G918" t="s">
        <v>19</v>
      </c>
      <c r="H918">
        <v>58292</v>
      </c>
      <c r="I918">
        <v>57000</v>
      </c>
    </row>
    <row r="919" spans="1:9" x14ac:dyDescent="0.3">
      <c r="A919" t="s">
        <v>951</v>
      </c>
      <c r="B919">
        <v>45786</v>
      </c>
      <c r="C919" t="s">
        <v>16</v>
      </c>
      <c r="D919" t="s">
        <v>11</v>
      </c>
      <c r="E919" t="s">
        <v>17</v>
      </c>
      <c r="F919" t="s">
        <v>23</v>
      </c>
      <c r="G919" t="s">
        <v>14</v>
      </c>
      <c r="H919">
        <v>94386</v>
      </c>
      <c r="I919">
        <v>98900</v>
      </c>
    </row>
    <row r="920" spans="1:9" x14ac:dyDescent="0.3">
      <c r="A920" t="s">
        <v>952</v>
      </c>
      <c r="B920">
        <v>45786</v>
      </c>
      <c r="C920" t="s">
        <v>36</v>
      </c>
      <c r="D920" t="s">
        <v>11</v>
      </c>
      <c r="E920" t="s">
        <v>37</v>
      </c>
      <c r="F920" t="s">
        <v>23</v>
      </c>
      <c r="G920" t="s">
        <v>14</v>
      </c>
      <c r="H920">
        <v>75172</v>
      </c>
      <c r="I920">
        <v>80800</v>
      </c>
    </row>
    <row r="921" spans="1:9" x14ac:dyDescent="0.3">
      <c r="A921" t="s">
        <v>953</v>
      </c>
      <c r="B921">
        <v>45786</v>
      </c>
      <c r="C921" t="s">
        <v>21</v>
      </c>
      <c r="D921" t="s">
        <v>11</v>
      </c>
      <c r="E921" t="s">
        <v>22</v>
      </c>
      <c r="F921" t="s">
        <v>46</v>
      </c>
      <c r="G921" t="s">
        <v>19</v>
      </c>
      <c r="H921">
        <v>61124</v>
      </c>
      <c r="I921">
        <v>53600</v>
      </c>
    </row>
    <row r="922" spans="1:9" x14ac:dyDescent="0.3">
      <c r="A922" t="s">
        <v>954</v>
      </c>
      <c r="B922">
        <v>45786</v>
      </c>
      <c r="C922" t="s">
        <v>21</v>
      </c>
      <c r="D922" t="s">
        <v>11</v>
      </c>
      <c r="E922" t="s">
        <v>22</v>
      </c>
      <c r="F922" t="s">
        <v>26</v>
      </c>
      <c r="G922" t="s">
        <v>14</v>
      </c>
      <c r="H922">
        <v>224136</v>
      </c>
      <c r="I922">
        <v>221800</v>
      </c>
    </row>
    <row r="923" spans="1:9" x14ac:dyDescent="0.3">
      <c r="A923" t="s">
        <v>955</v>
      </c>
      <c r="B923">
        <v>45786</v>
      </c>
      <c r="C923" t="s">
        <v>21</v>
      </c>
      <c r="D923" t="s">
        <v>11</v>
      </c>
      <c r="E923" t="s">
        <v>22</v>
      </c>
      <c r="F923" t="s">
        <v>37</v>
      </c>
      <c r="G923" t="s">
        <v>14</v>
      </c>
      <c r="H923">
        <v>226727</v>
      </c>
      <c r="I923">
        <v>212700</v>
      </c>
    </row>
    <row r="924" spans="1:9" x14ac:dyDescent="0.3">
      <c r="A924" t="s">
        <v>956</v>
      </c>
      <c r="B924">
        <v>45786</v>
      </c>
      <c r="C924" t="s">
        <v>25</v>
      </c>
      <c r="D924" t="s">
        <v>11</v>
      </c>
      <c r="E924" t="s">
        <v>22</v>
      </c>
      <c r="F924" t="s">
        <v>26</v>
      </c>
      <c r="G924" t="s">
        <v>14</v>
      </c>
      <c r="H924">
        <v>123572</v>
      </c>
      <c r="I924">
        <v>107900</v>
      </c>
    </row>
    <row r="925" spans="1:9" x14ac:dyDescent="0.3">
      <c r="A925" t="s">
        <v>957</v>
      </c>
      <c r="B925">
        <v>45786</v>
      </c>
      <c r="C925" t="s">
        <v>31</v>
      </c>
      <c r="D925" t="s">
        <v>11</v>
      </c>
      <c r="E925" t="s">
        <v>17</v>
      </c>
      <c r="F925" t="s">
        <v>42</v>
      </c>
      <c r="G925" t="s">
        <v>19</v>
      </c>
      <c r="H925">
        <v>85973</v>
      </c>
      <c r="I925">
        <v>82200</v>
      </c>
    </row>
    <row r="926" spans="1:9" x14ac:dyDescent="0.3">
      <c r="A926" t="s">
        <v>958</v>
      </c>
      <c r="B926">
        <v>45786</v>
      </c>
      <c r="C926" t="s">
        <v>55</v>
      </c>
      <c r="D926" t="s">
        <v>11</v>
      </c>
      <c r="E926" t="s">
        <v>37</v>
      </c>
      <c r="F926" t="s">
        <v>18</v>
      </c>
      <c r="G926" t="s">
        <v>19</v>
      </c>
      <c r="H926">
        <v>53436</v>
      </c>
      <c r="I926">
        <v>55800</v>
      </c>
    </row>
    <row r="927" spans="1:9" x14ac:dyDescent="0.3">
      <c r="A927" t="s">
        <v>959</v>
      </c>
      <c r="B927">
        <v>45786</v>
      </c>
      <c r="C927" t="s">
        <v>55</v>
      </c>
      <c r="D927" t="s">
        <v>11</v>
      </c>
      <c r="E927" t="s">
        <v>37</v>
      </c>
      <c r="F927" t="s">
        <v>59</v>
      </c>
      <c r="G927" t="s">
        <v>14</v>
      </c>
      <c r="H927">
        <v>117221</v>
      </c>
      <c r="I927">
        <v>129600</v>
      </c>
    </row>
    <row r="928" spans="1:9" x14ac:dyDescent="0.3">
      <c r="A928" t="s">
        <v>960</v>
      </c>
      <c r="B928">
        <v>45786</v>
      </c>
      <c r="C928" t="s">
        <v>55</v>
      </c>
      <c r="D928" t="s">
        <v>11</v>
      </c>
      <c r="E928" t="s">
        <v>37</v>
      </c>
      <c r="F928" t="s">
        <v>12</v>
      </c>
      <c r="G928" t="s">
        <v>14</v>
      </c>
      <c r="H928">
        <v>192144</v>
      </c>
      <c r="I928">
        <v>169000</v>
      </c>
    </row>
    <row r="929" spans="1:9" x14ac:dyDescent="0.3">
      <c r="A929" t="s">
        <v>961</v>
      </c>
      <c r="B929">
        <v>45787</v>
      </c>
      <c r="C929" t="s">
        <v>62</v>
      </c>
      <c r="D929" t="s">
        <v>11</v>
      </c>
      <c r="E929" t="s">
        <v>22</v>
      </c>
      <c r="F929" t="s">
        <v>39</v>
      </c>
      <c r="G929" t="s">
        <v>19</v>
      </c>
      <c r="H929">
        <v>84190</v>
      </c>
      <c r="I929">
        <v>87400</v>
      </c>
    </row>
    <row r="930" spans="1:9" x14ac:dyDescent="0.3">
      <c r="A930" t="s">
        <v>962</v>
      </c>
      <c r="B930">
        <v>45787</v>
      </c>
      <c r="C930" t="s">
        <v>16</v>
      </c>
      <c r="D930" t="s">
        <v>11</v>
      </c>
      <c r="E930" t="s">
        <v>17</v>
      </c>
      <c r="F930" t="s">
        <v>18</v>
      </c>
      <c r="G930" t="s">
        <v>19</v>
      </c>
      <c r="H930">
        <v>18132</v>
      </c>
      <c r="I930">
        <v>16300</v>
      </c>
    </row>
    <row r="931" spans="1:9" x14ac:dyDescent="0.3">
      <c r="A931" t="s">
        <v>963</v>
      </c>
      <c r="B931">
        <v>45787</v>
      </c>
      <c r="C931" t="s">
        <v>25</v>
      </c>
      <c r="D931" t="s">
        <v>11</v>
      </c>
      <c r="E931" t="s">
        <v>22</v>
      </c>
      <c r="F931" t="s">
        <v>42</v>
      </c>
      <c r="G931" t="s">
        <v>19</v>
      </c>
      <c r="H931">
        <v>74007</v>
      </c>
      <c r="I931">
        <v>73900</v>
      </c>
    </row>
    <row r="932" spans="1:9" x14ac:dyDescent="0.3">
      <c r="A932" t="s">
        <v>964</v>
      </c>
      <c r="B932">
        <v>45787</v>
      </c>
      <c r="C932" t="s">
        <v>31</v>
      </c>
      <c r="D932" t="s">
        <v>11</v>
      </c>
      <c r="E932" t="s">
        <v>17</v>
      </c>
      <c r="F932" t="s">
        <v>46</v>
      </c>
      <c r="G932" t="s">
        <v>19</v>
      </c>
      <c r="H932">
        <v>73638</v>
      </c>
      <c r="I932">
        <v>70500</v>
      </c>
    </row>
    <row r="933" spans="1:9" x14ac:dyDescent="0.3">
      <c r="A933" t="s">
        <v>965</v>
      </c>
      <c r="B933">
        <v>45787</v>
      </c>
      <c r="C933" t="s">
        <v>55</v>
      </c>
      <c r="D933" t="s">
        <v>11</v>
      </c>
      <c r="E933" t="s">
        <v>37</v>
      </c>
      <c r="F933" t="s">
        <v>59</v>
      </c>
      <c r="G933" t="s">
        <v>14</v>
      </c>
      <c r="H933">
        <v>121211</v>
      </c>
      <c r="I933">
        <v>106300</v>
      </c>
    </row>
    <row r="934" spans="1:9" x14ac:dyDescent="0.3">
      <c r="A934" t="s">
        <v>966</v>
      </c>
      <c r="B934">
        <v>45787</v>
      </c>
      <c r="C934" t="s">
        <v>55</v>
      </c>
      <c r="D934" t="s">
        <v>11</v>
      </c>
      <c r="E934" t="s">
        <v>37</v>
      </c>
      <c r="F934" t="s">
        <v>12</v>
      </c>
      <c r="G934" t="s">
        <v>14</v>
      </c>
      <c r="H934">
        <v>216686</v>
      </c>
      <c r="I934">
        <v>203600</v>
      </c>
    </row>
    <row r="935" spans="1:9" x14ac:dyDescent="0.3">
      <c r="A935" t="s">
        <v>967</v>
      </c>
      <c r="B935">
        <v>45788</v>
      </c>
      <c r="C935" t="s">
        <v>62</v>
      </c>
      <c r="D935" t="s">
        <v>11</v>
      </c>
      <c r="E935" t="s">
        <v>22</v>
      </c>
      <c r="F935" t="s">
        <v>23</v>
      </c>
      <c r="G935" t="s">
        <v>14</v>
      </c>
      <c r="H935">
        <v>204127</v>
      </c>
      <c r="I935">
        <v>211100</v>
      </c>
    </row>
    <row r="936" spans="1:9" x14ac:dyDescent="0.3">
      <c r="A936" t="s">
        <v>968</v>
      </c>
      <c r="B936">
        <v>45788</v>
      </c>
      <c r="C936" t="s">
        <v>31</v>
      </c>
      <c r="D936" t="s">
        <v>11</v>
      </c>
      <c r="E936" t="s">
        <v>17</v>
      </c>
      <c r="F936" t="s">
        <v>12</v>
      </c>
      <c r="G936" t="s">
        <v>14</v>
      </c>
      <c r="H936">
        <v>81467</v>
      </c>
      <c r="I936">
        <v>85500</v>
      </c>
    </row>
    <row r="937" spans="1:9" x14ac:dyDescent="0.3">
      <c r="A937" t="s">
        <v>969</v>
      </c>
      <c r="B937">
        <v>45789</v>
      </c>
      <c r="C937" t="s">
        <v>62</v>
      </c>
      <c r="D937" t="s">
        <v>11</v>
      </c>
      <c r="E937" t="s">
        <v>22</v>
      </c>
      <c r="F937" t="s">
        <v>23</v>
      </c>
      <c r="G937" t="s">
        <v>14</v>
      </c>
      <c r="H937">
        <v>40072</v>
      </c>
      <c r="I937">
        <v>39200</v>
      </c>
    </row>
    <row r="938" spans="1:9" x14ac:dyDescent="0.3">
      <c r="A938" t="s">
        <v>970</v>
      </c>
      <c r="B938">
        <v>45789</v>
      </c>
      <c r="C938" t="s">
        <v>10</v>
      </c>
      <c r="D938" t="s">
        <v>11</v>
      </c>
      <c r="E938" t="s">
        <v>12</v>
      </c>
      <c r="F938" t="s">
        <v>13</v>
      </c>
      <c r="G938" t="s">
        <v>14</v>
      </c>
      <c r="H938">
        <v>35727</v>
      </c>
      <c r="I938">
        <v>29900</v>
      </c>
    </row>
    <row r="939" spans="1:9" x14ac:dyDescent="0.3">
      <c r="A939" t="s">
        <v>971</v>
      </c>
      <c r="B939">
        <v>45789</v>
      </c>
      <c r="C939" t="s">
        <v>10</v>
      </c>
      <c r="D939" t="s">
        <v>11</v>
      </c>
      <c r="E939" t="s">
        <v>12</v>
      </c>
      <c r="F939" t="s">
        <v>23</v>
      </c>
      <c r="G939" t="s">
        <v>14</v>
      </c>
      <c r="H939">
        <v>192431</v>
      </c>
      <c r="I939">
        <v>202300</v>
      </c>
    </row>
    <row r="940" spans="1:9" x14ac:dyDescent="0.3">
      <c r="A940" t="s">
        <v>972</v>
      </c>
      <c r="B940">
        <v>45789</v>
      </c>
      <c r="C940" t="s">
        <v>55</v>
      </c>
      <c r="D940" t="s">
        <v>11</v>
      </c>
      <c r="E940" t="s">
        <v>37</v>
      </c>
      <c r="F940" t="s">
        <v>18</v>
      </c>
      <c r="G940" t="s">
        <v>19</v>
      </c>
      <c r="H940">
        <v>96972</v>
      </c>
      <c r="I940">
        <v>107200</v>
      </c>
    </row>
    <row r="941" spans="1:9" x14ac:dyDescent="0.3">
      <c r="A941" t="s">
        <v>973</v>
      </c>
      <c r="B941">
        <v>45790</v>
      </c>
      <c r="C941" t="s">
        <v>62</v>
      </c>
      <c r="D941" t="s">
        <v>11</v>
      </c>
      <c r="E941" t="s">
        <v>22</v>
      </c>
      <c r="F941" t="s">
        <v>13</v>
      </c>
      <c r="G941" t="s">
        <v>14</v>
      </c>
      <c r="H941">
        <v>82319</v>
      </c>
      <c r="I941">
        <v>89700</v>
      </c>
    </row>
    <row r="942" spans="1:9" x14ac:dyDescent="0.3">
      <c r="A942" t="s">
        <v>974</v>
      </c>
      <c r="B942">
        <v>45790</v>
      </c>
      <c r="C942" t="s">
        <v>55</v>
      </c>
      <c r="D942" t="s">
        <v>11</v>
      </c>
      <c r="E942" t="s">
        <v>37</v>
      </c>
      <c r="F942" t="s">
        <v>37</v>
      </c>
      <c r="G942" t="s">
        <v>14</v>
      </c>
      <c r="H942">
        <v>117870</v>
      </c>
      <c r="I942">
        <v>117900</v>
      </c>
    </row>
    <row r="943" spans="1:9" x14ac:dyDescent="0.3">
      <c r="A943" t="s">
        <v>975</v>
      </c>
      <c r="B943">
        <v>45791</v>
      </c>
      <c r="C943" t="s">
        <v>21</v>
      </c>
      <c r="D943" t="s">
        <v>11</v>
      </c>
      <c r="E943" t="s">
        <v>22</v>
      </c>
      <c r="F943" t="s">
        <v>39</v>
      </c>
      <c r="G943" t="s">
        <v>19</v>
      </c>
      <c r="H943">
        <v>12513</v>
      </c>
      <c r="I943">
        <v>13500</v>
      </c>
    </row>
    <row r="944" spans="1:9" x14ac:dyDescent="0.3">
      <c r="A944" t="s">
        <v>976</v>
      </c>
      <c r="B944">
        <v>45791</v>
      </c>
      <c r="C944" t="s">
        <v>25</v>
      </c>
      <c r="D944" t="s">
        <v>11</v>
      </c>
      <c r="E944" t="s">
        <v>22</v>
      </c>
      <c r="F944" t="s">
        <v>56</v>
      </c>
      <c r="G944" t="s">
        <v>19</v>
      </c>
      <c r="H944">
        <v>34972</v>
      </c>
      <c r="I944">
        <v>36100</v>
      </c>
    </row>
    <row r="945" spans="1:9" x14ac:dyDescent="0.3">
      <c r="A945" t="s">
        <v>977</v>
      </c>
      <c r="B945">
        <v>45791</v>
      </c>
      <c r="C945" t="s">
        <v>25</v>
      </c>
      <c r="D945" t="s">
        <v>11</v>
      </c>
      <c r="E945" t="s">
        <v>22</v>
      </c>
      <c r="F945" t="s">
        <v>46</v>
      </c>
      <c r="G945" t="s">
        <v>19</v>
      </c>
      <c r="H945">
        <v>73681</v>
      </c>
      <c r="I945">
        <v>64800</v>
      </c>
    </row>
    <row r="946" spans="1:9" x14ac:dyDescent="0.3">
      <c r="A946" t="s">
        <v>978</v>
      </c>
      <c r="B946">
        <v>45791</v>
      </c>
      <c r="C946" t="s">
        <v>25</v>
      </c>
      <c r="D946" t="s">
        <v>11</v>
      </c>
      <c r="E946" t="s">
        <v>22</v>
      </c>
      <c r="F946" t="s">
        <v>37</v>
      </c>
      <c r="G946" t="s">
        <v>14</v>
      </c>
      <c r="H946">
        <v>93647</v>
      </c>
      <c r="I946">
        <v>100900</v>
      </c>
    </row>
    <row r="947" spans="1:9" x14ac:dyDescent="0.3">
      <c r="A947" t="s">
        <v>979</v>
      </c>
      <c r="B947">
        <v>45791</v>
      </c>
      <c r="C947" t="s">
        <v>31</v>
      </c>
      <c r="D947" t="s">
        <v>11</v>
      </c>
      <c r="E947" t="s">
        <v>17</v>
      </c>
      <c r="F947" t="s">
        <v>59</v>
      </c>
      <c r="G947" t="s">
        <v>14</v>
      </c>
      <c r="H947">
        <v>153625</v>
      </c>
      <c r="I947">
        <v>146000</v>
      </c>
    </row>
    <row r="948" spans="1:9" x14ac:dyDescent="0.3">
      <c r="A948" t="s">
        <v>980</v>
      </c>
      <c r="B948">
        <v>45792</v>
      </c>
      <c r="C948" t="s">
        <v>10</v>
      </c>
      <c r="D948" t="s">
        <v>11</v>
      </c>
      <c r="E948" t="s">
        <v>12</v>
      </c>
      <c r="F948" t="s">
        <v>18</v>
      </c>
      <c r="G948" t="s">
        <v>19</v>
      </c>
      <c r="H948">
        <v>44325</v>
      </c>
      <c r="I948">
        <v>48400</v>
      </c>
    </row>
    <row r="949" spans="1:9" x14ac:dyDescent="0.3">
      <c r="A949" t="s">
        <v>981</v>
      </c>
      <c r="B949">
        <v>45792</v>
      </c>
      <c r="C949" t="s">
        <v>10</v>
      </c>
      <c r="D949" t="s">
        <v>11</v>
      </c>
      <c r="E949" t="s">
        <v>12</v>
      </c>
      <c r="F949" t="s">
        <v>39</v>
      </c>
      <c r="G949" t="s">
        <v>19</v>
      </c>
      <c r="H949">
        <v>108904</v>
      </c>
      <c r="I949">
        <v>125800</v>
      </c>
    </row>
    <row r="950" spans="1:9" x14ac:dyDescent="0.3">
      <c r="A950" t="s">
        <v>982</v>
      </c>
      <c r="B950">
        <v>45792</v>
      </c>
      <c r="C950" t="s">
        <v>55</v>
      </c>
      <c r="D950" t="s">
        <v>11</v>
      </c>
      <c r="E950" t="s">
        <v>37</v>
      </c>
      <c r="F950" t="s">
        <v>56</v>
      </c>
      <c r="G950" t="s">
        <v>19</v>
      </c>
      <c r="H950">
        <v>61907</v>
      </c>
      <c r="I950">
        <v>49400</v>
      </c>
    </row>
    <row r="951" spans="1:9" x14ac:dyDescent="0.3">
      <c r="A951" t="s">
        <v>983</v>
      </c>
      <c r="B951">
        <v>45793</v>
      </c>
      <c r="C951" t="s">
        <v>62</v>
      </c>
      <c r="D951" t="s">
        <v>11</v>
      </c>
      <c r="E951" t="s">
        <v>22</v>
      </c>
      <c r="F951" t="s">
        <v>18</v>
      </c>
      <c r="G951" t="s">
        <v>19</v>
      </c>
      <c r="H951">
        <v>92067</v>
      </c>
      <c r="I951">
        <v>91800</v>
      </c>
    </row>
    <row r="952" spans="1:9" x14ac:dyDescent="0.3">
      <c r="A952" t="s">
        <v>984</v>
      </c>
      <c r="B952">
        <v>45793</v>
      </c>
      <c r="C952" t="s">
        <v>62</v>
      </c>
      <c r="D952" t="s">
        <v>11</v>
      </c>
      <c r="E952" t="s">
        <v>22</v>
      </c>
      <c r="F952" t="s">
        <v>12</v>
      </c>
      <c r="G952" t="s">
        <v>14</v>
      </c>
      <c r="H952">
        <v>27893</v>
      </c>
      <c r="I952">
        <v>27500</v>
      </c>
    </row>
    <row r="953" spans="1:9" x14ac:dyDescent="0.3">
      <c r="A953" t="s">
        <v>985</v>
      </c>
      <c r="B953">
        <v>45793</v>
      </c>
      <c r="C953" t="s">
        <v>62</v>
      </c>
      <c r="D953" t="s">
        <v>11</v>
      </c>
      <c r="E953" t="s">
        <v>22</v>
      </c>
      <c r="F953" t="s">
        <v>26</v>
      </c>
      <c r="G953" t="s">
        <v>14</v>
      </c>
      <c r="H953">
        <v>25674</v>
      </c>
      <c r="I953">
        <v>26800</v>
      </c>
    </row>
    <row r="954" spans="1:9" x14ac:dyDescent="0.3">
      <c r="A954" t="s">
        <v>986</v>
      </c>
      <c r="B954">
        <v>45793</v>
      </c>
      <c r="C954" t="s">
        <v>62</v>
      </c>
      <c r="D954" t="s">
        <v>11</v>
      </c>
      <c r="E954" t="s">
        <v>22</v>
      </c>
      <c r="F954" t="s">
        <v>37</v>
      </c>
      <c r="G954" t="s">
        <v>14</v>
      </c>
      <c r="H954">
        <v>198499</v>
      </c>
      <c r="I954">
        <v>182600</v>
      </c>
    </row>
    <row r="955" spans="1:9" x14ac:dyDescent="0.3">
      <c r="A955" t="s">
        <v>987</v>
      </c>
      <c r="B955">
        <v>45793</v>
      </c>
      <c r="C955" t="s">
        <v>36</v>
      </c>
      <c r="D955" t="s">
        <v>11</v>
      </c>
      <c r="E955" t="s">
        <v>37</v>
      </c>
      <c r="F955" t="s">
        <v>39</v>
      </c>
      <c r="G955" t="s">
        <v>19</v>
      </c>
      <c r="H955">
        <v>105206</v>
      </c>
      <c r="I955">
        <v>95700</v>
      </c>
    </row>
    <row r="956" spans="1:9" x14ac:dyDescent="0.3">
      <c r="A956" t="s">
        <v>988</v>
      </c>
      <c r="B956">
        <v>45793</v>
      </c>
      <c r="C956" t="s">
        <v>21</v>
      </c>
      <c r="D956" t="s">
        <v>11</v>
      </c>
      <c r="E956" t="s">
        <v>22</v>
      </c>
      <c r="F956" t="s">
        <v>37</v>
      </c>
      <c r="G956" t="s">
        <v>14</v>
      </c>
      <c r="H956">
        <v>142199</v>
      </c>
      <c r="I956">
        <v>135100</v>
      </c>
    </row>
    <row r="957" spans="1:9" x14ac:dyDescent="0.3">
      <c r="A957" t="s">
        <v>989</v>
      </c>
      <c r="B957">
        <v>45793</v>
      </c>
      <c r="C957" t="s">
        <v>31</v>
      </c>
      <c r="D957" t="s">
        <v>11</v>
      </c>
      <c r="E957" t="s">
        <v>17</v>
      </c>
      <c r="F957" t="s">
        <v>46</v>
      </c>
      <c r="G957" t="s">
        <v>19</v>
      </c>
      <c r="H957">
        <v>45608</v>
      </c>
      <c r="I957">
        <v>43200</v>
      </c>
    </row>
    <row r="958" spans="1:9" x14ac:dyDescent="0.3">
      <c r="A958" t="s">
        <v>990</v>
      </c>
      <c r="B958">
        <v>45793</v>
      </c>
      <c r="C958" t="s">
        <v>31</v>
      </c>
      <c r="D958" t="s">
        <v>11</v>
      </c>
      <c r="E958" t="s">
        <v>17</v>
      </c>
      <c r="F958" t="s">
        <v>12</v>
      </c>
      <c r="G958" t="s">
        <v>14</v>
      </c>
      <c r="H958">
        <v>57376</v>
      </c>
      <c r="I958">
        <v>65500</v>
      </c>
    </row>
    <row r="959" spans="1:9" x14ac:dyDescent="0.3">
      <c r="A959" t="s">
        <v>991</v>
      </c>
      <c r="B959">
        <v>45794</v>
      </c>
      <c r="C959" t="s">
        <v>16</v>
      </c>
      <c r="D959" t="s">
        <v>11</v>
      </c>
      <c r="E959" t="s">
        <v>17</v>
      </c>
      <c r="F959" t="s">
        <v>42</v>
      </c>
      <c r="G959" t="s">
        <v>19</v>
      </c>
      <c r="H959">
        <v>44977</v>
      </c>
      <c r="I959">
        <v>45900</v>
      </c>
    </row>
    <row r="960" spans="1:9" x14ac:dyDescent="0.3">
      <c r="A960" t="s">
        <v>992</v>
      </c>
      <c r="B960">
        <v>45794</v>
      </c>
      <c r="C960" t="s">
        <v>36</v>
      </c>
      <c r="D960" t="s">
        <v>11</v>
      </c>
      <c r="E960" t="s">
        <v>37</v>
      </c>
      <c r="F960" t="s">
        <v>12</v>
      </c>
      <c r="G960" t="s">
        <v>14</v>
      </c>
      <c r="H960">
        <v>59826</v>
      </c>
      <c r="I960">
        <v>53600</v>
      </c>
    </row>
    <row r="961" spans="1:9" x14ac:dyDescent="0.3">
      <c r="A961" t="s">
        <v>993</v>
      </c>
      <c r="B961">
        <v>45794</v>
      </c>
      <c r="C961" t="s">
        <v>36</v>
      </c>
      <c r="D961" t="s">
        <v>11</v>
      </c>
      <c r="E961" t="s">
        <v>37</v>
      </c>
      <c r="F961" t="s">
        <v>26</v>
      </c>
      <c r="G961" t="s">
        <v>14</v>
      </c>
      <c r="H961">
        <v>32994</v>
      </c>
      <c r="I961">
        <v>31200</v>
      </c>
    </row>
    <row r="962" spans="1:9" x14ac:dyDescent="0.3">
      <c r="A962" t="s">
        <v>994</v>
      </c>
      <c r="B962">
        <v>45794</v>
      </c>
      <c r="C962" t="s">
        <v>25</v>
      </c>
      <c r="D962" t="s">
        <v>11</v>
      </c>
      <c r="E962" t="s">
        <v>22</v>
      </c>
      <c r="F962" t="s">
        <v>56</v>
      </c>
      <c r="G962" t="s">
        <v>19</v>
      </c>
      <c r="H962">
        <v>113452</v>
      </c>
      <c r="I962">
        <v>143100</v>
      </c>
    </row>
    <row r="963" spans="1:9" x14ac:dyDescent="0.3">
      <c r="A963" t="s">
        <v>995</v>
      </c>
      <c r="B963">
        <v>45794</v>
      </c>
      <c r="C963" t="s">
        <v>55</v>
      </c>
      <c r="D963" t="s">
        <v>11</v>
      </c>
      <c r="E963" t="s">
        <v>37</v>
      </c>
      <c r="F963" t="s">
        <v>12</v>
      </c>
      <c r="G963" t="s">
        <v>14</v>
      </c>
      <c r="H963">
        <v>100188</v>
      </c>
      <c r="I963">
        <v>85400</v>
      </c>
    </row>
    <row r="964" spans="1:9" x14ac:dyDescent="0.3">
      <c r="A964" t="s">
        <v>996</v>
      </c>
      <c r="B964">
        <v>45795</v>
      </c>
      <c r="C964" t="s">
        <v>62</v>
      </c>
      <c r="D964" t="s">
        <v>11</v>
      </c>
      <c r="E964" t="s">
        <v>22</v>
      </c>
      <c r="F964" t="s">
        <v>56</v>
      </c>
      <c r="G964" t="s">
        <v>19</v>
      </c>
      <c r="H964">
        <v>46934</v>
      </c>
      <c r="I964">
        <v>47300</v>
      </c>
    </row>
    <row r="965" spans="1:9" x14ac:dyDescent="0.3">
      <c r="A965" t="s">
        <v>997</v>
      </c>
      <c r="B965">
        <v>45795</v>
      </c>
      <c r="C965" t="s">
        <v>62</v>
      </c>
      <c r="D965" t="s">
        <v>11</v>
      </c>
      <c r="E965" t="s">
        <v>22</v>
      </c>
      <c r="F965" t="s">
        <v>37</v>
      </c>
      <c r="G965" t="s">
        <v>14</v>
      </c>
      <c r="H965">
        <v>183217</v>
      </c>
      <c r="I965">
        <v>196000</v>
      </c>
    </row>
    <row r="966" spans="1:9" x14ac:dyDescent="0.3">
      <c r="A966" t="s">
        <v>998</v>
      </c>
      <c r="B966">
        <v>45795</v>
      </c>
      <c r="C966" t="s">
        <v>16</v>
      </c>
      <c r="D966" t="s">
        <v>11</v>
      </c>
      <c r="E966" t="s">
        <v>17</v>
      </c>
      <c r="F966" t="s">
        <v>42</v>
      </c>
      <c r="G966" t="s">
        <v>19</v>
      </c>
      <c r="H966">
        <v>75908</v>
      </c>
      <c r="I966">
        <v>76600</v>
      </c>
    </row>
    <row r="967" spans="1:9" x14ac:dyDescent="0.3">
      <c r="A967" t="s">
        <v>999</v>
      </c>
      <c r="B967">
        <v>45795</v>
      </c>
      <c r="C967" t="s">
        <v>16</v>
      </c>
      <c r="D967" t="s">
        <v>11</v>
      </c>
      <c r="E967" t="s">
        <v>17</v>
      </c>
      <c r="F967" t="s">
        <v>59</v>
      </c>
      <c r="G967" t="s">
        <v>14</v>
      </c>
      <c r="H967">
        <v>210095</v>
      </c>
      <c r="I967">
        <v>210400</v>
      </c>
    </row>
    <row r="968" spans="1:9" x14ac:dyDescent="0.3">
      <c r="A968" t="s">
        <v>1000</v>
      </c>
      <c r="B968">
        <v>45795</v>
      </c>
      <c r="C968" t="s">
        <v>16</v>
      </c>
      <c r="D968" t="s">
        <v>11</v>
      </c>
      <c r="E968" t="s">
        <v>17</v>
      </c>
      <c r="F968" t="s">
        <v>23</v>
      </c>
      <c r="G968" t="s">
        <v>14</v>
      </c>
      <c r="H968">
        <v>180440</v>
      </c>
      <c r="I968">
        <v>198500</v>
      </c>
    </row>
    <row r="969" spans="1:9" x14ac:dyDescent="0.3">
      <c r="A969" t="s">
        <v>1001</v>
      </c>
      <c r="B969">
        <v>45795</v>
      </c>
      <c r="C969" t="s">
        <v>16</v>
      </c>
      <c r="D969" t="s">
        <v>11</v>
      </c>
      <c r="E969" t="s">
        <v>17</v>
      </c>
      <c r="F969" t="s">
        <v>37</v>
      </c>
      <c r="G969" t="s">
        <v>14</v>
      </c>
      <c r="H969">
        <v>229153</v>
      </c>
      <c r="I969">
        <v>237700</v>
      </c>
    </row>
    <row r="970" spans="1:9" x14ac:dyDescent="0.3">
      <c r="A970" t="s">
        <v>1002</v>
      </c>
      <c r="B970">
        <v>45795</v>
      </c>
      <c r="C970" t="s">
        <v>21</v>
      </c>
      <c r="D970" t="s">
        <v>11</v>
      </c>
      <c r="E970" t="s">
        <v>22</v>
      </c>
      <c r="F970" t="s">
        <v>18</v>
      </c>
      <c r="G970" t="s">
        <v>19</v>
      </c>
      <c r="H970">
        <v>24309</v>
      </c>
      <c r="I970">
        <v>29300</v>
      </c>
    </row>
    <row r="971" spans="1:9" x14ac:dyDescent="0.3">
      <c r="A971" t="s">
        <v>1003</v>
      </c>
      <c r="B971">
        <v>45795</v>
      </c>
      <c r="C971" t="s">
        <v>25</v>
      </c>
      <c r="D971" t="s">
        <v>11</v>
      </c>
      <c r="E971" t="s">
        <v>22</v>
      </c>
      <c r="F971" t="s">
        <v>46</v>
      </c>
      <c r="G971" t="s">
        <v>19</v>
      </c>
      <c r="H971">
        <v>66985</v>
      </c>
      <c r="I971">
        <v>68800</v>
      </c>
    </row>
    <row r="972" spans="1:9" x14ac:dyDescent="0.3">
      <c r="A972" t="s">
        <v>1004</v>
      </c>
      <c r="B972">
        <v>45795</v>
      </c>
      <c r="C972" t="s">
        <v>31</v>
      </c>
      <c r="D972" t="s">
        <v>11</v>
      </c>
      <c r="E972" t="s">
        <v>17</v>
      </c>
      <c r="F972" t="s">
        <v>33</v>
      </c>
      <c r="G972" t="s">
        <v>19</v>
      </c>
      <c r="H972">
        <v>64636</v>
      </c>
      <c r="I972">
        <v>63000</v>
      </c>
    </row>
    <row r="973" spans="1:9" x14ac:dyDescent="0.3">
      <c r="A973" t="s">
        <v>1005</v>
      </c>
      <c r="B973">
        <v>45796</v>
      </c>
      <c r="C973" t="s">
        <v>10</v>
      </c>
      <c r="D973" t="s">
        <v>11</v>
      </c>
      <c r="E973" t="s">
        <v>12</v>
      </c>
      <c r="F973" t="s">
        <v>23</v>
      </c>
      <c r="G973" t="s">
        <v>14</v>
      </c>
      <c r="H973">
        <v>148075</v>
      </c>
      <c r="I973">
        <v>141600</v>
      </c>
    </row>
    <row r="974" spans="1:9" x14ac:dyDescent="0.3">
      <c r="A974" t="s">
        <v>1006</v>
      </c>
      <c r="B974">
        <v>45796</v>
      </c>
      <c r="C974" t="s">
        <v>36</v>
      </c>
      <c r="D974" t="s">
        <v>11</v>
      </c>
      <c r="E974" t="s">
        <v>37</v>
      </c>
      <c r="F974" t="s">
        <v>26</v>
      </c>
      <c r="G974" t="s">
        <v>14</v>
      </c>
      <c r="H974">
        <v>115158</v>
      </c>
      <c r="I974">
        <v>102600</v>
      </c>
    </row>
    <row r="975" spans="1:9" x14ac:dyDescent="0.3">
      <c r="A975" t="s">
        <v>1007</v>
      </c>
      <c r="B975">
        <v>45796</v>
      </c>
      <c r="C975" t="s">
        <v>21</v>
      </c>
      <c r="D975" t="s">
        <v>11</v>
      </c>
      <c r="E975" t="s">
        <v>22</v>
      </c>
      <c r="F975" t="s">
        <v>37</v>
      </c>
      <c r="G975" t="s">
        <v>14</v>
      </c>
      <c r="H975">
        <v>159316</v>
      </c>
      <c r="I975">
        <v>181600</v>
      </c>
    </row>
    <row r="976" spans="1:9" x14ac:dyDescent="0.3">
      <c r="A976" t="s">
        <v>1008</v>
      </c>
      <c r="B976">
        <v>45796</v>
      </c>
      <c r="C976" t="s">
        <v>25</v>
      </c>
      <c r="D976" t="s">
        <v>11</v>
      </c>
      <c r="E976" t="s">
        <v>22</v>
      </c>
      <c r="F976" t="s">
        <v>33</v>
      </c>
      <c r="G976" t="s">
        <v>19</v>
      </c>
      <c r="H976">
        <v>30396</v>
      </c>
      <c r="I976">
        <v>33000</v>
      </c>
    </row>
    <row r="977" spans="1:9" x14ac:dyDescent="0.3">
      <c r="A977" t="s">
        <v>1009</v>
      </c>
      <c r="B977">
        <v>45796</v>
      </c>
      <c r="C977" t="s">
        <v>55</v>
      </c>
      <c r="D977" t="s">
        <v>11</v>
      </c>
      <c r="E977" t="s">
        <v>37</v>
      </c>
      <c r="F977" t="s">
        <v>56</v>
      </c>
      <c r="G977" t="s">
        <v>19</v>
      </c>
      <c r="H977">
        <v>115116</v>
      </c>
      <c r="I977">
        <v>116600</v>
      </c>
    </row>
    <row r="978" spans="1:9" x14ac:dyDescent="0.3">
      <c r="A978" t="s">
        <v>1010</v>
      </c>
      <c r="B978">
        <v>45796</v>
      </c>
      <c r="C978" t="s">
        <v>55</v>
      </c>
      <c r="D978" t="s">
        <v>11</v>
      </c>
      <c r="E978" t="s">
        <v>37</v>
      </c>
      <c r="F978" t="s">
        <v>56</v>
      </c>
      <c r="G978" t="s">
        <v>19</v>
      </c>
      <c r="H978">
        <v>114772</v>
      </c>
      <c r="I978">
        <v>126100</v>
      </c>
    </row>
    <row r="979" spans="1:9" x14ac:dyDescent="0.3">
      <c r="A979" t="s">
        <v>1011</v>
      </c>
      <c r="B979">
        <v>45797</v>
      </c>
      <c r="C979" t="s">
        <v>62</v>
      </c>
      <c r="D979" t="s">
        <v>11</v>
      </c>
      <c r="E979" t="s">
        <v>22</v>
      </c>
      <c r="F979" t="s">
        <v>18</v>
      </c>
      <c r="G979" t="s">
        <v>19</v>
      </c>
      <c r="H979">
        <v>101123</v>
      </c>
      <c r="I979">
        <v>92100</v>
      </c>
    </row>
    <row r="980" spans="1:9" x14ac:dyDescent="0.3">
      <c r="A980" t="s">
        <v>1012</v>
      </c>
      <c r="B980">
        <v>45797</v>
      </c>
      <c r="C980" t="s">
        <v>10</v>
      </c>
      <c r="D980" t="s">
        <v>11</v>
      </c>
      <c r="E980" t="s">
        <v>12</v>
      </c>
      <c r="F980" t="s">
        <v>46</v>
      </c>
      <c r="G980" t="s">
        <v>19</v>
      </c>
      <c r="H980">
        <v>56864</v>
      </c>
      <c r="I980">
        <v>59400</v>
      </c>
    </row>
    <row r="981" spans="1:9" x14ac:dyDescent="0.3">
      <c r="A981" t="s">
        <v>1013</v>
      </c>
      <c r="B981">
        <v>45797</v>
      </c>
      <c r="C981" t="s">
        <v>16</v>
      </c>
      <c r="D981" t="s">
        <v>11</v>
      </c>
      <c r="E981" t="s">
        <v>17</v>
      </c>
      <c r="F981" t="s">
        <v>37</v>
      </c>
      <c r="G981" t="s">
        <v>14</v>
      </c>
      <c r="H981">
        <v>56783</v>
      </c>
      <c r="I981">
        <v>53700</v>
      </c>
    </row>
    <row r="982" spans="1:9" x14ac:dyDescent="0.3">
      <c r="A982" t="s">
        <v>1014</v>
      </c>
      <c r="B982">
        <v>45797</v>
      </c>
      <c r="C982" t="s">
        <v>16</v>
      </c>
      <c r="D982" t="s">
        <v>11</v>
      </c>
      <c r="E982" t="s">
        <v>17</v>
      </c>
      <c r="F982" t="s">
        <v>59</v>
      </c>
      <c r="G982" t="s">
        <v>14</v>
      </c>
      <c r="H982">
        <v>120353</v>
      </c>
      <c r="I982">
        <v>115100</v>
      </c>
    </row>
    <row r="983" spans="1:9" x14ac:dyDescent="0.3">
      <c r="A983" t="s">
        <v>1015</v>
      </c>
      <c r="B983">
        <v>45797</v>
      </c>
      <c r="C983" t="s">
        <v>36</v>
      </c>
      <c r="D983" t="s">
        <v>11</v>
      </c>
      <c r="E983" t="s">
        <v>37</v>
      </c>
      <c r="F983" t="s">
        <v>42</v>
      </c>
      <c r="G983" t="s">
        <v>19</v>
      </c>
      <c r="H983">
        <v>51922</v>
      </c>
      <c r="I983">
        <v>57500</v>
      </c>
    </row>
    <row r="984" spans="1:9" x14ac:dyDescent="0.3">
      <c r="A984" t="s">
        <v>1016</v>
      </c>
      <c r="B984">
        <v>45797</v>
      </c>
      <c r="C984" t="s">
        <v>21</v>
      </c>
      <c r="D984" t="s">
        <v>11</v>
      </c>
      <c r="E984" t="s">
        <v>22</v>
      </c>
      <c r="F984" t="s">
        <v>13</v>
      </c>
      <c r="G984" t="s">
        <v>14</v>
      </c>
      <c r="H984">
        <v>205341</v>
      </c>
      <c r="I984">
        <v>180800</v>
      </c>
    </row>
    <row r="985" spans="1:9" x14ac:dyDescent="0.3">
      <c r="A985" t="s">
        <v>1017</v>
      </c>
      <c r="B985">
        <v>45798</v>
      </c>
      <c r="C985" t="s">
        <v>62</v>
      </c>
      <c r="D985" t="s">
        <v>11</v>
      </c>
      <c r="E985" t="s">
        <v>22</v>
      </c>
      <c r="F985" t="s">
        <v>13</v>
      </c>
      <c r="G985" t="s">
        <v>14</v>
      </c>
      <c r="H985">
        <v>203579</v>
      </c>
      <c r="I985">
        <v>184500</v>
      </c>
    </row>
    <row r="986" spans="1:9" x14ac:dyDescent="0.3">
      <c r="A986" t="s">
        <v>1018</v>
      </c>
      <c r="B986">
        <v>45798</v>
      </c>
      <c r="C986" t="s">
        <v>10</v>
      </c>
      <c r="D986" t="s">
        <v>11</v>
      </c>
      <c r="E986" t="s">
        <v>12</v>
      </c>
      <c r="F986" t="s">
        <v>26</v>
      </c>
      <c r="G986" t="s">
        <v>14</v>
      </c>
      <c r="H986">
        <v>78784</v>
      </c>
      <c r="I986">
        <v>82100</v>
      </c>
    </row>
    <row r="987" spans="1:9" x14ac:dyDescent="0.3">
      <c r="A987" t="s">
        <v>1019</v>
      </c>
      <c r="B987">
        <v>45798</v>
      </c>
      <c r="C987" t="s">
        <v>55</v>
      </c>
      <c r="D987" t="s">
        <v>11</v>
      </c>
      <c r="E987" t="s">
        <v>37</v>
      </c>
      <c r="F987" t="s">
        <v>12</v>
      </c>
      <c r="G987" t="s">
        <v>14</v>
      </c>
      <c r="H987">
        <v>105769</v>
      </c>
      <c r="I987">
        <v>104300</v>
      </c>
    </row>
    <row r="988" spans="1:9" x14ac:dyDescent="0.3">
      <c r="A988" t="s">
        <v>1020</v>
      </c>
      <c r="B988">
        <v>45799</v>
      </c>
      <c r="C988" t="s">
        <v>62</v>
      </c>
      <c r="D988" t="s">
        <v>11</v>
      </c>
      <c r="E988" t="s">
        <v>22</v>
      </c>
      <c r="F988" t="s">
        <v>33</v>
      </c>
      <c r="G988" t="s">
        <v>19</v>
      </c>
      <c r="H988">
        <v>71675</v>
      </c>
      <c r="I988">
        <v>79100</v>
      </c>
    </row>
    <row r="989" spans="1:9" x14ac:dyDescent="0.3">
      <c r="A989" t="s">
        <v>1021</v>
      </c>
      <c r="B989">
        <v>45799</v>
      </c>
      <c r="C989" t="s">
        <v>62</v>
      </c>
      <c r="D989" t="s">
        <v>11</v>
      </c>
      <c r="E989" t="s">
        <v>22</v>
      </c>
      <c r="F989" t="s">
        <v>37</v>
      </c>
      <c r="G989" t="s">
        <v>14</v>
      </c>
      <c r="H989">
        <v>143029</v>
      </c>
      <c r="I989">
        <v>155800</v>
      </c>
    </row>
    <row r="990" spans="1:9" x14ac:dyDescent="0.3">
      <c r="A990" t="s">
        <v>1022</v>
      </c>
      <c r="B990">
        <v>45799</v>
      </c>
      <c r="C990" t="s">
        <v>16</v>
      </c>
      <c r="D990" t="s">
        <v>11</v>
      </c>
      <c r="E990" t="s">
        <v>17</v>
      </c>
      <c r="F990" t="s">
        <v>42</v>
      </c>
      <c r="G990" t="s">
        <v>19</v>
      </c>
      <c r="H990">
        <v>68068</v>
      </c>
      <c r="I990">
        <v>69200</v>
      </c>
    </row>
    <row r="991" spans="1:9" x14ac:dyDescent="0.3">
      <c r="A991" t="s">
        <v>1023</v>
      </c>
      <c r="B991">
        <v>45799</v>
      </c>
      <c r="C991" t="s">
        <v>36</v>
      </c>
      <c r="D991" t="s">
        <v>11</v>
      </c>
      <c r="E991" t="s">
        <v>37</v>
      </c>
      <c r="F991" t="s">
        <v>26</v>
      </c>
      <c r="G991" t="s">
        <v>14</v>
      </c>
      <c r="H991">
        <v>241650</v>
      </c>
      <c r="I991">
        <v>250700</v>
      </c>
    </row>
    <row r="992" spans="1:9" x14ac:dyDescent="0.3">
      <c r="A992" t="s">
        <v>1024</v>
      </c>
      <c r="B992">
        <v>45799</v>
      </c>
      <c r="C992" t="s">
        <v>21</v>
      </c>
      <c r="D992" t="s">
        <v>11</v>
      </c>
      <c r="E992" t="s">
        <v>22</v>
      </c>
      <c r="F992" t="s">
        <v>59</v>
      </c>
      <c r="G992" t="s">
        <v>14</v>
      </c>
      <c r="H992">
        <v>104807</v>
      </c>
      <c r="I992">
        <v>107600</v>
      </c>
    </row>
    <row r="993" spans="1:9" x14ac:dyDescent="0.3">
      <c r="A993" t="s">
        <v>1025</v>
      </c>
      <c r="B993">
        <v>45799</v>
      </c>
      <c r="C993" t="s">
        <v>31</v>
      </c>
      <c r="D993" t="s">
        <v>11</v>
      </c>
      <c r="E993" t="s">
        <v>17</v>
      </c>
      <c r="F993" t="s">
        <v>42</v>
      </c>
      <c r="G993" t="s">
        <v>19</v>
      </c>
      <c r="H993">
        <v>20972</v>
      </c>
      <c r="I993">
        <v>21000</v>
      </c>
    </row>
    <row r="994" spans="1:9" x14ac:dyDescent="0.3">
      <c r="A994" t="s">
        <v>1026</v>
      </c>
      <c r="B994">
        <v>45800</v>
      </c>
      <c r="C994" t="s">
        <v>62</v>
      </c>
      <c r="D994" t="s">
        <v>11</v>
      </c>
      <c r="E994" t="s">
        <v>22</v>
      </c>
      <c r="F994" t="s">
        <v>39</v>
      </c>
      <c r="G994" t="s">
        <v>19</v>
      </c>
      <c r="H994">
        <v>57628</v>
      </c>
      <c r="I994">
        <v>58500</v>
      </c>
    </row>
    <row r="995" spans="1:9" x14ac:dyDescent="0.3">
      <c r="A995" t="s">
        <v>1027</v>
      </c>
      <c r="B995">
        <v>45800</v>
      </c>
      <c r="C995" t="s">
        <v>62</v>
      </c>
      <c r="D995" t="s">
        <v>11</v>
      </c>
      <c r="E995" t="s">
        <v>22</v>
      </c>
      <c r="F995" t="s">
        <v>12</v>
      </c>
      <c r="G995" t="s">
        <v>14</v>
      </c>
      <c r="H995">
        <v>168331</v>
      </c>
      <c r="I995">
        <v>152900</v>
      </c>
    </row>
    <row r="996" spans="1:9" x14ac:dyDescent="0.3">
      <c r="A996" t="s">
        <v>1028</v>
      </c>
      <c r="B996">
        <v>45800</v>
      </c>
      <c r="C996" t="s">
        <v>62</v>
      </c>
      <c r="D996" t="s">
        <v>11</v>
      </c>
      <c r="E996" t="s">
        <v>22</v>
      </c>
      <c r="F996" t="s">
        <v>26</v>
      </c>
      <c r="G996" t="s">
        <v>14</v>
      </c>
      <c r="H996">
        <v>186866</v>
      </c>
      <c r="I996">
        <v>213700</v>
      </c>
    </row>
    <row r="997" spans="1:9" x14ac:dyDescent="0.3">
      <c r="A997" t="s">
        <v>1029</v>
      </c>
      <c r="B997">
        <v>45800</v>
      </c>
      <c r="C997" t="s">
        <v>36</v>
      </c>
      <c r="D997" t="s">
        <v>11</v>
      </c>
      <c r="E997" t="s">
        <v>37</v>
      </c>
      <c r="F997" t="s">
        <v>37</v>
      </c>
      <c r="G997" t="s">
        <v>14</v>
      </c>
      <c r="H997">
        <v>144024</v>
      </c>
      <c r="I997">
        <v>156600</v>
      </c>
    </row>
    <row r="998" spans="1:9" x14ac:dyDescent="0.3">
      <c r="A998" t="s">
        <v>1030</v>
      </c>
      <c r="B998">
        <v>45800</v>
      </c>
      <c r="C998" t="s">
        <v>25</v>
      </c>
      <c r="D998" t="s">
        <v>11</v>
      </c>
      <c r="E998" t="s">
        <v>22</v>
      </c>
      <c r="F998" t="s">
        <v>23</v>
      </c>
      <c r="G998" t="s">
        <v>14</v>
      </c>
      <c r="H998">
        <v>221592</v>
      </c>
      <c r="I998">
        <v>204900</v>
      </c>
    </row>
    <row r="999" spans="1:9" x14ac:dyDescent="0.3">
      <c r="A999" t="s">
        <v>1031</v>
      </c>
      <c r="B999">
        <v>45800</v>
      </c>
      <c r="C999" t="s">
        <v>25</v>
      </c>
      <c r="D999" t="s">
        <v>11</v>
      </c>
      <c r="E999" t="s">
        <v>22</v>
      </c>
      <c r="F999" t="s">
        <v>12</v>
      </c>
      <c r="G999" t="s">
        <v>14</v>
      </c>
      <c r="H999">
        <v>56535</v>
      </c>
      <c r="I999">
        <v>58900</v>
      </c>
    </row>
    <row r="1000" spans="1:9" x14ac:dyDescent="0.3">
      <c r="A1000" t="s">
        <v>1032</v>
      </c>
      <c r="B1000">
        <v>45800</v>
      </c>
      <c r="C1000" t="s">
        <v>31</v>
      </c>
      <c r="D1000" t="s">
        <v>11</v>
      </c>
      <c r="E1000" t="s">
        <v>17</v>
      </c>
      <c r="F1000" t="s">
        <v>18</v>
      </c>
      <c r="G1000" t="s">
        <v>19</v>
      </c>
      <c r="H1000">
        <v>17135</v>
      </c>
      <c r="I1000">
        <v>16300</v>
      </c>
    </row>
    <row r="1001" spans="1:9" x14ac:dyDescent="0.3">
      <c r="A1001" t="s">
        <v>1033</v>
      </c>
      <c r="B1001">
        <v>45800</v>
      </c>
      <c r="C1001" t="s">
        <v>31</v>
      </c>
      <c r="D1001" t="s">
        <v>11</v>
      </c>
      <c r="E1001" t="s">
        <v>17</v>
      </c>
      <c r="F1001" t="s">
        <v>13</v>
      </c>
      <c r="G1001" t="s">
        <v>14</v>
      </c>
      <c r="H1001">
        <v>80742</v>
      </c>
      <c r="I1001">
        <v>75600</v>
      </c>
    </row>
    <row r="1002" spans="1:9" x14ac:dyDescent="0.3">
      <c r="A1002" t="s">
        <v>1034</v>
      </c>
      <c r="B1002">
        <v>45800</v>
      </c>
      <c r="C1002" t="s">
        <v>55</v>
      </c>
      <c r="D1002" t="s">
        <v>11</v>
      </c>
      <c r="E1002" t="s">
        <v>37</v>
      </c>
      <c r="F1002" t="s">
        <v>39</v>
      </c>
      <c r="G1002" t="s">
        <v>19</v>
      </c>
      <c r="H1002">
        <v>98374</v>
      </c>
      <c r="I1002">
        <v>100700</v>
      </c>
    </row>
    <row r="1003" spans="1:9" x14ac:dyDescent="0.3">
      <c r="A1003" t="s">
        <v>1035</v>
      </c>
      <c r="B1003">
        <v>45800</v>
      </c>
      <c r="C1003" t="s">
        <v>55</v>
      </c>
      <c r="D1003" t="s">
        <v>11</v>
      </c>
      <c r="E1003" t="s">
        <v>37</v>
      </c>
      <c r="F1003" t="s">
        <v>42</v>
      </c>
      <c r="G1003" t="s">
        <v>19</v>
      </c>
      <c r="H1003">
        <v>27512</v>
      </c>
      <c r="I1003">
        <v>26200</v>
      </c>
    </row>
    <row r="1004" spans="1:9" x14ac:dyDescent="0.3">
      <c r="A1004" t="s">
        <v>1036</v>
      </c>
      <c r="B1004">
        <v>45801</v>
      </c>
      <c r="C1004" t="s">
        <v>62</v>
      </c>
      <c r="D1004" t="s">
        <v>11</v>
      </c>
      <c r="E1004" t="s">
        <v>22</v>
      </c>
      <c r="F1004" t="s">
        <v>33</v>
      </c>
      <c r="G1004" t="s">
        <v>19</v>
      </c>
      <c r="H1004">
        <v>33091</v>
      </c>
      <c r="I1004">
        <v>33400</v>
      </c>
    </row>
    <row r="1005" spans="1:9" x14ac:dyDescent="0.3">
      <c r="A1005" t="s">
        <v>1037</v>
      </c>
      <c r="B1005">
        <v>45801</v>
      </c>
      <c r="C1005" t="s">
        <v>62</v>
      </c>
      <c r="D1005" t="s">
        <v>11</v>
      </c>
      <c r="E1005" t="s">
        <v>22</v>
      </c>
      <c r="F1005" t="s">
        <v>56</v>
      </c>
      <c r="G1005" t="s">
        <v>19</v>
      </c>
      <c r="H1005">
        <v>104188</v>
      </c>
      <c r="I1005">
        <v>102200</v>
      </c>
    </row>
    <row r="1006" spans="1:9" x14ac:dyDescent="0.3">
      <c r="A1006" t="s">
        <v>1038</v>
      </c>
      <c r="B1006">
        <v>45801</v>
      </c>
      <c r="C1006" t="s">
        <v>62</v>
      </c>
      <c r="D1006" t="s">
        <v>11</v>
      </c>
      <c r="E1006" t="s">
        <v>22</v>
      </c>
      <c r="F1006" t="s">
        <v>13</v>
      </c>
      <c r="G1006" t="s">
        <v>14</v>
      </c>
      <c r="H1006">
        <v>160007</v>
      </c>
      <c r="I1006">
        <v>143900</v>
      </c>
    </row>
    <row r="1007" spans="1:9" x14ac:dyDescent="0.3">
      <c r="A1007" t="s">
        <v>1039</v>
      </c>
      <c r="B1007">
        <v>45801</v>
      </c>
      <c r="C1007" t="s">
        <v>10</v>
      </c>
      <c r="D1007" t="s">
        <v>11</v>
      </c>
      <c r="E1007" t="s">
        <v>12</v>
      </c>
      <c r="F1007" t="s">
        <v>23</v>
      </c>
      <c r="G1007" t="s">
        <v>14</v>
      </c>
      <c r="H1007">
        <v>129596</v>
      </c>
      <c r="I1007">
        <v>130500</v>
      </c>
    </row>
    <row r="1008" spans="1:9" x14ac:dyDescent="0.3">
      <c r="A1008" t="s">
        <v>1040</v>
      </c>
      <c r="B1008">
        <v>45801</v>
      </c>
      <c r="C1008" t="s">
        <v>10</v>
      </c>
      <c r="D1008" t="s">
        <v>11</v>
      </c>
      <c r="E1008" t="s">
        <v>12</v>
      </c>
      <c r="F1008" t="s">
        <v>26</v>
      </c>
      <c r="G1008" t="s">
        <v>14</v>
      </c>
      <c r="H1008">
        <v>150249</v>
      </c>
      <c r="I1008">
        <v>132700</v>
      </c>
    </row>
    <row r="1009" spans="1:9" x14ac:dyDescent="0.3">
      <c r="A1009" t="s">
        <v>1041</v>
      </c>
      <c r="B1009">
        <v>45801</v>
      </c>
      <c r="C1009" t="s">
        <v>16</v>
      </c>
      <c r="D1009" t="s">
        <v>11</v>
      </c>
      <c r="E1009" t="s">
        <v>17</v>
      </c>
      <c r="F1009" t="s">
        <v>46</v>
      </c>
      <c r="G1009" t="s">
        <v>19</v>
      </c>
      <c r="H1009">
        <v>29185</v>
      </c>
      <c r="I1009">
        <v>37000</v>
      </c>
    </row>
    <row r="1010" spans="1:9" x14ac:dyDescent="0.3">
      <c r="A1010" t="s">
        <v>1042</v>
      </c>
      <c r="B1010">
        <v>45801</v>
      </c>
      <c r="C1010" t="s">
        <v>16</v>
      </c>
      <c r="D1010" t="s">
        <v>11</v>
      </c>
      <c r="E1010" t="s">
        <v>17</v>
      </c>
      <c r="F1010" t="s">
        <v>59</v>
      </c>
      <c r="G1010" t="s">
        <v>14</v>
      </c>
      <c r="H1010">
        <v>203515</v>
      </c>
      <c r="I1010">
        <v>220800</v>
      </c>
    </row>
    <row r="1011" spans="1:9" x14ac:dyDescent="0.3">
      <c r="A1011" t="s">
        <v>1043</v>
      </c>
      <c r="B1011">
        <v>45801</v>
      </c>
      <c r="C1011" t="s">
        <v>25</v>
      </c>
      <c r="D1011" t="s">
        <v>11</v>
      </c>
      <c r="E1011" t="s">
        <v>22</v>
      </c>
      <c r="F1011" t="s">
        <v>23</v>
      </c>
      <c r="G1011" t="s">
        <v>14</v>
      </c>
      <c r="H1011">
        <v>244772</v>
      </c>
      <c r="I1011">
        <v>272000</v>
      </c>
    </row>
    <row r="1012" spans="1:9" x14ac:dyDescent="0.3">
      <c r="A1012" t="s">
        <v>1044</v>
      </c>
      <c r="B1012">
        <v>45801</v>
      </c>
      <c r="C1012" t="s">
        <v>31</v>
      </c>
      <c r="D1012" t="s">
        <v>11</v>
      </c>
      <c r="E1012" t="s">
        <v>17</v>
      </c>
      <c r="F1012" t="s">
        <v>33</v>
      </c>
      <c r="G1012" t="s">
        <v>19</v>
      </c>
      <c r="H1012">
        <v>82640</v>
      </c>
      <c r="I1012">
        <v>78800</v>
      </c>
    </row>
    <row r="1013" spans="1:9" x14ac:dyDescent="0.3">
      <c r="A1013" t="s">
        <v>1045</v>
      </c>
      <c r="B1013">
        <v>45801</v>
      </c>
      <c r="C1013" t="s">
        <v>31</v>
      </c>
      <c r="D1013" t="s">
        <v>11</v>
      </c>
      <c r="E1013" t="s">
        <v>17</v>
      </c>
      <c r="F1013" t="s">
        <v>39</v>
      </c>
      <c r="G1013" t="s">
        <v>19</v>
      </c>
      <c r="H1013">
        <v>17480</v>
      </c>
      <c r="I1013">
        <v>17400</v>
      </c>
    </row>
    <row r="1014" spans="1:9" x14ac:dyDescent="0.3">
      <c r="A1014" t="s">
        <v>1046</v>
      </c>
      <c r="B1014">
        <v>45801</v>
      </c>
      <c r="C1014" t="s">
        <v>55</v>
      </c>
      <c r="D1014" t="s">
        <v>11</v>
      </c>
      <c r="E1014" t="s">
        <v>37</v>
      </c>
      <c r="F1014" t="s">
        <v>26</v>
      </c>
      <c r="G1014" t="s">
        <v>14</v>
      </c>
      <c r="H1014">
        <v>50061</v>
      </c>
      <c r="I1014">
        <v>49700</v>
      </c>
    </row>
    <row r="1015" spans="1:9" x14ac:dyDescent="0.3">
      <c r="A1015" t="s">
        <v>1047</v>
      </c>
      <c r="B1015">
        <v>45802</v>
      </c>
      <c r="C1015" t="s">
        <v>10</v>
      </c>
      <c r="D1015" t="s">
        <v>11</v>
      </c>
      <c r="E1015" t="s">
        <v>12</v>
      </c>
      <c r="F1015" t="s">
        <v>56</v>
      </c>
      <c r="G1015" t="s">
        <v>19</v>
      </c>
      <c r="H1015">
        <v>107458</v>
      </c>
      <c r="I1015">
        <v>105500</v>
      </c>
    </row>
    <row r="1016" spans="1:9" x14ac:dyDescent="0.3">
      <c r="A1016" t="s">
        <v>1048</v>
      </c>
      <c r="B1016">
        <v>45802</v>
      </c>
      <c r="C1016" t="s">
        <v>16</v>
      </c>
      <c r="D1016" t="s">
        <v>11</v>
      </c>
      <c r="E1016" t="s">
        <v>17</v>
      </c>
      <c r="F1016" t="s">
        <v>18</v>
      </c>
      <c r="G1016" t="s">
        <v>19</v>
      </c>
      <c r="H1016">
        <v>14227</v>
      </c>
      <c r="I1016">
        <v>13700</v>
      </c>
    </row>
    <row r="1017" spans="1:9" x14ac:dyDescent="0.3">
      <c r="A1017" t="s">
        <v>1049</v>
      </c>
      <c r="B1017">
        <v>45802</v>
      </c>
      <c r="C1017" t="s">
        <v>16</v>
      </c>
      <c r="D1017" t="s">
        <v>11</v>
      </c>
      <c r="E1017" t="s">
        <v>17</v>
      </c>
      <c r="F1017" t="s">
        <v>23</v>
      </c>
      <c r="G1017" t="s">
        <v>14</v>
      </c>
      <c r="H1017">
        <v>75744</v>
      </c>
      <c r="I1017">
        <v>71900</v>
      </c>
    </row>
    <row r="1018" spans="1:9" x14ac:dyDescent="0.3">
      <c r="A1018" t="s">
        <v>1050</v>
      </c>
      <c r="B1018">
        <v>45802</v>
      </c>
      <c r="C1018" t="s">
        <v>16</v>
      </c>
      <c r="D1018" t="s">
        <v>11</v>
      </c>
      <c r="E1018" t="s">
        <v>17</v>
      </c>
      <c r="F1018" t="s">
        <v>37</v>
      </c>
      <c r="G1018" t="s">
        <v>14</v>
      </c>
      <c r="H1018">
        <v>50697</v>
      </c>
      <c r="I1018">
        <v>56700</v>
      </c>
    </row>
    <row r="1019" spans="1:9" x14ac:dyDescent="0.3">
      <c r="A1019" t="s">
        <v>1051</v>
      </c>
      <c r="B1019">
        <v>45802</v>
      </c>
      <c r="C1019" t="s">
        <v>21</v>
      </c>
      <c r="D1019" t="s">
        <v>11</v>
      </c>
      <c r="E1019" t="s">
        <v>22</v>
      </c>
      <c r="F1019" t="s">
        <v>42</v>
      </c>
      <c r="G1019" t="s">
        <v>19</v>
      </c>
      <c r="H1019">
        <v>119081</v>
      </c>
      <c r="I1019">
        <v>128700</v>
      </c>
    </row>
    <row r="1020" spans="1:9" x14ac:dyDescent="0.3">
      <c r="A1020" t="s">
        <v>1052</v>
      </c>
      <c r="B1020">
        <v>45803</v>
      </c>
      <c r="C1020" t="s">
        <v>62</v>
      </c>
      <c r="D1020" t="s">
        <v>11</v>
      </c>
      <c r="E1020" t="s">
        <v>22</v>
      </c>
      <c r="F1020" t="s">
        <v>39</v>
      </c>
      <c r="G1020" t="s">
        <v>19</v>
      </c>
      <c r="H1020">
        <v>70441</v>
      </c>
      <c r="I1020">
        <v>74200</v>
      </c>
    </row>
    <row r="1021" spans="1:9" x14ac:dyDescent="0.3">
      <c r="A1021" t="s">
        <v>1053</v>
      </c>
      <c r="B1021">
        <v>45803</v>
      </c>
      <c r="C1021" t="s">
        <v>10</v>
      </c>
      <c r="D1021" t="s">
        <v>11</v>
      </c>
      <c r="E1021" t="s">
        <v>12</v>
      </c>
      <c r="F1021" t="s">
        <v>18</v>
      </c>
      <c r="G1021" t="s">
        <v>19</v>
      </c>
      <c r="H1021">
        <v>70917</v>
      </c>
      <c r="I1021">
        <v>68700</v>
      </c>
    </row>
    <row r="1022" spans="1:9" x14ac:dyDescent="0.3">
      <c r="A1022" t="s">
        <v>1054</v>
      </c>
      <c r="B1022">
        <v>45803</v>
      </c>
      <c r="C1022" t="s">
        <v>16</v>
      </c>
      <c r="D1022" t="s">
        <v>11</v>
      </c>
      <c r="E1022" t="s">
        <v>17</v>
      </c>
      <c r="F1022" t="s">
        <v>26</v>
      </c>
      <c r="G1022" t="s">
        <v>14</v>
      </c>
      <c r="H1022">
        <v>66905</v>
      </c>
      <c r="I1022">
        <v>69000</v>
      </c>
    </row>
    <row r="1023" spans="1:9" x14ac:dyDescent="0.3">
      <c r="A1023" t="s">
        <v>1055</v>
      </c>
      <c r="B1023">
        <v>45803</v>
      </c>
      <c r="C1023" t="s">
        <v>36</v>
      </c>
      <c r="D1023" t="s">
        <v>11</v>
      </c>
      <c r="E1023" t="s">
        <v>37</v>
      </c>
      <c r="F1023" t="s">
        <v>12</v>
      </c>
      <c r="G1023" t="s">
        <v>14</v>
      </c>
      <c r="H1023">
        <v>144267</v>
      </c>
      <c r="I1023">
        <v>157400</v>
      </c>
    </row>
    <row r="1024" spans="1:9" x14ac:dyDescent="0.3">
      <c r="A1024" t="s">
        <v>1056</v>
      </c>
      <c r="B1024">
        <v>45803</v>
      </c>
      <c r="C1024" t="s">
        <v>25</v>
      </c>
      <c r="D1024" t="s">
        <v>11</v>
      </c>
      <c r="E1024" t="s">
        <v>22</v>
      </c>
      <c r="F1024" t="s">
        <v>42</v>
      </c>
      <c r="G1024" t="s">
        <v>19</v>
      </c>
      <c r="H1024">
        <v>113018</v>
      </c>
      <c r="I1024">
        <v>107100</v>
      </c>
    </row>
    <row r="1025" spans="1:9" x14ac:dyDescent="0.3">
      <c r="A1025" t="s">
        <v>1057</v>
      </c>
      <c r="B1025">
        <v>45803</v>
      </c>
      <c r="C1025" t="s">
        <v>31</v>
      </c>
      <c r="D1025" t="s">
        <v>11</v>
      </c>
      <c r="E1025" t="s">
        <v>17</v>
      </c>
      <c r="F1025" t="s">
        <v>23</v>
      </c>
      <c r="G1025" t="s">
        <v>14</v>
      </c>
      <c r="H1025">
        <v>172464</v>
      </c>
      <c r="I1025">
        <v>181400</v>
      </c>
    </row>
    <row r="1026" spans="1:9" x14ac:dyDescent="0.3">
      <c r="A1026" t="s">
        <v>1058</v>
      </c>
      <c r="B1026">
        <v>45803</v>
      </c>
      <c r="C1026" t="s">
        <v>55</v>
      </c>
      <c r="D1026" t="s">
        <v>11</v>
      </c>
      <c r="E1026" t="s">
        <v>37</v>
      </c>
      <c r="F1026" t="s">
        <v>46</v>
      </c>
      <c r="G1026" t="s">
        <v>19</v>
      </c>
      <c r="H1026">
        <v>40782</v>
      </c>
      <c r="I1026">
        <v>43700</v>
      </c>
    </row>
    <row r="1027" spans="1:9" x14ac:dyDescent="0.3">
      <c r="A1027" t="s">
        <v>1059</v>
      </c>
      <c r="B1027">
        <v>45804</v>
      </c>
      <c r="C1027" t="s">
        <v>10</v>
      </c>
      <c r="D1027" t="s">
        <v>11</v>
      </c>
      <c r="E1027" t="s">
        <v>12</v>
      </c>
      <c r="F1027" t="s">
        <v>42</v>
      </c>
      <c r="G1027" t="s">
        <v>19</v>
      </c>
      <c r="H1027">
        <v>59453</v>
      </c>
      <c r="I1027">
        <v>57700</v>
      </c>
    </row>
    <row r="1028" spans="1:9" x14ac:dyDescent="0.3">
      <c r="A1028" t="s">
        <v>1060</v>
      </c>
      <c r="B1028">
        <v>45804</v>
      </c>
      <c r="C1028" t="s">
        <v>10</v>
      </c>
      <c r="D1028" t="s">
        <v>11</v>
      </c>
      <c r="E1028" t="s">
        <v>12</v>
      </c>
      <c r="F1028" t="s">
        <v>39</v>
      </c>
      <c r="G1028" t="s">
        <v>19</v>
      </c>
      <c r="H1028">
        <v>85654</v>
      </c>
      <c r="I1028">
        <v>72700</v>
      </c>
    </row>
    <row r="1029" spans="1:9" x14ac:dyDescent="0.3">
      <c r="A1029" t="s">
        <v>1061</v>
      </c>
      <c r="B1029">
        <v>45804</v>
      </c>
      <c r="C1029" t="s">
        <v>16</v>
      </c>
      <c r="D1029" t="s">
        <v>11</v>
      </c>
      <c r="E1029" t="s">
        <v>17</v>
      </c>
      <c r="F1029" t="s">
        <v>37</v>
      </c>
      <c r="G1029" t="s">
        <v>14</v>
      </c>
      <c r="H1029">
        <v>145237</v>
      </c>
      <c r="I1029">
        <v>144400</v>
      </c>
    </row>
    <row r="1030" spans="1:9" x14ac:dyDescent="0.3">
      <c r="A1030" t="s">
        <v>1062</v>
      </c>
      <c r="B1030">
        <v>45804</v>
      </c>
      <c r="C1030" t="s">
        <v>31</v>
      </c>
      <c r="D1030" t="s">
        <v>11</v>
      </c>
      <c r="E1030" t="s">
        <v>17</v>
      </c>
      <c r="F1030" t="s">
        <v>56</v>
      </c>
      <c r="G1030" t="s">
        <v>19</v>
      </c>
      <c r="H1030">
        <v>116403</v>
      </c>
      <c r="I1030">
        <v>114300</v>
      </c>
    </row>
    <row r="1031" spans="1:9" x14ac:dyDescent="0.3">
      <c r="A1031" t="s">
        <v>1063</v>
      </c>
      <c r="B1031">
        <v>45804</v>
      </c>
      <c r="C1031" t="s">
        <v>31</v>
      </c>
      <c r="D1031" t="s">
        <v>11</v>
      </c>
      <c r="E1031" t="s">
        <v>17</v>
      </c>
      <c r="F1031" t="s">
        <v>12</v>
      </c>
      <c r="G1031" t="s">
        <v>14</v>
      </c>
      <c r="H1031">
        <v>199876</v>
      </c>
      <c r="I1031">
        <v>210200</v>
      </c>
    </row>
    <row r="1032" spans="1:9" x14ac:dyDescent="0.3">
      <c r="A1032" t="s">
        <v>1064</v>
      </c>
      <c r="B1032">
        <v>45805</v>
      </c>
      <c r="C1032" t="s">
        <v>62</v>
      </c>
      <c r="D1032" t="s">
        <v>11</v>
      </c>
      <c r="E1032" t="s">
        <v>22</v>
      </c>
      <c r="F1032" t="s">
        <v>12</v>
      </c>
      <c r="G1032" t="s">
        <v>14</v>
      </c>
      <c r="H1032">
        <v>194246</v>
      </c>
      <c r="I1032">
        <v>202300</v>
      </c>
    </row>
    <row r="1033" spans="1:9" x14ac:dyDescent="0.3">
      <c r="A1033" t="s">
        <v>1065</v>
      </c>
      <c r="B1033">
        <v>45805</v>
      </c>
      <c r="C1033" t="s">
        <v>36</v>
      </c>
      <c r="D1033" t="s">
        <v>11</v>
      </c>
      <c r="E1033" t="s">
        <v>37</v>
      </c>
      <c r="F1033" t="s">
        <v>13</v>
      </c>
      <c r="G1033" t="s">
        <v>14</v>
      </c>
      <c r="H1033">
        <v>179568</v>
      </c>
      <c r="I1033">
        <v>180700</v>
      </c>
    </row>
    <row r="1034" spans="1:9" x14ac:dyDescent="0.3">
      <c r="A1034" t="s">
        <v>1066</v>
      </c>
      <c r="B1034">
        <v>45805</v>
      </c>
      <c r="C1034" t="s">
        <v>25</v>
      </c>
      <c r="D1034" t="s">
        <v>11</v>
      </c>
      <c r="E1034" t="s">
        <v>22</v>
      </c>
      <c r="F1034" t="s">
        <v>13</v>
      </c>
      <c r="G1034" t="s">
        <v>14</v>
      </c>
      <c r="H1034">
        <v>66111</v>
      </c>
      <c r="I1034">
        <v>63700</v>
      </c>
    </row>
    <row r="1035" spans="1:9" x14ac:dyDescent="0.3">
      <c r="A1035" t="s">
        <v>1067</v>
      </c>
      <c r="B1035">
        <v>45806</v>
      </c>
      <c r="C1035" t="s">
        <v>10</v>
      </c>
      <c r="D1035" t="s">
        <v>11</v>
      </c>
      <c r="E1035" t="s">
        <v>12</v>
      </c>
      <c r="F1035" t="s">
        <v>26</v>
      </c>
      <c r="G1035" t="s">
        <v>14</v>
      </c>
      <c r="H1035">
        <v>183334</v>
      </c>
      <c r="I1035">
        <v>192500</v>
      </c>
    </row>
    <row r="1036" spans="1:9" x14ac:dyDescent="0.3">
      <c r="A1036" t="s">
        <v>1068</v>
      </c>
      <c r="B1036">
        <v>45806</v>
      </c>
      <c r="C1036" t="s">
        <v>10</v>
      </c>
      <c r="D1036" t="s">
        <v>11</v>
      </c>
      <c r="E1036" t="s">
        <v>12</v>
      </c>
      <c r="F1036" t="s">
        <v>13</v>
      </c>
      <c r="G1036" t="s">
        <v>14</v>
      </c>
      <c r="H1036">
        <v>35290</v>
      </c>
      <c r="I1036">
        <v>36700</v>
      </c>
    </row>
    <row r="1037" spans="1:9" x14ac:dyDescent="0.3">
      <c r="A1037" t="s">
        <v>1069</v>
      </c>
      <c r="B1037">
        <v>45806</v>
      </c>
      <c r="C1037" t="s">
        <v>21</v>
      </c>
      <c r="D1037" t="s">
        <v>11</v>
      </c>
      <c r="E1037" t="s">
        <v>22</v>
      </c>
      <c r="F1037" t="s">
        <v>23</v>
      </c>
      <c r="G1037" t="s">
        <v>14</v>
      </c>
      <c r="H1037">
        <v>169109</v>
      </c>
      <c r="I1037">
        <v>162600</v>
      </c>
    </row>
    <row r="1038" spans="1:9" x14ac:dyDescent="0.3">
      <c r="A1038" t="s">
        <v>1070</v>
      </c>
      <c r="B1038">
        <v>45806</v>
      </c>
      <c r="C1038" t="s">
        <v>21</v>
      </c>
      <c r="D1038" t="s">
        <v>11</v>
      </c>
      <c r="E1038" t="s">
        <v>22</v>
      </c>
      <c r="F1038" t="s">
        <v>13</v>
      </c>
      <c r="G1038" t="s">
        <v>14</v>
      </c>
      <c r="H1038">
        <v>182358</v>
      </c>
      <c r="I1038">
        <v>172700</v>
      </c>
    </row>
    <row r="1039" spans="1:9" x14ac:dyDescent="0.3">
      <c r="A1039" t="s">
        <v>1071</v>
      </c>
      <c r="B1039">
        <v>45806</v>
      </c>
      <c r="C1039" t="s">
        <v>55</v>
      </c>
      <c r="D1039" t="s">
        <v>11</v>
      </c>
      <c r="E1039" t="s">
        <v>37</v>
      </c>
      <c r="F1039" t="s">
        <v>56</v>
      </c>
      <c r="G1039" t="s">
        <v>19</v>
      </c>
      <c r="H1039">
        <v>13982</v>
      </c>
      <c r="I1039">
        <v>13500</v>
      </c>
    </row>
    <row r="1040" spans="1:9" x14ac:dyDescent="0.3">
      <c r="A1040" t="s">
        <v>1072</v>
      </c>
      <c r="B1040">
        <v>45807</v>
      </c>
      <c r="C1040" t="s">
        <v>62</v>
      </c>
      <c r="D1040" t="s">
        <v>11</v>
      </c>
      <c r="E1040" t="s">
        <v>22</v>
      </c>
      <c r="F1040" t="s">
        <v>23</v>
      </c>
      <c r="G1040" t="s">
        <v>14</v>
      </c>
      <c r="H1040">
        <v>248633</v>
      </c>
      <c r="I1040">
        <v>239000</v>
      </c>
    </row>
    <row r="1041" spans="1:9" x14ac:dyDescent="0.3">
      <c r="A1041" t="s">
        <v>1073</v>
      </c>
      <c r="B1041">
        <v>45807</v>
      </c>
      <c r="C1041" t="s">
        <v>10</v>
      </c>
      <c r="D1041" t="s">
        <v>11</v>
      </c>
      <c r="E1041" t="s">
        <v>12</v>
      </c>
      <c r="F1041" t="s">
        <v>56</v>
      </c>
      <c r="G1041" t="s">
        <v>19</v>
      </c>
      <c r="H1041">
        <v>55116</v>
      </c>
      <c r="I1041">
        <v>41600</v>
      </c>
    </row>
    <row r="1042" spans="1:9" x14ac:dyDescent="0.3">
      <c r="A1042" t="s">
        <v>1074</v>
      </c>
      <c r="B1042">
        <v>45807</v>
      </c>
      <c r="C1042" t="s">
        <v>10</v>
      </c>
      <c r="D1042" t="s">
        <v>11</v>
      </c>
      <c r="E1042" t="s">
        <v>12</v>
      </c>
      <c r="F1042" t="s">
        <v>39</v>
      </c>
      <c r="G1042" t="s">
        <v>19</v>
      </c>
      <c r="H1042">
        <v>14760</v>
      </c>
      <c r="I1042">
        <v>14800</v>
      </c>
    </row>
    <row r="1043" spans="1:9" x14ac:dyDescent="0.3">
      <c r="A1043" t="s">
        <v>1075</v>
      </c>
      <c r="B1043">
        <v>45807</v>
      </c>
      <c r="C1043" t="s">
        <v>36</v>
      </c>
      <c r="D1043" t="s">
        <v>11</v>
      </c>
      <c r="E1043" t="s">
        <v>37</v>
      </c>
      <c r="F1043" t="s">
        <v>33</v>
      </c>
      <c r="G1043" t="s">
        <v>19</v>
      </c>
      <c r="H1043">
        <v>97550</v>
      </c>
      <c r="I1043">
        <v>92900</v>
      </c>
    </row>
    <row r="1044" spans="1:9" x14ac:dyDescent="0.3">
      <c r="A1044" t="s">
        <v>1076</v>
      </c>
      <c r="B1044">
        <v>45807</v>
      </c>
      <c r="C1044" t="s">
        <v>21</v>
      </c>
      <c r="D1044" t="s">
        <v>11</v>
      </c>
      <c r="E1044" t="s">
        <v>22</v>
      </c>
      <c r="F1044" t="s">
        <v>39</v>
      </c>
      <c r="G1044" t="s">
        <v>19</v>
      </c>
      <c r="H1044">
        <v>75071</v>
      </c>
      <c r="I1044">
        <v>61000</v>
      </c>
    </row>
    <row r="1045" spans="1:9" x14ac:dyDescent="0.3">
      <c r="A1045" t="s">
        <v>1077</v>
      </c>
      <c r="B1045">
        <v>45807</v>
      </c>
      <c r="C1045" t="s">
        <v>21</v>
      </c>
      <c r="D1045" t="s">
        <v>11</v>
      </c>
      <c r="E1045" t="s">
        <v>22</v>
      </c>
      <c r="F1045" t="s">
        <v>37</v>
      </c>
      <c r="G1045" t="s">
        <v>14</v>
      </c>
      <c r="H1045">
        <v>28890</v>
      </c>
      <c r="I1045">
        <v>26400</v>
      </c>
    </row>
    <row r="1046" spans="1:9" x14ac:dyDescent="0.3">
      <c r="A1046" t="s">
        <v>1078</v>
      </c>
      <c r="B1046">
        <v>45807</v>
      </c>
      <c r="C1046" t="s">
        <v>25</v>
      </c>
      <c r="D1046" t="s">
        <v>11</v>
      </c>
      <c r="E1046" t="s">
        <v>22</v>
      </c>
      <c r="F1046" t="s">
        <v>56</v>
      </c>
      <c r="G1046" t="s">
        <v>19</v>
      </c>
      <c r="H1046">
        <v>25769</v>
      </c>
      <c r="I1046">
        <v>27500</v>
      </c>
    </row>
    <row r="1047" spans="1:9" x14ac:dyDescent="0.3">
      <c r="A1047" t="s">
        <v>1079</v>
      </c>
      <c r="B1047">
        <v>45808</v>
      </c>
      <c r="C1047" t="s">
        <v>62</v>
      </c>
      <c r="D1047" t="s">
        <v>11</v>
      </c>
      <c r="E1047" t="s">
        <v>22</v>
      </c>
      <c r="F1047" t="s">
        <v>33</v>
      </c>
      <c r="G1047" t="s">
        <v>19</v>
      </c>
      <c r="H1047">
        <v>44174</v>
      </c>
      <c r="I1047">
        <v>35100</v>
      </c>
    </row>
    <row r="1048" spans="1:9" x14ac:dyDescent="0.3">
      <c r="A1048" t="s">
        <v>1080</v>
      </c>
      <c r="B1048">
        <v>45808</v>
      </c>
      <c r="C1048" t="s">
        <v>10</v>
      </c>
      <c r="D1048" t="s">
        <v>11</v>
      </c>
      <c r="E1048" t="s">
        <v>12</v>
      </c>
      <c r="F1048" t="s">
        <v>42</v>
      </c>
      <c r="G1048" t="s">
        <v>19</v>
      </c>
      <c r="H1048">
        <v>119801</v>
      </c>
      <c r="I1048">
        <v>96700</v>
      </c>
    </row>
    <row r="1049" spans="1:9" x14ac:dyDescent="0.3">
      <c r="A1049" t="s">
        <v>1081</v>
      </c>
      <c r="B1049">
        <v>45808</v>
      </c>
      <c r="C1049" t="s">
        <v>21</v>
      </c>
      <c r="D1049" t="s">
        <v>11</v>
      </c>
      <c r="E1049" t="s">
        <v>22</v>
      </c>
      <c r="F1049" t="s">
        <v>33</v>
      </c>
      <c r="G1049" t="s">
        <v>19</v>
      </c>
      <c r="H1049">
        <v>110363</v>
      </c>
      <c r="I1049">
        <v>122500</v>
      </c>
    </row>
    <row r="1050" spans="1:9" x14ac:dyDescent="0.3">
      <c r="A1050" t="s">
        <v>1082</v>
      </c>
      <c r="B1050">
        <v>45808</v>
      </c>
      <c r="C1050" t="s">
        <v>55</v>
      </c>
      <c r="D1050" t="s">
        <v>11</v>
      </c>
      <c r="E1050" t="s">
        <v>37</v>
      </c>
      <c r="F1050" t="s">
        <v>56</v>
      </c>
      <c r="G1050" t="s">
        <v>19</v>
      </c>
      <c r="H1050">
        <v>98921</v>
      </c>
      <c r="I1050">
        <v>92200</v>
      </c>
    </row>
    <row r="1051" spans="1:9" x14ac:dyDescent="0.3">
      <c r="A1051" t="s">
        <v>1083</v>
      </c>
      <c r="B1051">
        <v>45808</v>
      </c>
      <c r="C1051" t="s">
        <v>55</v>
      </c>
      <c r="D1051" t="s">
        <v>11</v>
      </c>
      <c r="E1051" t="s">
        <v>37</v>
      </c>
      <c r="F1051" t="s">
        <v>59</v>
      </c>
      <c r="G1051" t="s">
        <v>14</v>
      </c>
      <c r="H1051">
        <v>187842</v>
      </c>
      <c r="I1051">
        <v>175600</v>
      </c>
    </row>
    <row r="1052" spans="1:9" x14ac:dyDescent="0.3">
      <c r="A1052" t="s">
        <v>1084</v>
      </c>
      <c r="B1052">
        <v>45809</v>
      </c>
      <c r="C1052" t="s">
        <v>62</v>
      </c>
      <c r="D1052" t="s">
        <v>11</v>
      </c>
      <c r="E1052" t="s">
        <v>22</v>
      </c>
      <c r="F1052" t="s">
        <v>23</v>
      </c>
      <c r="G1052" t="s">
        <v>14</v>
      </c>
      <c r="H1052">
        <v>217348</v>
      </c>
      <c r="I1052">
        <v>276900</v>
      </c>
    </row>
    <row r="1053" spans="1:9" x14ac:dyDescent="0.3">
      <c r="A1053" t="s">
        <v>1085</v>
      </c>
      <c r="B1053">
        <v>45809</v>
      </c>
      <c r="C1053" t="s">
        <v>10</v>
      </c>
      <c r="D1053" t="s">
        <v>11</v>
      </c>
      <c r="E1053" t="s">
        <v>12</v>
      </c>
      <c r="F1053" t="s">
        <v>18</v>
      </c>
      <c r="G1053" t="s">
        <v>19</v>
      </c>
      <c r="H1053">
        <v>92605</v>
      </c>
      <c r="I1053">
        <v>96200</v>
      </c>
    </row>
    <row r="1054" spans="1:9" x14ac:dyDescent="0.3">
      <c r="A1054" t="s">
        <v>1086</v>
      </c>
      <c r="B1054">
        <v>45809</v>
      </c>
      <c r="C1054" t="s">
        <v>10</v>
      </c>
      <c r="D1054" t="s">
        <v>11</v>
      </c>
      <c r="E1054" t="s">
        <v>12</v>
      </c>
      <c r="F1054" t="s">
        <v>18</v>
      </c>
      <c r="G1054" t="s">
        <v>19</v>
      </c>
      <c r="H1054">
        <v>51182</v>
      </c>
      <c r="I1054">
        <v>50700</v>
      </c>
    </row>
    <row r="1055" spans="1:9" x14ac:dyDescent="0.3">
      <c r="A1055" t="s">
        <v>1087</v>
      </c>
      <c r="B1055">
        <v>45809</v>
      </c>
      <c r="C1055" t="s">
        <v>36</v>
      </c>
      <c r="D1055" t="s">
        <v>11</v>
      </c>
      <c r="E1055" t="s">
        <v>37</v>
      </c>
      <c r="F1055" t="s">
        <v>39</v>
      </c>
      <c r="G1055" t="s">
        <v>19</v>
      </c>
      <c r="H1055">
        <v>80807</v>
      </c>
      <c r="I1055">
        <v>76800</v>
      </c>
    </row>
    <row r="1056" spans="1:9" x14ac:dyDescent="0.3">
      <c r="A1056" t="s">
        <v>1088</v>
      </c>
      <c r="B1056">
        <v>45809</v>
      </c>
      <c r="C1056" t="s">
        <v>36</v>
      </c>
      <c r="D1056" t="s">
        <v>11</v>
      </c>
      <c r="E1056" t="s">
        <v>37</v>
      </c>
      <c r="F1056" t="s">
        <v>13</v>
      </c>
      <c r="G1056" t="s">
        <v>14</v>
      </c>
      <c r="H1056">
        <v>45444</v>
      </c>
      <c r="I1056">
        <v>42000</v>
      </c>
    </row>
    <row r="1057" spans="1:9" x14ac:dyDescent="0.3">
      <c r="A1057" t="s">
        <v>1089</v>
      </c>
      <c r="B1057">
        <v>45809</v>
      </c>
      <c r="C1057" t="s">
        <v>25</v>
      </c>
      <c r="D1057" t="s">
        <v>11</v>
      </c>
      <c r="E1057" t="s">
        <v>22</v>
      </c>
      <c r="F1057" t="s">
        <v>26</v>
      </c>
      <c r="G1057" t="s">
        <v>14</v>
      </c>
      <c r="H1057">
        <v>162897</v>
      </c>
      <c r="I1057">
        <v>140300</v>
      </c>
    </row>
    <row r="1058" spans="1:9" x14ac:dyDescent="0.3">
      <c r="A1058" t="s">
        <v>1090</v>
      </c>
      <c r="B1058">
        <v>45809</v>
      </c>
      <c r="C1058" t="s">
        <v>31</v>
      </c>
      <c r="D1058" t="s">
        <v>11</v>
      </c>
      <c r="E1058" t="s">
        <v>17</v>
      </c>
      <c r="F1058" t="s">
        <v>56</v>
      </c>
      <c r="G1058" t="s">
        <v>19</v>
      </c>
      <c r="H1058">
        <v>96820</v>
      </c>
      <c r="I1058">
        <v>93300</v>
      </c>
    </row>
    <row r="1059" spans="1:9" x14ac:dyDescent="0.3">
      <c r="A1059" t="s">
        <v>1091</v>
      </c>
      <c r="B1059">
        <v>45809</v>
      </c>
      <c r="C1059" t="s">
        <v>31</v>
      </c>
      <c r="D1059" t="s">
        <v>11</v>
      </c>
      <c r="E1059" t="s">
        <v>17</v>
      </c>
      <c r="F1059" t="s">
        <v>12</v>
      </c>
      <c r="G1059" t="s">
        <v>14</v>
      </c>
      <c r="H1059">
        <v>29114</v>
      </c>
      <c r="I1059">
        <v>26500</v>
      </c>
    </row>
    <row r="1060" spans="1:9" x14ac:dyDescent="0.3">
      <c r="A1060" t="s">
        <v>1092</v>
      </c>
      <c r="B1060">
        <v>45810</v>
      </c>
      <c r="C1060" t="s">
        <v>62</v>
      </c>
      <c r="D1060" t="s">
        <v>11</v>
      </c>
      <c r="E1060" t="s">
        <v>22</v>
      </c>
      <c r="F1060" t="s">
        <v>46</v>
      </c>
      <c r="G1060" t="s">
        <v>19</v>
      </c>
      <c r="H1060">
        <v>39098</v>
      </c>
      <c r="I1060">
        <v>36300</v>
      </c>
    </row>
    <row r="1061" spans="1:9" x14ac:dyDescent="0.3">
      <c r="A1061" t="s">
        <v>1093</v>
      </c>
      <c r="B1061">
        <v>45810</v>
      </c>
      <c r="C1061" t="s">
        <v>10</v>
      </c>
      <c r="D1061" t="s">
        <v>11</v>
      </c>
      <c r="E1061" t="s">
        <v>12</v>
      </c>
      <c r="F1061" t="s">
        <v>33</v>
      </c>
      <c r="G1061" t="s">
        <v>19</v>
      </c>
      <c r="H1061">
        <v>52027</v>
      </c>
      <c r="I1061">
        <v>60100</v>
      </c>
    </row>
    <row r="1062" spans="1:9" x14ac:dyDescent="0.3">
      <c r="A1062" t="s">
        <v>1094</v>
      </c>
      <c r="B1062">
        <v>45810</v>
      </c>
      <c r="C1062" t="s">
        <v>36</v>
      </c>
      <c r="D1062" t="s">
        <v>11</v>
      </c>
      <c r="E1062" t="s">
        <v>37</v>
      </c>
      <c r="F1062" t="s">
        <v>12</v>
      </c>
      <c r="G1062" t="s">
        <v>14</v>
      </c>
      <c r="H1062">
        <v>135470</v>
      </c>
      <c r="I1062">
        <v>139800</v>
      </c>
    </row>
    <row r="1063" spans="1:9" x14ac:dyDescent="0.3">
      <c r="A1063" t="s">
        <v>1095</v>
      </c>
      <c r="B1063">
        <v>45810</v>
      </c>
      <c r="C1063" t="s">
        <v>55</v>
      </c>
      <c r="D1063" t="s">
        <v>11</v>
      </c>
      <c r="E1063" t="s">
        <v>37</v>
      </c>
      <c r="F1063" t="s">
        <v>56</v>
      </c>
      <c r="G1063" t="s">
        <v>19</v>
      </c>
      <c r="H1063">
        <v>77331</v>
      </c>
      <c r="I1063">
        <v>70000</v>
      </c>
    </row>
    <row r="1064" spans="1:9" x14ac:dyDescent="0.3">
      <c r="A1064" t="s">
        <v>1096</v>
      </c>
      <c r="B1064">
        <v>45811</v>
      </c>
      <c r="C1064" t="s">
        <v>62</v>
      </c>
      <c r="D1064" t="s">
        <v>11</v>
      </c>
      <c r="E1064" t="s">
        <v>22</v>
      </c>
      <c r="F1064" t="s">
        <v>59</v>
      </c>
      <c r="G1064" t="s">
        <v>14</v>
      </c>
      <c r="H1064">
        <v>172724</v>
      </c>
      <c r="I1064">
        <v>167100</v>
      </c>
    </row>
    <row r="1065" spans="1:9" x14ac:dyDescent="0.3">
      <c r="A1065" t="s">
        <v>1097</v>
      </c>
      <c r="B1065">
        <v>45811</v>
      </c>
      <c r="C1065" t="s">
        <v>36</v>
      </c>
      <c r="D1065" t="s">
        <v>11</v>
      </c>
      <c r="E1065" t="s">
        <v>37</v>
      </c>
      <c r="F1065" t="s">
        <v>39</v>
      </c>
      <c r="G1065" t="s">
        <v>19</v>
      </c>
      <c r="H1065">
        <v>70879</v>
      </c>
      <c r="I1065">
        <v>71100</v>
      </c>
    </row>
    <row r="1066" spans="1:9" x14ac:dyDescent="0.3">
      <c r="A1066" t="s">
        <v>1098</v>
      </c>
      <c r="B1066">
        <v>45811</v>
      </c>
      <c r="C1066" t="s">
        <v>21</v>
      </c>
      <c r="D1066" t="s">
        <v>11</v>
      </c>
      <c r="E1066" t="s">
        <v>22</v>
      </c>
      <c r="F1066" t="s">
        <v>26</v>
      </c>
      <c r="G1066" t="s">
        <v>14</v>
      </c>
      <c r="H1066">
        <v>230862</v>
      </c>
      <c r="I1066">
        <v>239500</v>
      </c>
    </row>
    <row r="1067" spans="1:9" x14ac:dyDescent="0.3">
      <c r="A1067" t="s">
        <v>1099</v>
      </c>
      <c r="B1067">
        <v>45811</v>
      </c>
      <c r="C1067" t="s">
        <v>25</v>
      </c>
      <c r="D1067" t="s">
        <v>11</v>
      </c>
      <c r="E1067" t="s">
        <v>22</v>
      </c>
      <c r="F1067" t="s">
        <v>46</v>
      </c>
      <c r="G1067" t="s">
        <v>19</v>
      </c>
      <c r="H1067">
        <v>44947</v>
      </c>
      <c r="I1067">
        <v>42300</v>
      </c>
    </row>
    <row r="1068" spans="1:9" x14ac:dyDescent="0.3">
      <c r="A1068" t="s">
        <v>1100</v>
      </c>
      <c r="B1068">
        <v>45811</v>
      </c>
      <c r="C1068" t="s">
        <v>25</v>
      </c>
      <c r="D1068" t="s">
        <v>11</v>
      </c>
      <c r="E1068" t="s">
        <v>22</v>
      </c>
      <c r="F1068" t="s">
        <v>56</v>
      </c>
      <c r="G1068" t="s">
        <v>19</v>
      </c>
      <c r="H1068">
        <v>104899</v>
      </c>
      <c r="I1068">
        <v>95400</v>
      </c>
    </row>
    <row r="1069" spans="1:9" x14ac:dyDescent="0.3">
      <c r="A1069" t="s">
        <v>1101</v>
      </c>
      <c r="B1069">
        <v>45811</v>
      </c>
      <c r="C1069" t="s">
        <v>31</v>
      </c>
      <c r="D1069" t="s">
        <v>11</v>
      </c>
      <c r="E1069" t="s">
        <v>17</v>
      </c>
      <c r="F1069" t="s">
        <v>46</v>
      </c>
      <c r="G1069" t="s">
        <v>19</v>
      </c>
      <c r="H1069">
        <v>36024</v>
      </c>
      <c r="I1069">
        <v>28200</v>
      </c>
    </row>
    <row r="1070" spans="1:9" x14ac:dyDescent="0.3">
      <c r="A1070" t="s">
        <v>1102</v>
      </c>
      <c r="B1070">
        <v>45811</v>
      </c>
      <c r="C1070" t="s">
        <v>31</v>
      </c>
      <c r="D1070" t="s">
        <v>11</v>
      </c>
      <c r="E1070" t="s">
        <v>17</v>
      </c>
      <c r="F1070" t="s">
        <v>46</v>
      </c>
      <c r="G1070" t="s">
        <v>19</v>
      </c>
      <c r="H1070">
        <v>65721</v>
      </c>
      <c r="I1070">
        <v>54300</v>
      </c>
    </row>
    <row r="1071" spans="1:9" x14ac:dyDescent="0.3">
      <c r="A1071" t="s">
        <v>1103</v>
      </c>
      <c r="B1071">
        <v>45812</v>
      </c>
      <c r="C1071" t="s">
        <v>62</v>
      </c>
      <c r="D1071" t="s">
        <v>11</v>
      </c>
      <c r="E1071" t="s">
        <v>22</v>
      </c>
      <c r="F1071" t="s">
        <v>42</v>
      </c>
      <c r="G1071" t="s">
        <v>19</v>
      </c>
      <c r="H1071">
        <v>61359</v>
      </c>
      <c r="I1071">
        <v>49500</v>
      </c>
    </row>
    <row r="1072" spans="1:9" x14ac:dyDescent="0.3">
      <c r="A1072" t="s">
        <v>1104</v>
      </c>
      <c r="B1072">
        <v>45812</v>
      </c>
      <c r="C1072" t="s">
        <v>16</v>
      </c>
      <c r="D1072" t="s">
        <v>11</v>
      </c>
      <c r="E1072" t="s">
        <v>17</v>
      </c>
      <c r="F1072" t="s">
        <v>59</v>
      </c>
      <c r="G1072" t="s">
        <v>14</v>
      </c>
      <c r="H1072">
        <v>154701</v>
      </c>
      <c r="I1072">
        <v>162800</v>
      </c>
    </row>
    <row r="1073" spans="1:9" x14ac:dyDescent="0.3">
      <c r="A1073" t="s">
        <v>1105</v>
      </c>
      <c r="B1073">
        <v>45812</v>
      </c>
      <c r="C1073" t="s">
        <v>21</v>
      </c>
      <c r="D1073" t="s">
        <v>11</v>
      </c>
      <c r="E1073" t="s">
        <v>22</v>
      </c>
      <c r="F1073" t="s">
        <v>56</v>
      </c>
      <c r="G1073" t="s">
        <v>19</v>
      </c>
      <c r="H1073">
        <v>64888</v>
      </c>
      <c r="I1073">
        <v>54700</v>
      </c>
    </row>
    <row r="1074" spans="1:9" x14ac:dyDescent="0.3">
      <c r="A1074" t="s">
        <v>1106</v>
      </c>
      <c r="B1074">
        <v>45812</v>
      </c>
      <c r="C1074" t="s">
        <v>25</v>
      </c>
      <c r="D1074" t="s">
        <v>11</v>
      </c>
      <c r="E1074" t="s">
        <v>22</v>
      </c>
      <c r="F1074" t="s">
        <v>46</v>
      </c>
      <c r="G1074" t="s">
        <v>19</v>
      </c>
      <c r="H1074">
        <v>17964</v>
      </c>
      <c r="I1074">
        <v>20200</v>
      </c>
    </row>
    <row r="1075" spans="1:9" x14ac:dyDescent="0.3">
      <c r="A1075" t="s">
        <v>1107</v>
      </c>
      <c r="B1075">
        <v>45812</v>
      </c>
      <c r="C1075" t="s">
        <v>31</v>
      </c>
      <c r="D1075" t="s">
        <v>11</v>
      </c>
      <c r="E1075" t="s">
        <v>17</v>
      </c>
      <c r="F1075" t="s">
        <v>33</v>
      </c>
      <c r="G1075" t="s">
        <v>19</v>
      </c>
      <c r="H1075">
        <v>80569</v>
      </c>
      <c r="I1075">
        <v>86000</v>
      </c>
    </row>
    <row r="1076" spans="1:9" x14ac:dyDescent="0.3">
      <c r="A1076" t="s">
        <v>1108</v>
      </c>
      <c r="B1076">
        <v>45813</v>
      </c>
      <c r="C1076" t="s">
        <v>16</v>
      </c>
      <c r="D1076" t="s">
        <v>11</v>
      </c>
      <c r="E1076" t="s">
        <v>17</v>
      </c>
      <c r="F1076" t="s">
        <v>23</v>
      </c>
      <c r="G1076" t="s">
        <v>14</v>
      </c>
      <c r="H1076">
        <v>171192</v>
      </c>
      <c r="I1076">
        <v>148600</v>
      </c>
    </row>
    <row r="1077" spans="1:9" x14ac:dyDescent="0.3">
      <c r="A1077" t="s">
        <v>1109</v>
      </c>
      <c r="B1077">
        <v>45813</v>
      </c>
      <c r="C1077" t="s">
        <v>36</v>
      </c>
      <c r="D1077" t="s">
        <v>11</v>
      </c>
      <c r="E1077" t="s">
        <v>37</v>
      </c>
      <c r="F1077" t="s">
        <v>42</v>
      </c>
      <c r="G1077" t="s">
        <v>19</v>
      </c>
      <c r="H1077">
        <v>95903</v>
      </c>
      <c r="I1077">
        <v>78600</v>
      </c>
    </row>
    <row r="1078" spans="1:9" x14ac:dyDescent="0.3">
      <c r="A1078" t="s">
        <v>1110</v>
      </c>
      <c r="B1078">
        <v>45814</v>
      </c>
      <c r="C1078" t="s">
        <v>62</v>
      </c>
      <c r="D1078" t="s">
        <v>11</v>
      </c>
      <c r="E1078" t="s">
        <v>22</v>
      </c>
      <c r="F1078" t="s">
        <v>13</v>
      </c>
      <c r="G1078" t="s">
        <v>14</v>
      </c>
      <c r="H1078">
        <v>229743</v>
      </c>
      <c r="I1078">
        <v>249500</v>
      </c>
    </row>
    <row r="1079" spans="1:9" x14ac:dyDescent="0.3">
      <c r="A1079" t="s">
        <v>1111</v>
      </c>
      <c r="B1079">
        <v>45814</v>
      </c>
      <c r="C1079" t="s">
        <v>16</v>
      </c>
      <c r="D1079" t="s">
        <v>11</v>
      </c>
      <c r="E1079" t="s">
        <v>17</v>
      </c>
      <c r="F1079" t="s">
        <v>46</v>
      </c>
      <c r="G1079" t="s">
        <v>19</v>
      </c>
      <c r="H1079">
        <v>61273</v>
      </c>
      <c r="I1079">
        <v>72900</v>
      </c>
    </row>
    <row r="1080" spans="1:9" x14ac:dyDescent="0.3">
      <c r="A1080" t="s">
        <v>1112</v>
      </c>
      <c r="B1080">
        <v>45814</v>
      </c>
      <c r="C1080" t="s">
        <v>36</v>
      </c>
      <c r="D1080" t="s">
        <v>11</v>
      </c>
      <c r="E1080" t="s">
        <v>37</v>
      </c>
      <c r="F1080" t="s">
        <v>56</v>
      </c>
      <c r="G1080" t="s">
        <v>19</v>
      </c>
      <c r="H1080">
        <v>54377</v>
      </c>
      <c r="I1080">
        <v>62200</v>
      </c>
    </row>
    <row r="1081" spans="1:9" x14ac:dyDescent="0.3">
      <c r="A1081" t="s">
        <v>1113</v>
      </c>
      <c r="B1081">
        <v>45814</v>
      </c>
      <c r="C1081" t="s">
        <v>21</v>
      </c>
      <c r="D1081" t="s">
        <v>11</v>
      </c>
      <c r="E1081" t="s">
        <v>22</v>
      </c>
      <c r="F1081" t="s">
        <v>59</v>
      </c>
      <c r="G1081" t="s">
        <v>14</v>
      </c>
      <c r="H1081">
        <v>25580</v>
      </c>
      <c r="I1081">
        <v>24500</v>
      </c>
    </row>
    <row r="1082" spans="1:9" x14ac:dyDescent="0.3">
      <c r="A1082" t="s">
        <v>1114</v>
      </c>
      <c r="B1082">
        <v>45814</v>
      </c>
      <c r="C1082" t="s">
        <v>21</v>
      </c>
      <c r="D1082" t="s">
        <v>11</v>
      </c>
      <c r="E1082" t="s">
        <v>22</v>
      </c>
      <c r="F1082" t="s">
        <v>12</v>
      </c>
      <c r="G1082" t="s">
        <v>14</v>
      </c>
      <c r="H1082">
        <v>204427</v>
      </c>
      <c r="I1082">
        <v>196200</v>
      </c>
    </row>
    <row r="1083" spans="1:9" x14ac:dyDescent="0.3">
      <c r="A1083" t="s">
        <v>1115</v>
      </c>
      <c r="B1083">
        <v>45814</v>
      </c>
      <c r="C1083" t="s">
        <v>31</v>
      </c>
      <c r="D1083" t="s">
        <v>11</v>
      </c>
      <c r="E1083" t="s">
        <v>17</v>
      </c>
      <c r="F1083" t="s">
        <v>12</v>
      </c>
      <c r="G1083" t="s">
        <v>14</v>
      </c>
      <c r="H1083">
        <v>155244</v>
      </c>
      <c r="I1083">
        <v>151500</v>
      </c>
    </row>
    <row r="1084" spans="1:9" x14ac:dyDescent="0.3">
      <c r="A1084" t="s">
        <v>1116</v>
      </c>
      <c r="B1084">
        <v>45814</v>
      </c>
      <c r="C1084" t="s">
        <v>31</v>
      </c>
      <c r="D1084" t="s">
        <v>11</v>
      </c>
      <c r="E1084" t="s">
        <v>17</v>
      </c>
      <c r="F1084" t="s">
        <v>37</v>
      </c>
      <c r="G1084" t="s">
        <v>14</v>
      </c>
      <c r="H1084">
        <v>160236</v>
      </c>
      <c r="I1084">
        <v>162900</v>
      </c>
    </row>
    <row r="1085" spans="1:9" x14ac:dyDescent="0.3">
      <c r="A1085" t="s">
        <v>1117</v>
      </c>
      <c r="B1085">
        <v>45814</v>
      </c>
      <c r="C1085" t="s">
        <v>55</v>
      </c>
      <c r="D1085" t="s">
        <v>11</v>
      </c>
      <c r="E1085" t="s">
        <v>37</v>
      </c>
      <c r="F1085" t="s">
        <v>33</v>
      </c>
      <c r="G1085" t="s">
        <v>19</v>
      </c>
      <c r="H1085">
        <v>24191</v>
      </c>
      <c r="I1085">
        <v>24900</v>
      </c>
    </row>
    <row r="1086" spans="1:9" x14ac:dyDescent="0.3">
      <c r="A1086" t="s">
        <v>1118</v>
      </c>
      <c r="B1086">
        <v>45815</v>
      </c>
      <c r="C1086" t="s">
        <v>62</v>
      </c>
      <c r="D1086" t="s">
        <v>11</v>
      </c>
      <c r="E1086" t="s">
        <v>22</v>
      </c>
      <c r="F1086" t="s">
        <v>23</v>
      </c>
      <c r="G1086" t="s">
        <v>14</v>
      </c>
      <c r="H1086">
        <v>77142</v>
      </c>
      <c r="I1086">
        <v>73700</v>
      </c>
    </row>
    <row r="1087" spans="1:9" x14ac:dyDescent="0.3">
      <c r="A1087" t="s">
        <v>1119</v>
      </c>
      <c r="B1087">
        <v>45815</v>
      </c>
      <c r="C1087" t="s">
        <v>16</v>
      </c>
      <c r="D1087" t="s">
        <v>11</v>
      </c>
      <c r="E1087" t="s">
        <v>17</v>
      </c>
      <c r="F1087" t="s">
        <v>26</v>
      </c>
      <c r="G1087" t="s">
        <v>14</v>
      </c>
      <c r="H1087">
        <v>212650</v>
      </c>
      <c r="I1087">
        <v>197400</v>
      </c>
    </row>
    <row r="1088" spans="1:9" x14ac:dyDescent="0.3">
      <c r="A1088" t="s">
        <v>1120</v>
      </c>
      <c r="B1088">
        <v>45815</v>
      </c>
      <c r="C1088" t="s">
        <v>21</v>
      </c>
      <c r="D1088" t="s">
        <v>11</v>
      </c>
      <c r="E1088" t="s">
        <v>22</v>
      </c>
      <c r="F1088" t="s">
        <v>13</v>
      </c>
      <c r="G1088" t="s">
        <v>14</v>
      </c>
      <c r="H1088">
        <v>79501</v>
      </c>
      <c r="I1088">
        <v>74300</v>
      </c>
    </row>
    <row r="1089" spans="1:9" x14ac:dyDescent="0.3">
      <c r="A1089" t="s">
        <v>1121</v>
      </c>
      <c r="B1089">
        <v>45815</v>
      </c>
      <c r="C1089" t="s">
        <v>21</v>
      </c>
      <c r="D1089" t="s">
        <v>11</v>
      </c>
      <c r="E1089" t="s">
        <v>22</v>
      </c>
      <c r="F1089" t="s">
        <v>37</v>
      </c>
      <c r="G1089" t="s">
        <v>14</v>
      </c>
      <c r="H1089">
        <v>193908</v>
      </c>
      <c r="I1089">
        <v>224600</v>
      </c>
    </row>
    <row r="1090" spans="1:9" x14ac:dyDescent="0.3">
      <c r="A1090" t="s">
        <v>1122</v>
      </c>
      <c r="B1090">
        <v>45815</v>
      </c>
      <c r="C1090" t="s">
        <v>25</v>
      </c>
      <c r="D1090" t="s">
        <v>11</v>
      </c>
      <c r="E1090" t="s">
        <v>22</v>
      </c>
      <c r="F1090" t="s">
        <v>13</v>
      </c>
      <c r="G1090" t="s">
        <v>14</v>
      </c>
      <c r="H1090">
        <v>27965</v>
      </c>
      <c r="I1090">
        <v>31700</v>
      </c>
    </row>
    <row r="1091" spans="1:9" x14ac:dyDescent="0.3">
      <c r="A1091" t="s">
        <v>1123</v>
      </c>
      <c r="B1091">
        <v>45815</v>
      </c>
      <c r="C1091" t="s">
        <v>55</v>
      </c>
      <c r="D1091" t="s">
        <v>11</v>
      </c>
      <c r="E1091" t="s">
        <v>37</v>
      </c>
      <c r="F1091" t="s">
        <v>39</v>
      </c>
      <c r="G1091" t="s">
        <v>19</v>
      </c>
      <c r="H1091">
        <v>102695</v>
      </c>
      <c r="I1091">
        <v>101200</v>
      </c>
    </row>
    <row r="1092" spans="1:9" x14ac:dyDescent="0.3">
      <c r="A1092" t="s">
        <v>1124</v>
      </c>
      <c r="B1092">
        <v>45816</v>
      </c>
      <c r="C1092" t="s">
        <v>62</v>
      </c>
      <c r="D1092" t="s">
        <v>11</v>
      </c>
      <c r="E1092" t="s">
        <v>22</v>
      </c>
      <c r="F1092" t="s">
        <v>37</v>
      </c>
      <c r="G1092" t="s">
        <v>14</v>
      </c>
      <c r="H1092">
        <v>53118</v>
      </c>
      <c r="I1092">
        <v>52400</v>
      </c>
    </row>
    <row r="1093" spans="1:9" x14ac:dyDescent="0.3">
      <c r="A1093" t="s">
        <v>1125</v>
      </c>
      <c r="B1093">
        <v>45816</v>
      </c>
      <c r="C1093" t="s">
        <v>21</v>
      </c>
      <c r="D1093" t="s">
        <v>11</v>
      </c>
      <c r="E1093" t="s">
        <v>22</v>
      </c>
      <c r="F1093" t="s">
        <v>56</v>
      </c>
      <c r="G1093" t="s">
        <v>19</v>
      </c>
      <c r="H1093">
        <v>117064</v>
      </c>
      <c r="I1093">
        <v>112300</v>
      </c>
    </row>
    <row r="1094" spans="1:9" x14ac:dyDescent="0.3">
      <c r="A1094" t="s">
        <v>1126</v>
      </c>
      <c r="B1094">
        <v>45816</v>
      </c>
      <c r="C1094" t="s">
        <v>25</v>
      </c>
      <c r="D1094" t="s">
        <v>11</v>
      </c>
      <c r="E1094" t="s">
        <v>22</v>
      </c>
      <c r="F1094" t="s">
        <v>18</v>
      </c>
      <c r="G1094" t="s">
        <v>19</v>
      </c>
      <c r="H1094">
        <v>38977</v>
      </c>
      <c r="I1094">
        <v>41800</v>
      </c>
    </row>
    <row r="1095" spans="1:9" x14ac:dyDescent="0.3">
      <c r="A1095" t="s">
        <v>1127</v>
      </c>
      <c r="B1095">
        <v>45816</v>
      </c>
      <c r="C1095" t="s">
        <v>25</v>
      </c>
      <c r="D1095" t="s">
        <v>11</v>
      </c>
      <c r="E1095" t="s">
        <v>22</v>
      </c>
      <c r="F1095" t="s">
        <v>26</v>
      </c>
      <c r="G1095" t="s">
        <v>14</v>
      </c>
      <c r="H1095">
        <v>85486</v>
      </c>
      <c r="I1095">
        <v>79200</v>
      </c>
    </row>
    <row r="1096" spans="1:9" x14ac:dyDescent="0.3">
      <c r="A1096" t="s">
        <v>1128</v>
      </c>
      <c r="B1096">
        <v>45816</v>
      </c>
      <c r="C1096" t="s">
        <v>25</v>
      </c>
      <c r="D1096" t="s">
        <v>11</v>
      </c>
      <c r="E1096" t="s">
        <v>22</v>
      </c>
      <c r="F1096" t="s">
        <v>37</v>
      </c>
      <c r="G1096" t="s">
        <v>14</v>
      </c>
      <c r="H1096">
        <v>172405</v>
      </c>
      <c r="I1096">
        <v>176700</v>
      </c>
    </row>
    <row r="1097" spans="1:9" x14ac:dyDescent="0.3">
      <c r="A1097" t="s">
        <v>1129</v>
      </c>
      <c r="B1097">
        <v>45816</v>
      </c>
      <c r="C1097" t="s">
        <v>31</v>
      </c>
      <c r="D1097" t="s">
        <v>11</v>
      </c>
      <c r="E1097" t="s">
        <v>17</v>
      </c>
      <c r="F1097" t="s">
        <v>23</v>
      </c>
      <c r="G1097" t="s">
        <v>14</v>
      </c>
      <c r="H1097">
        <v>215317</v>
      </c>
      <c r="I1097">
        <v>202000</v>
      </c>
    </row>
    <row r="1098" spans="1:9" x14ac:dyDescent="0.3">
      <c r="A1098" t="s">
        <v>1130</v>
      </c>
      <c r="B1098">
        <v>45816</v>
      </c>
      <c r="C1098" t="s">
        <v>31</v>
      </c>
      <c r="D1098" t="s">
        <v>11</v>
      </c>
      <c r="E1098" t="s">
        <v>17</v>
      </c>
      <c r="F1098" t="s">
        <v>13</v>
      </c>
      <c r="G1098" t="s">
        <v>14</v>
      </c>
      <c r="H1098">
        <v>147437</v>
      </c>
      <c r="I1098">
        <v>131500</v>
      </c>
    </row>
    <row r="1099" spans="1:9" x14ac:dyDescent="0.3">
      <c r="A1099" t="s">
        <v>1131</v>
      </c>
      <c r="B1099">
        <v>45817</v>
      </c>
      <c r="C1099" t="s">
        <v>62</v>
      </c>
      <c r="D1099" t="s">
        <v>11</v>
      </c>
      <c r="E1099" t="s">
        <v>22</v>
      </c>
      <c r="F1099" t="s">
        <v>56</v>
      </c>
      <c r="G1099" t="s">
        <v>19</v>
      </c>
      <c r="H1099">
        <v>87876</v>
      </c>
      <c r="I1099">
        <v>81800</v>
      </c>
    </row>
    <row r="1100" spans="1:9" x14ac:dyDescent="0.3">
      <c r="A1100" t="s">
        <v>1132</v>
      </c>
      <c r="B1100">
        <v>45817</v>
      </c>
      <c r="C1100" t="s">
        <v>62</v>
      </c>
      <c r="D1100" t="s">
        <v>11</v>
      </c>
      <c r="E1100" t="s">
        <v>22</v>
      </c>
      <c r="F1100" t="s">
        <v>13</v>
      </c>
      <c r="G1100" t="s">
        <v>14</v>
      </c>
      <c r="H1100">
        <v>154824</v>
      </c>
      <c r="I1100">
        <v>165300</v>
      </c>
    </row>
    <row r="1101" spans="1:9" x14ac:dyDescent="0.3">
      <c r="A1101" t="s">
        <v>1133</v>
      </c>
      <c r="B1101">
        <v>45817</v>
      </c>
      <c r="C1101" t="s">
        <v>10</v>
      </c>
      <c r="D1101" t="s">
        <v>11</v>
      </c>
      <c r="E1101" t="s">
        <v>12</v>
      </c>
      <c r="F1101" t="s">
        <v>42</v>
      </c>
      <c r="G1101" t="s">
        <v>19</v>
      </c>
      <c r="H1101">
        <v>102655</v>
      </c>
      <c r="I1101">
        <v>96500</v>
      </c>
    </row>
    <row r="1102" spans="1:9" x14ac:dyDescent="0.3">
      <c r="A1102" t="s">
        <v>1134</v>
      </c>
      <c r="B1102">
        <v>45817</v>
      </c>
      <c r="C1102" t="s">
        <v>16</v>
      </c>
      <c r="D1102" t="s">
        <v>11</v>
      </c>
      <c r="E1102" t="s">
        <v>17</v>
      </c>
      <c r="F1102" t="s">
        <v>37</v>
      </c>
      <c r="G1102" t="s">
        <v>14</v>
      </c>
      <c r="H1102">
        <v>40719</v>
      </c>
      <c r="I1102">
        <v>39200</v>
      </c>
    </row>
    <row r="1103" spans="1:9" x14ac:dyDescent="0.3">
      <c r="A1103" t="s">
        <v>1135</v>
      </c>
      <c r="B1103">
        <v>45817</v>
      </c>
      <c r="C1103" t="s">
        <v>21</v>
      </c>
      <c r="D1103" t="s">
        <v>11</v>
      </c>
      <c r="E1103" t="s">
        <v>22</v>
      </c>
      <c r="F1103" t="s">
        <v>37</v>
      </c>
      <c r="G1103" t="s">
        <v>14</v>
      </c>
      <c r="H1103">
        <v>247159</v>
      </c>
      <c r="I1103">
        <v>237200</v>
      </c>
    </row>
    <row r="1104" spans="1:9" x14ac:dyDescent="0.3">
      <c r="A1104" t="s">
        <v>1136</v>
      </c>
      <c r="B1104">
        <v>45817</v>
      </c>
      <c r="C1104" t="s">
        <v>31</v>
      </c>
      <c r="D1104" t="s">
        <v>11</v>
      </c>
      <c r="E1104" t="s">
        <v>17</v>
      </c>
      <c r="F1104" t="s">
        <v>18</v>
      </c>
      <c r="G1104" t="s">
        <v>19</v>
      </c>
      <c r="H1104">
        <v>15864</v>
      </c>
      <c r="I1104">
        <v>14700</v>
      </c>
    </row>
    <row r="1105" spans="1:9" x14ac:dyDescent="0.3">
      <c r="A1105" t="s">
        <v>1137</v>
      </c>
      <c r="B1105">
        <v>45817</v>
      </c>
      <c r="C1105" t="s">
        <v>31</v>
      </c>
      <c r="D1105" t="s">
        <v>11</v>
      </c>
      <c r="E1105" t="s">
        <v>17</v>
      </c>
      <c r="F1105" t="s">
        <v>59</v>
      </c>
      <c r="G1105" t="s">
        <v>14</v>
      </c>
      <c r="H1105">
        <v>111299</v>
      </c>
      <c r="I1105">
        <v>99400</v>
      </c>
    </row>
    <row r="1106" spans="1:9" x14ac:dyDescent="0.3">
      <c r="A1106" t="s">
        <v>1138</v>
      </c>
      <c r="B1106">
        <v>45817</v>
      </c>
      <c r="C1106" t="s">
        <v>55</v>
      </c>
      <c r="D1106" t="s">
        <v>11</v>
      </c>
      <c r="E1106" t="s">
        <v>37</v>
      </c>
      <c r="F1106" t="s">
        <v>39</v>
      </c>
      <c r="G1106" t="s">
        <v>19</v>
      </c>
      <c r="H1106">
        <v>56334</v>
      </c>
      <c r="I1106">
        <v>59700</v>
      </c>
    </row>
    <row r="1107" spans="1:9" x14ac:dyDescent="0.3">
      <c r="A1107" t="s">
        <v>1139</v>
      </c>
      <c r="B1107">
        <v>45818</v>
      </c>
      <c r="C1107" t="s">
        <v>62</v>
      </c>
      <c r="D1107" t="s">
        <v>11</v>
      </c>
      <c r="E1107" t="s">
        <v>22</v>
      </c>
      <c r="F1107" t="s">
        <v>13</v>
      </c>
      <c r="G1107" t="s">
        <v>14</v>
      </c>
      <c r="H1107">
        <v>125827</v>
      </c>
      <c r="I1107">
        <v>145400</v>
      </c>
    </row>
    <row r="1108" spans="1:9" x14ac:dyDescent="0.3">
      <c r="A1108" t="s">
        <v>1140</v>
      </c>
      <c r="B1108">
        <v>45818</v>
      </c>
      <c r="C1108" t="s">
        <v>36</v>
      </c>
      <c r="D1108" t="s">
        <v>11</v>
      </c>
      <c r="E1108" t="s">
        <v>37</v>
      </c>
      <c r="F1108" t="s">
        <v>59</v>
      </c>
      <c r="G1108" t="s">
        <v>14</v>
      </c>
      <c r="H1108">
        <v>195984</v>
      </c>
      <c r="I1108">
        <v>187300</v>
      </c>
    </row>
    <row r="1109" spans="1:9" x14ac:dyDescent="0.3">
      <c r="A1109" t="s">
        <v>1141</v>
      </c>
      <c r="B1109">
        <v>45818</v>
      </c>
      <c r="C1109" t="s">
        <v>21</v>
      </c>
      <c r="D1109" t="s">
        <v>11</v>
      </c>
      <c r="E1109" t="s">
        <v>22</v>
      </c>
      <c r="F1109" t="s">
        <v>18</v>
      </c>
      <c r="G1109" t="s">
        <v>19</v>
      </c>
      <c r="H1109">
        <v>36933</v>
      </c>
      <c r="I1109">
        <v>37200</v>
      </c>
    </row>
    <row r="1110" spans="1:9" x14ac:dyDescent="0.3">
      <c r="A1110" t="s">
        <v>1142</v>
      </c>
      <c r="B1110">
        <v>45818</v>
      </c>
      <c r="C1110" t="s">
        <v>21</v>
      </c>
      <c r="D1110" t="s">
        <v>11</v>
      </c>
      <c r="E1110" t="s">
        <v>22</v>
      </c>
      <c r="F1110" t="s">
        <v>26</v>
      </c>
      <c r="G1110" t="s">
        <v>14</v>
      </c>
      <c r="H1110">
        <v>121611</v>
      </c>
      <c r="I1110">
        <v>117800</v>
      </c>
    </row>
    <row r="1111" spans="1:9" x14ac:dyDescent="0.3">
      <c r="A1111" t="s">
        <v>1143</v>
      </c>
      <c r="B1111">
        <v>45818</v>
      </c>
      <c r="C1111" t="s">
        <v>21</v>
      </c>
      <c r="D1111" t="s">
        <v>11</v>
      </c>
      <c r="E1111" t="s">
        <v>22</v>
      </c>
      <c r="F1111" t="s">
        <v>59</v>
      </c>
      <c r="G1111" t="s">
        <v>14</v>
      </c>
      <c r="H1111">
        <v>71180</v>
      </c>
      <c r="I1111">
        <v>65300</v>
      </c>
    </row>
    <row r="1112" spans="1:9" x14ac:dyDescent="0.3">
      <c r="A1112" t="s">
        <v>1144</v>
      </c>
      <c r="B1112">
        <v>45818</v>
      </c>
      <c r="C1112" t="s">
        <v>25</v>
      </c>
      <c r="D1112" t="s">
        <v>11</v>
      </c>
      <c r="E1112" t="s">
        <v>22</v>
      </c>
      <c r="F1112" t="s">
        <v>12</v>
      </c>
      <c r="G1112" t="s">
        <v>14</v>
      </c>
      <c r="H1112">
        <v>68387</v>
      </c>
      <c r="I1112">
        <v>74700</v>
      </c>
    </row>
    <row r="1113" spans="1:9" x14ac:dyDescent="0.3">
      <c r="A1113" t="s">
        <v>1145</v>
      </c>
      <c r="B1113">
        <v>45818</v>
      </c>
      <c r="C1113" t="s">
        <v>31</v>
      </c>
      <c r="D1113" t="s">
        <v>11</v>
      </c>
      <c r="E1113" t="s">
        <v>17</v>
      </c>
      <c r="F1113" t="s">
        <v>39</v>
      </c>
      <c r="G1113" t="s">
        <v>19</v>
      </c>
      <c r="H1113">
        <v>15829</v>
      </c>
      <c r="I1113">
        <v>15600</v>
      </c>
    </row>
    <row r="1114" spans="1:9" x14ac:dyDescent="0.3">
      <c r="A1114" t="s">
        <v>1146</v>
      </c>
      <c r="B1114">
        <v>45818</v>
      </c>
      <c r="C1114" t="s">
        <v>55</v>
      </c>
      <c r="D1114" t="s">
        <v>11</v>
      </c>
      <c r="E1114" t="s">
        <v>37</v>
      </c>
      <c r="F1114" t="s">
        <v>56</v>
      </c>
      <c r="G1114" t="s">
        <v>19</v>
      </c>
      <c r="H1114">
        <v>24641</v>
      </c>
      <c r="I1114">
        <v>23700</v>
      </c>
    </row>
    <row r="1115" spans="1:9" x14ac:dyDescent="0.3">
      <c r="A1115" t="s">
        <v>1147</v>
      </c>
      <c r="B1115">
        <v>45818</v>
      </c>
      <c r="C1115" t="s">
        <v>55</v>
      </c>
      <c r="D1115" t="s">
        <v>11</v>
      </c>
      <c r="E1115" t="s">
        <v>37</v>
      </c>
      <c r="F1115" t="s">
        <v>39</v>
      </c>
      <c r="G1115" t="s">
        <v>19</v>
      </c>
      <c r="H1115">
        <v>85187</v>
      </c>
      <c r="I1115">
        <v>98800</v>
      </c>
    </row>
    <row r="1116" spans="1:9" x14ac:dyDescent="0.3">
      <c r="A1116" t="s">
        <v>1148</v>
      </c>
      <c r="B1116">
        <v>45818</v>
      </c>
      <c r="C1116" t="s">
        <v>55</v>
      </c>
      <c r="D1116" t="s">
        <v>11</v>
      </c>
      <c r="E1116" t="s">
        <v>37</v>
      </c>
      <c r="F1116" t="s">
        <v>13</v>
      </c>
      <c r="G1116" t="s">
        <v>14</v>
      </c>
      <c r="H1116">
        <v>116975</v>
      </c>
      <c r="I1116">
        <v>123300</v>
      </c>
    </row>
    <row r="1117" spans="1:9" x14ac:dyDescent="0.3">
      <c r="A1117" t="s">
        <v>1149</v>
      </c>
      <c r="B1117">
        <v>45818</v>
      </c>
      <c r="C1117" t="s">
        <v>55</v>
      </c>
      <c r="D1117" t="s">
        <v>11</v>
      </c>
      <c r="E1117" t="s">
        <v>37</v>
      </c>
      <c r="F1117" t="s">
        <v>23</v>
      </c>
      <c r="G1117" t="s">
        <v>14</v>
      </c>
      <c r="H1117">
        <v>128932</v>
      </c>
      <c r="I1117">
        <v>128200</v>
      </c>
    </row>
    <row r="1118" spans="1:9" x14ac:dyDescent="0.3">
      <c r="A1118" t="s">
        <v>1150</v>
      </c>
      <c r="B1118">
        <v>45819</v>
      </c>
      <c r="C1118" t="s">
        <v>62</v>
      </c>
      <c r="D1118" t="s">
        <v>11</v>
      </c>
      <c r="E1118" t="s">
        <v>22</v>
      </c>
      <c r="F1118" t="s">
        <v>56</v>
      </c>
      <c r="G1118" t="s">
        <v>19</v>
      </c>
      <c r="H1118">
        <v>55091</v>
      </c>
      <c r="I1118">
        <v>43500</v>
      </c>
    </row>
    <row r="1119" spans="1:9" x14ac:dyDescent="0.3">
      <c r="A1119" t="s">
        <v>1151</v>
      </c>
      <c r="B1119">
        <v>45819</v>
      </c>
      <c r="C1119" t="s">
        <v>16</v>
      </c>
      <c r="D1119" t="s">
        <v>11</v>
      </c>
      <c r="E1119" t="s">
        <v>17</v>
      </c>
      <c r="F1119" t="s">
        <v>13</v>
      </c>
      <c r="G1119" t="s">
        <v>14</v>
      </c>
      <c r="H1119">
        <v>77434</v>
      </c>
      <c r="I1119">
        <v>84100</v>
      </c>
    </row>
    <row r="1120" spans="1:9" x14ac:dyDescent="0.3">
      <c r="A1120" t="s">
        <v>1152</v>
      </c>
      <c r="B1120">
        <v>45819</v>
      </c>
      <c r="C1120" t="s">
        <v>16</v>
      </c>
      <c r="D1120" t="s">
        <v>11</v>
      </c>
      <c r="E1120" t="s">
        <v>17</v>
      </c>
      <c r="F1120" t="s">
        <v>13</v>
      </c>
      <c r="G1120" t="s">
        <v>14</v>
      </c>
      <c r="H1120">
        <v>29323</v>
      </c>
      <c r="I1120">
        <v>31200</v>
      </c>
    </row>
    <row r="1121" spans="1:9" x14ac:dyDescent="0.3">
      <c r="A1121" t="s">
        <v>1153</v>
      </c>
      <c r="B1121">
        <v>45819</v>
      </c>
      <c r="C1121" t="s">
        <v>31</v>
      </c>
      <c r="D1121" t="s">
        <v>11</v>
      </c>
      <c r="E1121" t="s">
        <v>17</v>
      </c>
      <c r="F1121" t="s">
        <v>39</v>
      </c>
      <c r="G1121" t="s">
        <v>19</v>
      </c>
      <c r="H1121">
        <v>81070</v>
      </c>
      <c r="I1121">
        <v>95100</v>
      </c>
    </row>
    <row r="1122" spans="1:9" x14ac:dyDescent="0.3">
      <c r="A1122" t="s">
        <v>1154</v>
      </c>
      <c r="B1122">
        <v>45820</v>
      </c>
      <c r="C1122" t="s">
        <v>62</v>
      </c>
      <c r="D1122" t="s">
        <v>11</v>
      </c>
      <c r="E1122" t="s">
        <v>22</v>
      </c>
      <c r="F1122" t="s">
        <v>42</v>
      </c>
      <c r="G1122" t="s">
        <v>19</v>
      </c>
      <c r="H1122">
        <v>90576</v>
      </c>
      <c r="I1122">
        <v>86300</v>
      </c>
    </row>
    <row r="1123" spans="1:9" x14ac:dyDescent="0.3">
      <c r="A1123" t="s">
        <v>1155</v>
      </c>
      <c r="B1123">
        <v>45820</v>
      </c>
      <c r="C1123" t="s">
        <v>62</v>
      </c>
      <c r="D1123" t="s">
        <v>11</v>
      </c>
      <c r="E1123" t="s">
        <v>22</v>
      </c>
      <c r="F1123" t="s">
        <v>56</v>
      </c>
      <c r="G1123" t="s">
        <v>19</v>
      </c>
      <c r="H1123">
        <v>107450</v>
      </c>
      <c r="I1123">
        <v>114500</v>
      </c>
    </row>
    <row r="1124" spans="1:9" x14ac:dyDescent="0.3">
      <c r="A1124" t="s">
        <v>1156</v>
      </c>
      <c r="B1124">
        <v>45820</v>
      </c>
      <c r="C1124" t="s">
        <v>10</v>
      </c>
      <c r="D1124" t="s">
        <v>11</v>
      </c>
      <c r="E1124" t="s">
        <v>12</v>
      </c>
      <c r="F1124" t="s">
        <v>56</v>
      </c>
      <c r="G1124" t="s">
        <v>19</v>
      </c>
      <c r="H1124">
        <v>99177</v>
      </c>
      <c r="I1124">
        <v>101000</v>
      </c>
    </row>
    <row r="1125" spans="1:9" x14ac:dyDescent="0.3">
      <c r="A1125" t="s">
        <v>1157</v>
      </c>
      <c r="B1125">
        <v>45820</v>
      </c>
      <c r="C1125" t="s">
        <v>10</v>
      </c>
      <c r="D1125" t="s">
        <v>11</v>
      </c>
      <c r="E1125" t="s">
        <v>12</v>
      </c>
      <c r="F1125" t="s">
        <v>39</v>
      </c>
      <c r="G1125" t="s">
        <v>19</v>
      </c>
      <c r="H1125">
        <v>14483</v>
      </c>
      <c r="I1125">
        <v>13400</v>
      </c>
    </row>
    <row r="1126" spans="1:9" x14ac:dyDescent="0.3">
      <c r="A1126" t="s">
        <v>1158</v>
      </c>
      <c r="B1126">
        <v>45820</v>
      </c>
      <c r="C1126" t="s">
        <v>10</v>
      </c>
      <c r="D1126" t="s">
        <v>11</v>
      </c>
      <c r="E1126" t="s">
        <v>12</v>
      </c>
      <c r="F1126" t="s">
        <v>59</v>
      </c>
      <c r="G1126" t="s">
        <v>14</v>
      </c>
      <c r="H1126">
        <v>85991</v>
      </c>
      <c r="I1126">
        <v>87900</v>
      </c>
    </row>
    <row r="1127" spans="1:9" x14ac:dyDescent="0.3">
      <c r="A1127" t="s">
        <v>1159</v>
      </c>
      <c r="B1127">
        <v>45820</v>
      </c>
      <c r="C1127" t="s">
        <v>10</v>
      </c>
      <c r="D1127" t="s">
        <v>11</v>
      </c>
      <c r="E1127" t="s">
        <v>12</v>
      </c>
      <c r="F1127" t="s">
        <v>12</v>
      </c>
      <c r="G1127" t="s">
        <v>14</v>
      </c>
      <c r="H1127">
        <v>236398</v>
      </c>
      <c r="I1127">
        <v>240300</v>
      </c>
    </row>
    <row r="1128" spans="1:9" x14ac:dyDescent="0.3">
      <c r="A1128" t="s">
        <v>1160</v>
      </c>
      <c r="B1128">
        <v>45820</v>
      </c>
      <c r="C1128" t="s">
        <v>16</v>
      </c>
      <c r="D1128" t="s">
        <v>11</v>
      </c>
      <c r="E1128" t="s">
        <v>17</v>
      </c>
      <c r="F1128" t="s">
        <v>46</v>
      </c>
      <c r="G1128" t="s">
        <v>19</v>
      </c>
      <c r="H1128">
        <v>28912</v>
      </c>
      <c r="I1128">
        <v>27500</v>
      </c>
    </row>
    <row r="1129" spans="1:9" x14ac:dyDescent="0.3">
      <c r="A1129" t="s">
        <v>1161</v>
      </c>
      <c r="B1129">
        <v>45820</v>
      </c>
      <c r="C1129" t="s">
        <v>36</v>
      </c>
      <c r="D1129" t="s">
        <v>11</v>
      </c>
      <c r="E1129" t="s">
        <v>37</v>
      </c>
      <c r="F1129" t="s">
        <v>33</v>
      </c>
      <c r="G1129" t="s">
        <v>19</v>
      </c>
      <c r="H1129">
        <v>52758</v>
      </c>
      <c r="I1129">
        <v>58600</v>
      </c>
    </row>
    <row r="1130" spans="1:9" x14ac:dyDescent="0.3">
      <c r="A1130" t="s">
        <v>1162</v>
      </c>
      <c r="B1130">
        <v>45820</v>
      </c>
      <c r="C1130" t="s">
        <v>36</v>
      </c>
      <c r="D1130" t="s">
        <v>11</v>
      </c>
      <c r="E1130" t="s">
        <v>37</v>
      </c>
      <c r="F1130" t="s">
        <v>18</v>
      </c>
      <c r="G1130" t="s">
        <v>19</v>
      </c>
      <c r="H1130">
        <v>55222</v>
      </c>
      <c r="I1130">
        <v>52200</v>
      </c>
    </row>
    <row r="1131" spans="1:9" x14ac:dyDescent="0.3">
      <c r="A1131" t="s">
        <v>1163</v>
      </c>
      <c r="B1131">
        <v>45820</v>
      </c>
      <c r="C1131" t="s">
        <v>55</v>
      </c>
      <c r="D1131" t="s">
        <v>11</v>
      </c>
      <c r="E1131" t="s">
        <v>37</v>
      </c>
      <c r="F1131" t="s">
        <v>42</v>
      </c>
      <c r="G1131" t="s">
        <v>19</v>
      </c>
      <c r="H1131">
        <v>73822</v>
      </c>
      <c r="I1131">
        <v>71300</v>
      </c>
    </row>
    <row r="1132" spans="1:9" x14ac:dyDescent="0.3">
      <c r="A1132" t="s">
        <v>1164</v>
      </c>
      <c r="B1132">
        <v>45821</v>
      </c>
      <c r="C1132" t="s">
        <v>62</v>
      </c>
      <c r="D1132" t="s">
        <v>11</v>
      </c>
      <c r="E1132" t="s">
        <v>22</v>
      </c>
      <c r="F1132" t="s">
        <v>56</v>
      </c>
      <c r="G1132" t="s">
        <v>19</v>
      </c>
      <c r="H1132">
        <v>61441</v>
      </c>
      <c r="I1132">
        <v>70800</v>
      </c>
    </row>
    <row r="1133" spans="1:9" x14ac:dyDescent="0.3">
      <c r="A1133" t="s">
        <v>1165</v>
      </c>
      <c r="B1133">
        <v>45821</v>
      </c>
      <c r="C1133" t="s">
        <v>62</v>
      </c>
      <c r="D1133" t="s">
        <v>11</v>
      </c>
      <c r="E1133" t="s">
        <v>22</v>
      </c>
      <c r="F1133" t="s">
        <v>13</v>
      </c>
      <c r="G1133" t="s">
        <v>14</v>
      </c>
      <c r="H1133">
        <v>246895</v>
      </c>
      <c r="I1133">
        <v>251100</v>
      </c>
    </row>
    <row r="1134" spans="1:9" x14ac:dyDescent="0.3">
      <c r="A1134" t="s">
        <v>1166</v>
      </c>
      <c r="B1134">
        <v>45821</v>
      </c>
      <c r="C1134" t="s">
        <v>10</v>
      </c>
      <c r="D1134" t="s">
        <v>11</v>
      </c>
      <c r="E1134" t="s">
        <v>12</v>
      </c>
      <c r="F1134" t="s">
        <v>18</v>
      </c>
      <c r="G1134" t="s">
        <v>19</v>
      </c>
      <c r="H1134">
        <v>117887</v>
      </c>
      <c r="I1134">
        <v>130000</v>
      </c>
    </row>
    <row r="1135" spans="1:9" x14ac:dyDescent="0.3">
      <c r="A1135" t="s">
        <v>1167</v>
      </c>
      <c r="B1135">
        <v>45821</v>
      </c>
      <c r="C1135" t="s">
        <v>36</v>
      </c>
      <c r="D1135" t="s">
        <v>11</v>
      </c>
      <c r="E1135" t="s">
        <v>37</v>
      </c>
      <c r="F1135" t="s">
        <v>13</v>
      </c>
      <c r="G1135" t="s">
        <v>14</v>
      </c>
      <c r="H1135">
        <v>205421</v>
      </c>
      <c r="I1135">
        <v>226200</v>
      </c>
    </row>
    <row r="1136" spans="1:9" x14ac:dyDescent="0.3">
      <c r="A1136" t="s">
        <v>1168</v>
      </c>
      <c r="B1136">
        <v>45821</v>
      </c>
      <c r="C1136" t="s">
        <v>36</v>
      </c>
      <c r="D1136" t="s">
        <v>11</v>
      </c>
      <c r="E1136" t="s">
        <v>37</v>
      </c>
      <c r="F1136" t="s">
        <v>26</v>
      </c>
      <c r="G1136" t="s">
        <v>14</v>
      </c>
      <c r="H1136">
        <v>243446</v>
      </c>
      <c r="I1136">
        <v>253900</v>
      </c>
    </row>
    <row r="1137" spans="1:9" x14ac:dyDescent="0.3">
      <c r="A1137" t="s">
        <v>1169</v>
      </c>
      <c r="B1137">
        <v>45821</v>
      </c>
      <c r="C1137" t="s">
        <v>21</v>
      </c>
      <c r="D1137" t="s">
        <v>11</v>
      </c>
      <c r="E1137" t="s">
        <v>22</v>
      </c>
      <c r="F1137" t="s">
        <v>56</v>
      </c>
      <c r="G1137" t="s">
        <v>19</v>
      </c>
      <c r="H1137">
        <v>30778</v>
      </c>
      <c r="I1137">
        <v>29300</v>
      </c>
    </row>
    <row r="1138" spans="1:9" x14ac:dyDescent="0.3">
      <c r="A1138" t="s">
        <v>1170</v>
      </c>
      <c r="B1138">
        <v>45821</v>
      </c>
      <c r="C1138" t="s">
        <v>21</v>
      </c>
      <c r="D1138" t="s">
        <v>11</v>
      </c>
      <c r="E1138" t="s">
        <v>22</v>
      </c>
      <c r="F1138" t="s">
        <v>23</v>
      </c>
      <c r="G1138" t="s">
        <v>14</v>
      </c>
      <c r="H1138">
        <v>157965</v>
      </c>
      <c r="I1138">
        <v>146000</v>
      </c>
    </row>
    <row r="1139" spans="1:9" x14ac:dyDescent="0.3">
      <c r="A1139" t="s">
        <v>1171</v>
      </c>
      <c r="B1139">
        <v>45821</v>
      </c>
      <c r="C1139" t="s">
        <v>31</v>
      </c>
      <c r="D1139" t="s">
        <v>11</v>
      </c>
      <c r="E1139" t="s">
        <v>17</v>
      </c>
      <c r="F1139" t="s">
        <v>18</v>
      </c>
      <c r="G1139" t="s">
        <v>19</v>
      </c>
      <c r="H1139">
        <v>22916</v>
      </c>
      <c r="I1139">
        <v>24800</v>
      </c>
    </row>
    <row r="1140" spans="1:9" x14ac:dyDescent="0.3">
      <c r="A1140" t="s">
        <v>1172</v>
      </c>
      <c r="B1140">
        <v>45821</v>
      </c>
      <c r="C1140" t="s">
        <v>31</v>
      </c>
      <c r="D1140" t="s">
        <v>11</v>
      </c>
      <c r="E1140" t="s">
        <v>17</v>
      </c>
      <c r="F1140" t="s">
        <v>33</v>
      </c>
      <c r="G1140" t="s">
        <v>19</v>
      </c>
      <c r="H1140">
        <v>60248</v>
      </c>
      <c r="I1140">
        <v>57300</v>
      </c>
    </row>
    <row r="1141" spans="1:9" x14ac:dyDescent="0.3">
      <c r="A1141" t="s">
        <v>1173</v>
      </c>
      <c r="B1141">
        <v>45822</v>
      </c>
      <c r="C1141" t="s">
        <v>62</v>
      </c>
      <c r="D1141" t="s">
        <v>11</v>
      </c>
      <c r="E1141" t="s">
        <v>22</v>
      </c>
      <c r="F1141" t="s">
        <v>39</v>
      </c>
      <c r="G1141" t="s">
        <v>19</v>
      </c>
      <c r="H1141">
        <v>34718</v>
      </c>
      <c r="I1141">
        <v>35600</v>
      </c>
    </row>
    <row r="1142" spans="1:9" x14ac:dyDescent="0.3">
      <c r="A1142" t="s">
        <v>1174</v>
      </c>
      <c r="B1142">
        <v>45822</v>
      </c>
      <c r="C1142" t="s">
        <v>10</v>
      </c>
      <c r="D1142" t="s">
        <v>11</v>
      </c>
      <c r="E1142" t="s">
        <v>12</v>
      </c>
      <c r="F1142" t="s">
        <v>18</v>
      </c>
      <c r="G1142" t="s">
        <v>19</v>
      </c>
      <c r="H1142">
        <v>87262</v>
      </c>
      <c r="I1142">
        <v>88000</v>
      </c>
    </row>
    <row r="1143" spans="1:9" x14ac:dyDescent="0.3">
      <c r="A1143" t="s">
        <v>1175</v>
      </c>
      <c r="B1143">
        <v>45822</v>
      </c>
      <c r="C1143" t="s">
        <v>10</v>
      </c>
      <c r="D1143" t="s">
        <v>11</v>
      </c>
      <c r="E1143" t="s">
        <v>12</v>
      </c>
      <c r="F1143" t="s">
        <v>12</v>
      </c>
      <c r="G1143" t="s">
        <v>14</v>
      </c>
      <c r="H1143">
        <v>53545</v>
      </c>
      <c r="I1143">
        <v>56100</v>
      </c>
    </row>
    <row r="1144" spans="1:9" x14ac:dyDescent="0.3">
      <c r="A1144" t="s">
        <v>1176</v>
      </c>
      <c r="B1144">
        <v>45822</v>
      </c>
      <c r="C1144" t="s">
        <v>36</v>
      </c>
      <c r="D1144" t="s">
        <v>11</v>
      </c>
      <c r="E1144" t="s">
        <v>37</v>
      </c>
      <c r="F1144" t="s">
        <v>39</v>
      </c>
      <c r="G1144" t="s">
        <v>19</v>
      </c>
      <c r="H1144">
        <v>78743</v>
      </c>
      <c r="I1144">
        <v>95000</v>
      </c>
    </row>
    <row r="1145" spans="1:9" x14ac:dyDescent="0.3">
      <c r="A1145" t="s">
        <v>1177</v>
      </c>
      <c r="B1145">
        <v>45822</v>
      </c>
      <c r="C1145" t="s">
        <v>36</v>
      </c>
      <c r="D1145" t="s">
        <v>11</v>
      </c>
      <c r="E1145" t="s">
        <v>37</v>
      </c>
      <c r="F1145" t="s">
        <v>12</v>
      </c>
      <c r="G1145" t="s">
        <v>14</v>
      </c>
      <c r="H1145">
        <v>231828</v>
      </c>
      <c r="I1145">
        <v>238300</v>
      </c>
    </row>
    <row r="1146" spans="1:9" x14ac:dyDescent="0.3">
      <c r="A1146" t="s">
        <v>1178</v>
      </c>
      <c r="B1146">
        <v>45822</v>
      </c>
      <c r="C1146" t="s">
        <v>21</v>
      </c>
      <c r="D1146" t="s">
        <v>11</v>
      </c>
      <c r="E1146" t="s">
        <v>22</v>
      </c>
      <c r="F1146" t="s">
        <v>12</v>
      </c>
      <c r="G1146" t="s">
        <v>14</v>
      </c>
      <c r="H1146">
        <v>179347</v>
      </c>
      <c r="I1146">
        <v>197800</v>
      </c>
    </row>
    <row r="1147" spans="1:9" x14ac:dyDescent="0.3">
      <c r="A1147" t="s">
        <v>1179</v>
      </c>
      <c r="B1147">
        <v>45822</v>
      </c>
      <c r="C1147" t="s">
        <v>21</v>
      </c>
      <c r="D1147" t="s">
        <v>11</v>
      </c>
      <c r="E1147" t="s">
        <v>22</v>
      </c>
      <c r="F1147" t="s">
        <v>59</v>
      </c>
      <c r="G1147" t="s">
        <v>14</v>
      </c>
      <c r="H1147">
        <v>63674</v>
      </c>
      <c r="I1147">
        <v>62700</v>
      </c>
    </row>
    <row r="1148" spans="1:9" x14ac:dyDescent="0.3">
      <c r="A1148" t="s">
        <v>1180</v>
      </c>
      <c r="B1148">
        <v>45822</v>
      </c>
      <c r="C1148" t="s">
        <v>25</v>
      </c>
      <c r="D1148" t="s">
        <v>11</v>
      </c>
      <c r="E1148" t="s">
        <v>22</v>
      </c>
      <c r="F1148" t="s">
        <v>12</v>
      </c>
      <c r="G1148" t="s">
        <v>14</v>
      </c>
      <c r="H1148">
        <v>69129</v>
      </c>
      <c r="I1148">
        <v>69700</v>
      </c>
    </row>
    <row r="1149" spans="1:9" x14ac:dyDescent="0.3">
      <c r="A1149" t="s">
        <v>1181</v>
      </c>
      <c r="B1149">
        <v>45823</v>
      </c>
      <c r="C1149" t="s">
        <v>36</v>
      </c>
      <c r="D1149" t="s">
        <v>11</v>
      </c>
      <c r="E1149" t="s">
        <v>37</v>
      </c>
      <c r="F1149" t="s">
        <v>18</v>
      </c>
      <c r="G1149" t="s">
        <v>19</v>
      </c>
      <c r="H1149">
        <v>118310</v>
      </c>
      <c r="I1149">
        <v>111400</v>
      </c>
    </row>
    <row r="1150" spans="1:9" x14ac:dyDescent="0.3">
      <c r="A1150" t="s">
        <v>1182</v>
      </c>
      <c r="B1150">
        <v>45823</v>
      </c>
      <c r="C1150" t="s">
        <v>36</v>
      </c>
      <c r="D1150" t="s">
        <v>11</v>
      </c>
      <c r="E1150" t="s">
        <v>37</v>
      </c>
      <c r="F1150" t="s">
        <v>13</v>
      </c>
      <c r="G1150" t="s">
        <v>14</v>
      </c>
      <c r="H1150">
        <v>73207</v>
      </c>
      <c r="I1150">
        <v>69700</v>
      </c>
    </row>
    <row r="1151" spans="1:9" x14ac:dyDescent="0.3">
      <c r="A1151" t="s">
        <v>1183</v>
      </c>
      <c r="B1151">
        <v>45823</v>
      </c>
      <c r="C1151" t="s">
        <v>25</v>
      </c>
      <c r="D1151" t="s">
        <v>11</v>
      </c>
      <c r="E1151" t="s">
        <v>22</v>
      </c>
      <c r="F1151" t="s">
        <v>56</v>
      </c>
      <c r="G1151" t="s">
        <v>19</v>
      </c>
      <c r="H1151">
        <v>30682</v>
      </c>
      <c r="I1151">
        <v>30800</v>
      </c>
    </row>
    <row r="1152" spans="1:9" x14ac:dyDescent="0.3">
      <c r="A1152" t="s">
        <v>1184</v>
      </c>
      <c r="B1152">
        <v>45823</v>
      </c>
      <c r="C1152" t="s">
        <v>31</v>
      </c>
      <c r="D1152" t="s">
        <v>11</v>
      </c>
      <c r="E1152" t="s">
        <v>17</v>
      </c>
      <c r="F1152" t="s">
        <v>37</v>
      </c>
      <c r="G1152" t="s">
        <v>14</v>
      </c>
      <c r="H1152">
        <v>68959</v>
      </c>
      <c r="I1152">
        <v>73500</v>
      </c>
    </row>
    <row r="1153" spans="1:9" x14ac:dyDescent="0.3">
      <c r="A1153" t="s">
        <v>1185</v>
      </c>
      <c r="B1153">
        <v>45824</v>
      </c>
      <c r="C1153" t="s">
        <v>62</v>
      </c>
      <c r="D1153" t="s">
        <v>11</v>
      </c>
      <c r="E1153" t="s">
        <v>22</v>
      </c>
      <c r="F1153" t="s">
        <v>13</v>
      </c>
      <c r="G1153" t="s">
        <v>14</v>
      </c>
      <c r="H1153">
        <v>227609</v>
      </c>
      <c r="I1153">
        <v>231300</v>
      </c>
    </row>
    <row r="1154" spans="1:9" x14ac:dyDescent="0.3">
      <c r="A1154" t="s">
        <v>1186</v>
      </c>
      <c r="B1154">
        <v>45824</v>
      </c>
      <c r="C1154" t="s">
        <v>16</v>
      </c>
      <c r="D1154" t="s">
        <v>11</v>
      </c>
      <c r="E1154" t="s">
        <v>17</v>
      </c>
      <c r="F1154" t="s">
        <v>26</v>
      </c>
      <c r="G1154" t="s">
        <v>14</v>
      </c>
      <c r="H1154">
        <v>140339</v>
      </c>
      <c r="I1154">
        <v>112700</v>
      </c>
    </row>
    <row r="1155" spans="1:9" x14ac:dyDescent="0.3">
      <c r="A1155" t="s">
        <v>1187</v>
      </c>
      <c r="B1155">
        <v>45824</v>
      </c>
      <c r="C1155" t="s">
        <v>31</v>
      </c>
      <c r="D1155" t="s">
        <v>11</v>
      </c>
      <c r="E1155" t="s">
        <v>17</v>
      </c>
      <c r="F1155" t="s">
        <v>18</v>
      </c>
      <c r="G1155" t="s">
        <v>19</v>
      </c>
      <c r="H1155">
        <v>56187</v>
      </c>
      <c r="I1155">
        <v>62600</v>
      </c>
    </row>
    <row r="1156" spans="1:9" x14ac:dyDescent="0.3">
      <c r="A1156" t="s">
        <v>1188</v>
      </c>
      <c r="B1156">
        <v>45825</v>
      </c>
      <c r="C1156" t="s">
        <v>62</v>
      </c>
      <c r="D1156" t="s">
        <v>11</v>
      </c>
      <c r="E1156" t="s">
        <v>22</v>
      </c>
      <c r="F1156" t="s">
        <v>59</v>
      </c>
      <c r="G1156" t="s">
        <v>14</v>
      </c>
      <c r="H1156">
        <v>114252</v>
      </c>
      <c r="I1156">
        <v>112200</v>
      </c>
    </row>
    <row r="1157" spans="1:9" x14ac:dyDescent="0.3">
      <c r="A1157" t="s">
        <v>1189</v>
      </c>
      <c r="B1157">
        <v>45825</v>
      </c>
      <c r="C1157" t="s">
        <v>62</v>
      </c>
      <c r="D1157" t="s">
        <v>11</v>
      </c>
      <c r="E1157" t="s">
        <v>22</v>
      </c>
      <c r="F1157" t="s">
        <v>13</v>
      </c>
      <c r="G1157" t="s">
        <v>14</v>
      </c>
      <c r="H1157">
        <v>34749</v>
      </c>
      <c r="I1157">
        <v>31500</v>
      </c>
    </row>
    <row r="1158" spans="1:9" x14ac:dyDescent="0.3">
      <c r="A1158" t="s">
        <v>1190</v>
      </c>
      <c r="B1158">
        <v>45825</v>
      </c>
      <c r="C1158" t="s">
        <v>10</v>
      </c>
      <c r="D1158" t="s">
        <v>11</v>
      </c>
      <c r="E1158" t="s">
        <v>12</v>
      </c>
      <c r="F1158" t="s">
        <v>18</v>
      </c>
      <c r="G1158" t="s">
        <v>19</v>
      </c>
      <c r="H1158">
        <v>26338</v>
      </c>
      <c r="I1158">
        <v>26700</v>
      </c>
    </row>
    <row r="1159" spans="1:9" x14ac:dyDescent="0.3">
      <c r="A1159" t="s">
        <v>1191</v>
      </c>
      <c r="B1159">
        <v>45825</v>
      </c>
      <c r="C1159" t="s">
        <v>10</v>
      </c>
      <c r="D1159" t="s">
        <v>11</v>
      </c>
      <c r="E1159" t="s">
        <v>12</v>
      </c>
      <c r="F1159" t="s">
        <v>46</v>
      </c>
      <c r="G1159" t="s">
        <v>19</v>
      </c>
      <c r="H1159">
        <v>48252</v>
      </c>
      <c r="I1159">
        <v>49500</v>
      </c>
    </row>
    <row r="1160" spans="1:9" x14ac:dyDescent="0.3">
      <c r="A1160" t="s">
        <v>1192</v>
      </c>
      <c r="B1160">
        <v>45825</v>
      </c>
      <c r="C1160" t="s">
        <v>36</v>
      </c>
      <c r="D1160" t="s">
        <v>11</v>
      </c>
      <c r="E1160" t="s">
        <v>37</v>
      </c>
      <c r="F1160" t="s">
        <v>39</v>
      </c>
      <c r="G1160" t="s">
        <v>19</v>
      </c>
      <c r="H1160">
        <v>104279</v>
      </c>
      <c r="I1160">
        <v>109900</v>
      </c>
    </row>
    <row r="1161" spans="1:9" x14ac:dyDescent="0.3">
      <c r="A1161" t="s">
        <v>1193</v>
      </c>
      <c r="B1161">
        <v>45825</v>
      </c>
      <c r="C1161" t="s">
        <v>21</v>
      </c>
      <c r="D1161" t="s">
        <v>11</v>
      </c>
      <c r="E1161" t="s">
        <v>22</v>
      </c>
      <c r="F1161" t="s">
        <v>39</v>
      </c>
      <c r="G1161" t="s">
        <v>19</v>
      </c>
      <c r="H1161">
        <v>92049</v>
      </c>
      <c r="I1161">
        <v>80400</v>
      </c>
    </row>
    <row r="1162" spans="1:9" x14ac:dyDescent="0.3">
      <c r="A1162" t="s">
        <v>1194</v>
      </c>
      <c r="B1162">
        <v>45826</v>
      </c>
      <c r="C1162" t="s">
        <v>10</v>
      </c>
      <c r="D1162" t="s">
        <v>11</v>
      </c>
      <c r="E1162" t="s">
        <v>12</v>
      </c>
      <c r="F1162" t="s">
        <v>59</v>
      </c>
      <c r="G1162" t="s">
        <v>14</v>
      </c>
      <c r="H1162">
        <v>160717</v>
      </c>
      <c r="I1162">
        <v>147800</v>
      </c>
    </row>
    <row r="1163" spans="1:9" x14ac:dyDescent="0.3">
      <c r="A1163" t="s">
        <v>1195</v>
      </c>
      <c r="B1163">
        <v>45826</v>
      </c>
      <c r="C1163" t="s">
        <v>36</v>
      </c>
      <c r="D1163" t="s">
        <v>11</v>
      </c>
      <c r="E1163" t="s">
        <v>37</v>
      </c>
      <c r="F1163" t="s">
        <v>42</v>
      </c>
      <c r="G1163" t="s">
        <v>19</v>
      </c>
      <c r="H1163">
        <v>21732</v>
      </c>
      <c r="I1163">
        <v>20900</v>
      </c>
    </row>
    <row r="1164" spans="1:9" x14ac:dyDescent="0.3">
      <c r="A1164" t="s">
        <v>1196</v>
      </c>
      <c r="B1164">
        <v>45826</v>
      </c>
      <c r="C1164" t="s">
        <v>25</v>
      </c>
      <c r="D1164" t="s">
        <v>11</v>
      </c>
      <c r="E1164" t="s">
        <v>22</v>
      </c>
      <c r="F1164" t="s">
        <v>42</v>
      </c>
      <c r="G1164" t="s">
        <v>19</v>
      </c>
      <c r="H1164">
        <v>15675</v>
      </c>
      <c r="I1164">
        <v>15000</v>
      </c>
    </row>
    <row r="1165" spans="1:9" x14ac:dyDescent="0.3">
      <c r="A1165" t="s">
        <v>1197</v>
      </c>
      <c r="B1165">
        <v>45826</v>
      </c>
      <c r="C1165" t="s">
        <v>31</v>
      </c>
      <c r="D1165" t="s">
        <v>11</v>
      </c>
      <c r="E1165" t="s">
        <v>17</v>
      </c>
      <c r="F1165" t="s">
        <v>26</v>
      </c>
      <c r="G1165" t="s">
        <v>14</v>
      </c>
      <c r="H1165">
        <v>185928</v>
      </c>
      <c r="I1165">
        <v>177300</v>
      </c>
    </row>
    <row r="1166" spans="1:9" x14ac:dyDescent="0.3">
      <c r="A1166" t="s">
        <v>1198</v>
      </c>
      <c r="B1166">
        <v>45826</v>
      </c>
      <c r="C1166" t="s">
        <v>55</v>
      </c>
      <c r="D1166" t="s">
        <v>11</v>
      </c>
      <c r="E1166" t="s">
        <v>37</v>
      </c>
      <c r="F1166" t="s">
        <v>37</v>
      </c>
      <c r="G1166" t="s">
        <v>14</v>
      </c>
      <c r="H1166">
        <v>180123</v>
      </c>
      <c r="I1166">
        <v>181000</v>
      </c>
    </row>
    <row r="1167" spans="1:9" x14ac:dyDescent="0.3">
      <c r="A1167" t="s">
        <v>1199</v>
      </c>
      <c r="B1167">
        <v>45827</v>
      </c>
      <c r="C1167" t="s">
        <v>10</v>
      </c>
      <c r="D1167" t="s">
        <v>11</v>
      </c>
      <c r="E1167" t="s">
        <v>12</v>
      </c>
      <c r="F1167" t="s">
        <v>46</v>
      </c>
      <c r="G1167" t="s">
        <v>19</v>
      </c>
      <c r="H1167">
        <v>65668</v>
      </c>
      <c r="I1167">
        <v>58300</v>
      </c>
    </row>
    <row r="1168" spans="1:9" x14ac:dyDescent="0.3">
      <c r="A1168" t="s">
        <v>1200</v>
      </c>
      <c r="B1168">
        <v>45827</v>
      </c>
      <c r="C1168" t="s">
        <v>36</v>
      </c>
      <c r="D1168" t="s">
        <v>11</v>
      </c>
      <c r="E1168" t="s">
        <v>37</v>
      </c>
      <c r="F1168" t="s">
        <v>39</v>
      </c>
      <c r="G1168" t="s">
        <v>19</v>
      </c>
      <c r="H1168">
        <v>118010</v>
      </c>
      <c r="I1168">
        <v>100600</v>
      </c>
    </row>
    <row r="1169" spans="1:9" x14ac:dyDescent="0.3">
      <c r="A1169" t="s">
        <v>1201</v>
      </c>
      <c r="B1169">
        <v>45827</v>
      </c>
      <c r="C1169" t="s">
        <v>36</v>
      </c>
      <c r="D1169" t="s">
        <v>11</v>
      </c>
      <c r="E1169" t="s">
        <v>37</v>
      </c>
      <c r="F1169" t="s">
        <v>37</v>
      </c>
      <c r="G1169" t="s">
        <v>14</v>
      </c>
      <c r="H1169">
        <v>188767</v>
      </c>
      <c r="I1169">
        <v>213000</v>
      </c>
    </row>
    <row r="1170" spans="1:9" x14ac:dyDescent="0.3">
      <c r="A1170" t="s">
        <v>1202</v>
      </c>
      <c r="B1170">
        <v>45827</v>
      </c>
      <c r="C1170" t="s">
        <v>21</v>
      </c>
      <c r="D1170" t="s">
        <v>11</v>
      </c>
      <c r="E1170" t="s">
        <v>22</v>
      </c>
      <c r="F1170" t="s">
        <v>56</v>
      </c>
      <c r="G1170" t="s">
        <v>19</v>
      </c>
      <c r="H1170">
        <v>16817</v>
      </c>
      <c r="I1170">
        <v>16900</v>
      </c>
    </row>
    <row r="1171" spans="1:9" x14ac:dyDescent="0.3">
      <c r="A1171" t="s">
        <v>1203</v>
      </c>
      <c r="B1171">
        <v>45827</v>
      </c>
      <c r="C1171" t="s">
        <v>25</v>
      </c>
      <c r="D1171" t="s">
        <v>11</v>
      </c>
      <c r="E1171" t="s">
        <v>22</v>
      </c>
      <c r="F1171" t="s">
        <v>33</v>
      </c>
      <c r="G1171" t="s">
        <v>19</v>
      </c>
      <c r="H1171">
        <v>104258</v>
      </c>
      <c r="I1171">
        <v>107000</v>
      </c>
    </row>
    <row r="1172" spans="1:9" x14ac:dyDescent="0.3">
      <c r="A1172" t="s">
        <v>1204</v>
      </c>
      <c r="B1172">
        <v>45827</v>
      </c>
      <c r="C1172" t="s">
        <v>25</v>
      </c>
      <c r="D1172" t="s">
        <v>11</v>
      </c>
      <c r="E1172" t="s">
        <v>22</v>
      </c>
      <c r="F1172" t="s">
        <v>56</v>
      </c>
      <c r="G1172" t="s">
        <v>19</v>
      </c>
      <c r="H1172">
        <v>45965</v>
      </c>
      <c r="I1172">
        <v>45700</v>
      </c>
    </row>
    <row r="1173" spans="1:9" x14ac:dyDescent="0.3">
      <c r="A1173" t="s">
        <v>1205</v>
      </c>
      <c r="B1173">
        <v>45827</v>
      </c>
      <c r="C1173" t="s">
        <v>25</v>
      </c>
      <c r="D1173" t="s">
        <v>11</v>
      </c>
      <c r="E1173" t="s">
        <v>22</v>
      </c>
      <c r="F1173" t="s">
        <v>33</v>
      </c>
      <c r="G1173" t="s">
        <v>19</v>
      </c>
      <c r="H1173">
        <v>67607</v>
      </c>
      <c r="I1173">
        <v>63200</v>
      </c>
    </row>
    <row r="1174" spans="1:9" x14ac:dyDescent="0.3">
      <c r="A1174" t="s">
        <v>1206</v>
      </c>
      <c r="B1174">
        <v>45827</v>
      </c>
      <c r="C1174" t="s">
        <v>25</v>
      </c>
      <c r="D1174" t="s">
        <v>11</v>
      </c>
      <c r="E1174" t="s">
        <v>22</v>
      </c>
      <c r="F1174" t="s">
        <v>37</v>
      </c>
      <c r="G1174" t="s">
        <v>14</v>
      </c>
      <c r="H1174">
        <v>202812</v>
      </c>
      <c r="I1174">
        <v>232700</v>
      </c>
    </row>
    <row r="1175" spans="1:9" x14ac:dyDescent="0.3">
      <c r="A1175" t="s">
        <v>1207</v>
      </c>
      <c r="B1175">
        <v>45827</v>
      </c>
      <c r="C1175" t="s">
        <v>31</v>
      </c>
      <c r="D1175" t="s">
        <v>11</v>
      </c>
      <c r="E1175" t="s">
        <v>17</v>
      </c>
      <c r="F1175" t="s">
        <v>46</v>
      </c>
      <c r="G1175" t="s">
        <v>19</v>
      </c>
      <c r="H1175">
        <v>34891</v>
      </c>
      <c r="I1175">
        <v>36300</v>
      </c>
    </row>
    <row r="1176" spans="1:9" x14ac:dyDescent="0.3">
      <c r="A1176" t="s">
        <v>1208</v>
      </c>
      <c r="B1176">
        <v>45828</v>
      </c>
      <c r="C1176" t="s">
        <v>62</v>
      </c>
      <c r="D1176" t="s">
        <v>11</v>
      </c>
      <c r="E1176" t="s">
        <v>22</v>
      </c>
      <c r="F1176" t="s">
        <v>26</v>
      </c>
      <c r="G1176" t="s">
        <v>14</v>
      </c>
      <c r="H1176">
        <v>203327</v>
      </c>
      <c r="I1176">
        <v>211100</v>
      </c>
    </row>
    <row r="1177" spans="1:9" x14ac:dyDescent="0.3">
      <c r="A1177" t="s">
        <v>1209</v>
      </c>
      <c r="B1177">
        <v>45828</v>
      </c>
      <c r="C1177" t="s">
        <v>10</v>
      </c>
      <c r="D1177" t="s">
        <v>11</v>
      </c>
      <c r="E1177" t="s">
        <v>12</v>
      </c>
      <c r="F1177" t="s">
        <v>39</v>
      </c>
      <c r="G1177" t="s">
        <v>19</v>
      </c>
      <c r="H1177">
        <v>114657</v>
      </c>
      <c r="I1177">
        <v>106200</v>
      </c>
    </row>
    <row r="1178" spans="1:9" x14ac:dyDescent="0.3">
      <c r="A1178" t="s">
        <v>1210</v>
      </c>
      <c r="B1178">
        <v>45828</v>
      </c>
      <c r="C1178" t="s">
        <v>16</v>
      </c>
      <c r="D1178" t="s">
        <v>11</v>
      </c>
      <c r="E1178" t="s">
        <v>17</v>
      </c>
      <c r="F1178" t="s">
        <v>18</v>
      </c>
      <c r="G1178" t="s">
        <v>19</v>
      </c>
      <c r="H1178">
        <v>49117</v>
      </c>
      <c r="I1178">
        <v>42800</v>
      </c>
    </row>
    <row r="1179" spans="1:9" x14ac:dyDescent="0.3">
      <c r="A1179" t="s">
        <v>1211</v>
      </c>
      <c r="B1179">
        <v>45828</v>
      </c>
      <c r="C1179" t="s">
        <v>21</v>
      </c>
      <c r="D1179" t="s">
        <v>11</v>
      </c>
      <c r="E1179" t="s">
        <v>22</v>
      </c>
      <c r="F1179" t="s">
        <v>42</v>
      </c>
      <c r="G1179" t="s">
        <v>19</v>
      </c>
      <c r="H1179">
        <v>67264</v>
      </c>
      <c r="I1179">
        <v>76800</v>
      </c>
    </row>
    <row r="1180" spans="1:9" x14ac:dyDescent="0.3">
      <c r="A1180" t="s">
        <v>1212</v>
      </c>
      <c r="B1180">
        <v>45828</v>
      </c>
      <c r="C1180" t="s">
        <v>21</v>
      </c>
      <c r="D1180" t="s">
        <v>11</v>
      </c>
      <c r="E1180" t="s">
        <v>22</v>
      </c>
      <c r="F1180" t="s">
        <v>59</v>
      </c>
      <c r="G1180" t="s">
        <v>14</v>
      </c>
      <c r="H1180">
        <v>60241</v>
      </c>
      <c r="I1180">
        <v>66300</v>
      </c>
    </row>
    <row r="1181" spans="1:9" x14ac:dyDescent="0.3">
      <c r="A1181" t="s">
        <v>1213</v>
      </c>
      <c r="B1181">
        <v>45828</v>
      </c>
      <c r="C1181" t="s">
        <v>25</v>
      </c>
      <c r="D1181" t="s">
        <v>11</v>
      </c>
      <c r="E1181" t="s">
        <v>22</v>
      </c>
      <c r="F1181" t="s">
        <v>42</v>
      </c>
      <c r="G1181" t="s">
        <v>19</v>
      </c>
      <c r="H1181">
        <v>67023</v>
      </c>
      <c r="I1181">
        <v>56900</v>
      </c>
    </row>
    <row r="1182" spans="1:9" x14ac:dyDescent="0.3">
      <c r="A1182" t="s">
        <v>1214</v>
      </c>
      <c r="B1182">
        <v>45828</v>
      </c>
      <c r="C1182" t="s">
        <v>25</v>
      </c>
      <c r="D1182" t="s">
        <v>11</v>
      </c>
      <c r="E1182" t="s">
        <v>22</v>
      </c>
      <c r="F1182" t="s">
        <v>56</v>
      </c>
      <c r="G1182" t="s">
        <v>19</v>
      </c>
      <c r="H1182">
        <v>40330</v>
      </c>
      <c r="I1182">
        <v>40600</v>
      </c>
    </row>
    <row r="1183" spans="1:9" x14ac:dyDescent="0.3">
      <c r="A1183" t="s">
        <v>1215</v>
      </c>
      <c r="B1183">
        <v>45829</v>
      </c>
      <c r="C1183" t="s">
        <v>10</v>
      </c>
      <c r="D1183" t="s">
        <v>11</v>
      </c>
      <c r="E1183" t="s">
        <v>12</v>
      </c>
      <c r="F1183" t="s">
        <v>39</v>
      </c>
      <c r="G1183" t="s">
        <v>19</v>
      </c>
      <c r="H1183">
        <v>15680</v>
      </c>
      <c r="I1183">
        <v>16300</v>
      </c>
    </row>
    <row r="1184" spans="1:9" x14ac:dyDescent="0.3">
      <c r="A1184" t="s">
        <v>1216</v>
      </c>
      <c r="B1184">
        <v>45829</v>
      </c>
      <c r="C1184" t="s">
        <v>16</v>
      </c>
      <c r="D1184" t="s">
        <v>11</v>
      </c>
      <c r="E1184" t="s">
        <v>17</v>
      </c>
      <c r="F1184" t="s">
        <v>46</v>
      </c>
      <c r="G1184" t="s">
        <v>19</v>
      </c>
      <c r="H1184">
        <v>13776</v>
      </c>
      <c r="I1184">
        <v>15000</v>
      </c>
    </row>
    <row r="1185" spans="1:9" x14ac:dyDescent="0.3">
      <c r="A1185" t="s">
        <v>1217</v>
      </c>
      <c r="B1185">
        <v>45829</v>
      </c>
      <c r="C1185" t="s">
        <v>36</v>
      </c>
      <c r="D1185" t="s">
        <v>11</v>
      </c>
      <c r="E1185" t="s">
        <v>37</v>
      </c>
      <c r="F1185" t="s">
        <v>13</v>
      </c>
      <c r="G1185" t="s">
        <v>14</v>
      </c>
      <c r="H1185">
        <v>44532</v>
      </c>
      <c r="I1185">
        <v>40400</v>
      </c>
    </row>
    <row r="1186" spans="1:9" x14ac:dyDescent="0.3">
      <c r="A1186" t="s">
        <v>1218</v>
      </c>
      <c r="B1186">
        <v>45829</v>
      </c>
      <c r="C1186" t="s">
        <v>21</v>
      </c>
      <c r="D1186" t="s">
        <v>11</v>
      </c>
      <c r="E1186" t="s">
        <v>22</v>
      </c>
      <c r="F1186" t="s">
        <v>33</v>
      </c>
      <c r="G1186" t="s">
        <v>19</v>
      </c>
      <c r="H1186">
        <v>80795</v>
      </c>
      <c r="I1186">
        <v>84600</v>
      </c>
    </row>
    <row r="1187" spans="1:9" x14ac:dyDescent="0.3">
      <c r="A1187" t="s">
        <v>1219</v>
      </c>
      <c r="B1187">
        <v>45829</v>
      </c>
      <c r="C1187" t="s">
        <v>21</v>
      </c>
      <c r="D1187" t="s">
        <v>11</v>
      </c>
      <c r="E1187" t="s">
        <v>22</v>
      </c>
      <c r="F1187" t="s">
        <v>46</v>
      </c>
      <c r="G1187" t="s">
        <v>19</v>
      </c>
      <c r="H1187">
        <v>50544</v>
      </c>
      <c r="I1187">
        <v>41000</v>
      </c>
    </row>
    <row r="1188" spans="1:9" x14ac:dyDescent="0.3">
      <c r="A1188" t="s">
        <v>1220</v>
      </c>
      <c r="B1188">
        <v>45829</v>
      </c>
      <c r="C1188" t="s">
        <v>25</v>
      </c>
      <c r="D1188" t="s">
        <v>11</v>
      </c>
      <c r="E1188" t="s">
        <v>22</v>
      </c>
      <c r="F1188" t="s">
        <v>18</v>
      </c>
      <c r="G1188" t="s">
        <v>19</v>
      </c>
      <c r="H1188">
        <v>66465</v>
      </c>
      <c r="I1188">
        <v>62000</v>
      </c>
    </row>
    <row r="1189" spans="1:9" x14ac:dyDescent="0.3">
      <c r="A1189" t="s">
        <v>1221</v>
      </c>
      <c r="B1189">
        <v>45830</v>
      </c>
      <c r="C1189" t="s">
        <v>10</v>
      </c>
      <c r="D1189" t="s">
        <v>11</v>
      </c>
      <c r="E1189" t="s">
        <v>12</v>
      </c>
      <c r="F1189" t="s">
        <v>37</v>
      </c>
      <c r="G1189" t="s">
        <v>14</v>
      </c>
      <c r="H1189">
        <v>93774</v>
      </c>
      <c r="I1189">
        <v>85300</v>
      </c>
    </row>
    <row r="1190" spans="1:9" x14ac:dyDescent="0.3">
      <c r="A1190" t="s">
        <v>1222</v>
      </c>
      <c r="B1190">
        <v>45830</v>
      </c>
      <c r="C1190" t="s">
        <v>16</v>
      </c>
      <c r="D1190" t="s">
        <v>11</v>
      </c>
      <c r="E1190" t="s">
        <v>17</v>
      </c>
      <c r="F1190" t="s">
        <v>26</v>
      </c>
      <c r="G1190" t="s">
        <v>14</v>
      </c>
      <c r="H1190">
        <v>115353</v>
      </c>
      <c r="I1190">
        <v>122800</v>
      </c>
    </row>
    <row r="1191" spans="1:9" x14ac:dyDescent="0.3">
      <c r="A1191" t="s">
        <v>1223</v>
      </c>
      <c r="B1191">
        <v>45830</v>
      </c>
      <c r="C1191" t="s">
        <v>36</v>
      </c>
      <c r="D1191" t="s">
        <v>11</v>
      </c>
      <c r="E1191" t="s">
        <v>37</v>
      </c>
      <c r="F1191" t="s">
        <v>39</v>
      </c>
      <c r="G1191" t="s">
        <v>19</v>
      </c>
      <c r="H1191">
        <v>87248</v>
      </c>
      <c r="I1191">
        <v>93200</v>
      </c>
    </row>
    <row r="1192" spans="1:9" x14ac:dyDescent="0.3">
      <c r="A1192" t="s">
        <v>1224</v>
      </c>
      <c r="B1192">
        <v>45830</v>
      </c>
      <c r="C1192" t="s">
        <v>36</v>
      </c>
      <c r="D1192" t="s">
        <v>11</v>
      </c>
      <c r="E1192" t="s">
        <v>37</v>
      </c>
      <c r="F1192" t="s">
        <v>42</v>
      </c>
      <c r="G1192" t="s">
        <v>19</v>
      </c>
      <c r="H1192">
        <v>17648</v>
      </c>
      <c r="I1192">
        <v>21000</v>
      </c>
    </row>
    <row r="1193" spans="1:9" x14ac:dyDescent="0.3">
      <c r="A1193" t="s">
        <v>1225</v>
      </c>
      <c r="B1193">
        <v>45830</v>
      </c>
      <c r="C1193" t="s">
        <v>36</v>
      </c>
      <c r="D1193" t="s">
        <v>11</v>
      </c>
      <c r="E1193" t="s">
        <v>37</v>
      </c>
      <c r="F1193" t="s">
        <v>39</v>
      </c>
      <c r="G1193" t="s">
        <v>19</v>
      </c>
      <c r="H1193">
        <v>44367</v>
      </c>
      <c r="I1193">
        <v>38900</v>
      </c>
    </row>
    <row r="1194" spans="1:9" x14ac:dyDescent="0.3">
      <c r="A1194" t="s">
        <v>1226</v>
      </c>
      <c r="B1194">
        <v>45830</v>
      </c>
      <c r="C1194" t="s">
        <v>36</v>
      </c>
      <c r="D1194" t="s">
        <v>11</v>
      </c>
      <c r="E1194" t="s">
        <v>37</v>
      </c>
      <c r="F1194" t="s">
        <v>39</v>
      </c>
      <c r="G1194" t="s">
        <v>19</v>
      </c>
      <c r="H1194">
        <v>33264</v>
      </c>
      <c r="I1194">
        <v>32900</v>
      </c>
    </row>
    <row r="1195" spans="1:9" x14ac:dyDescent="0.3">
      <c r="A1195" t="s">
        <v>1227</v>
      </c>
      <c r="B1195">
        <v>45830</v>
      </c>
      <c r="C1195" t="s">
        <v>21</v>
      </c>
      <c r="D1195" t="s">
        <v>11</v>
      </c>
      <c r="E1195" t="s">
        <v>22</v>
      </c>
      <c r="F1195" t="s">
        <v>39</v>
      </c>
      <c r="G1195" t="s">
        <v>19</v>
      </c>
      <c r="H1195">
        <v>48623</v>
      </c>
      <c r="I1195">
        <v>55700</v>
      </c>
    </row>
    <row r="1196" spans="1:9" x14ac:dyDescent="0.3">
      <c r="A1196" t="s">
        <v>1228</v>
      </c>
      <c r="B1196">
        <v>45830</v>
      </c>
      <c r="C1196" t="s">
        <v>25</v>
      </c>
      <c r="D1196" t="s">
        <v>11</v>
      </c>
      <c r="E1196" t="s">
        <v>22</v>
      </c>
      <c r="F1196" t="s">
        <v>39</v>
      </c>
      <c r="G1196" t="s">
        <v>19</v>
      </c>
      <c r="H1196">
        <v>40659</v>
      </c>
      <c r="I1196">
        <v>45400</v>
      </c>
    </row>
    <row r="1197" spans="1:9" x14ac:dyDescent="0.3">
      <c r="A1197" t="s">
        <v>1229</v>
      </c>
      <c r="B1197">
        <v>45830</v>
      </c>
      <c r="C1197" t="s">
        <v>25</v>
      </c>
      <c r="D1197" t="s">
        <v>11</v>
      </c>
      <c r="E1197" t="s">
        <v>22</v>
      </c>
      <c r="F1197" t="s">
        <v>59</v>
      </c>
      <c r="G1197" t="s">
        <v>14</v>
      </c>
      <c r="H1197">
        <v>131881</v>
      </c>
      <c r="I1197">
        <v>140200</v>
      </c>
    </row>
    <row r="1198" spans="1:9" x14ac:dyDescent="0.3">
      <c r="A1198" t="s">
        <v>1230</v>
      </c>
      <c r="B1198">
        <v>45830</v>
      </c>
      <c r="C1198" t="s">
        <v>31</v>
      </c>
      <c r="D1198" t="s">
        <v>11</v>
      </c>
      <c r="E1198" t="s">
        <v>17</v>
      </c>
      <c r="F1198" t="s">
        <v>59</v>
      </c>
      <c r="G1198" t="s">
        <v>14</v>
      </c>
      <c r="H1198">
        <v>168047</v>
      </c>
      <c r="I1198">
        <v>154400</v>
      </c>
    </row>
    <row r="1199" spans="1:9" x14ac:dyDescent="0.3">
      <c r="A1199" t="s">
        <v>1231</v>
      </c>
      <c r="B1199">
        <v>45830</v>
      </c>
      <c r="C1199" t="s">
        <v>55</v>
      </c>
      <c r="D1199" t="s">
        <v>11</v>
      </c>
      <c r="E1199" t="s">
        <v>37</v>
      </c>
      <c r="F1199" t="s">
        <v>56</v>
      </c>
      <c r="G1199" t="s">
        <v>19</v>
      </c>
      <c r="H1199">
        <v>61860</v>
      </c>
      <c r="I1199">
        <v>61100</v>
      </c>
    </row>
    <row r="1200" spans="1:9" x14ac:dyDescent="0.3">
      <c r="A1200" t="s">
        <v>1232</v>
      </c>
      <c r="B1200">
        <v>45831</v>
      </c>
      <c r="C1200" t="s">
        <v>10</v>
      </c>
      <c r="D1200" t="s">
        <v>11</v>
      </c>
      <c r="E1200" t="s">
        <v>12</v>
      </c>
      <c r="F1200" t="s">
        <v>13</v>
      </c>
      <c r="G1200" t="s">
        <v>14</v>
      </c>
      <c r="H1200">
        <v>191417</v>
      </c>
      <c r="I1200">
        <v>187700</v>
      </c>
    </row>
    <row r="1201" spans="1:9" x14ac:dyDescent="0.3">
      <c r="A1201" t="s">
        <v>1233</v>
      </c>
      <c r="B1201">
        <v>45831</v>
      </c>
      <c r="C1201" t="s">
        <v>16</v>
      </c>
      <c r="D1201" t="s">
        <v>11</v>
      </c>
      <c r="E1201" t="s">
        <v>17</v>
      </c>
      <c r="F1201" t="s">
        <v>18</v>
      </c>
      <c r="G1201" t="s">
        <v>19</v>
      </c>
      <c r="H1201">
        <v>70866</v>
      </c>
      <c r="I1201">
        <v>85900</v>
      </c>
    </row>
    <row r="1202" spans="1:9" x14ac:dyDescent="0.3">
      <c r="A1202" t="s">
        <v>1234</v>
      </c>
      <c r="B1202">
        <v>45831</v>
      </c>
      <c r="C1202" t="s">
        <v>16</v>
      </c>
      <c r="D1202" t="s">
        <v>11</v>
      </c>
      <c r="E1202" t="s">
        <v>17</v>
      </c>
      <c r="F1202" t="s">
        <v>56</v>
      </c>
      <c r="G1202" t="s">
        <v>19</v>
      </c>
      <c r="H1202">
        <v>16279</v>
      </c>
      <c r="I1202">
        <v>14900</v>
      </c>
    </row>
    <row r="1203" spans="1:9" x14ac:dyDescent="0.3">
      <c r="A1203" t="s">
        <v>1235</v>
      </c>
      <c r="B1203">
        <v>45831</v>
      </c>
      <c r="C1203" t="s">
        <v>16</v>
      </c>
      <c r="D1203" t="s">
        <v>11</v>
      </c>
      <c r="E1203" t="s">
        <v>17</v>
      </c>
      <c r="F1203" t="s">
        <v>13</v>
      </c>
      <c r="G1203" t="s">
        <v>14</v>
      </c>
      <c r="H1203">
        <v>42401</v>
      </c>
      <c r="I1203">
        <v>39200</v>
      </c>
    </row>
    <row r="1204" spans="1:9" x14ac:dyDescent="0.3">
      <c r="A1204" t="s">
        <v>1236</v>
      </c>
      <c r="B1204">
        <v>45831</v>
      </c>
      <c r="C1204" t="s">
        <v>16</v>
      </c>
      <c r="D1204" t="s">
        <v>11</v>
      </c>
      <c r="E1204" t="s">
        <v>17</v>
      </c>
      <c r="F1204" t="s">
        <v>59</v>
      </c>
      <c r="G1204" t="s">
        <v>14</v>
      </c>
      <c r="H1204">
        <v>194475</v>
      </c>
      <c r="I1204">
        <v>214300</v>
      </c>
    </row>
    <row r="1205" spans="1:9" x14ac:dyDescent="0.3">
      <c r="A1205" t="s">
        <v>1237</v>
      </c>
      <c r="B1205">
        <v>45831</v>
      </c>
      <c r="C1205" t="s">
        <v>36</v>
      </c>
      <c r="D1205" t="s">
        <v>11</v>
      </c>
      <c r="E1205" t="s">
        <v>37</v>
      </c>
      <c r="F1205" t="s">
        <v>56</v>
      </c>
      <c r="G1205" t="s">
        <v>19</v>
      </c>
      <c r="H1205">
        <v>35687</v>
      </c>
      <c r="I1205">
        <v>33000</v>
      </c>
    </row>
    <row r="1206" spans="1:9" x14ac:dyDescent="0.3">
      <c r="A1206" t="s">
        <v>1238</v>
      </c>
      <c r="B1206">
        <v>45831</v>
      </c>
      <c r="C1206" t="s">
        <v>21</v>
      </c>
      <c r="D1206" t="s">
        <v>11</v>
      </c>
      <c r="E1206" t="s">
        <v>22</v>
      </c>
      <c r="F1206" t="s">
        <v>37</v>
      </c>
      <c r="G1206" t="s">
        <v>14</v>
      </c>
      <c r="H1206">
        <v>238167</v>
      </c>
      <c r="I1206">
        <v>249100</v>
      </c>
    </row>
    <row r="1207" spans="1:9" x14ac:dyDescent="0.3">
      <c r="A1207" t="s">
        <v>1239</v>
      </c>
      <c r="B1207">
        <v>45831</v>
      </c>
      <c r="C1207" t="s">
        <v>25</v>
      </c>
      <c r="D1207" t="s">
        <v>11</v>
      </c>
      <c r="E1207" t="s">
        <v>22</v>
      </c>
      <c r="F1207" t="s">
        <v>56</v>
      </c>
      <c r="G1207" t="s">
        <v>19</v>
      </c>
      <c r="H1207">
        <v>18974</v>
      </c>
      <c r="I1207">
        <v>19300</v>
      </c>
    </row>
    <row r="1208" spans="1:9" x14ac:dyDescent="0.3">
      <c r="A1208" t="s">
        <v>1240</v>
      </c>
      <c r="B1208">
        <v>45831</v>
      </c>
      <c r="C1208" t="s">
        <v>25</v>
      </c>
      <c r="D1208" t="s">
        <v>11</v>
      </c>
      <c r="E1208" t="s">
        <v>22</v>
      </c>
      <c r="F1208" t="s">
        <v>13</v>
      </c>
      <c r="G1208" t="s">
        <v>14</v>
      </c>
      <c r="H1208">
        <v>73335</v>
      </c>
      <c r="I1208">
        <v>67100</v>
      </c>
    </row>
    <row r="1209" spans="1:9" x14ac:dyDescent="0.3">
      <c r="A1209" t="s">
        <v>1241</v>
      </c>
      <c r="B1209">
        <v>45831</v>
      </c>
      <c r="C1209" t="s">
        <v>55</v>
      </c>
      <c r="D1209" t="s">
        <v>11</v>
      </c>
      <c r="E1209" t="s">
        <v>37</v>
      </c>
      <c r="F1209" t="s">
        <v>39</v>
      </c>
      <c r="G1209" t="s">
        <v>19</v>
      </c>
      <c r="H1209">
        <v>113206</v>
      </c>
      <c r="I1209">
        <v>84200</v>
      </c>
    </row>
    <row r="1210" spans="1:9" x14ac:dyDescent="0.3">
      <c r="A1210" t="s">
        <v>1242</v>
      </c>
      <c r="B1210">
        <v>45831</v>
      </c>
      <c r="C1210" t="s">
        <v>55</v>
      </c>
      <c r="D1210" t="s">
        <v>11</v>
      </c>
      <c r="E1210" t="s">
        <v>37</v>
      </c>
      <c r="F1210" t="s">
        <v>46</v>
      </c>
      <c r="G1210" t="s">
        <v>19</v>
      </c>
      <c r="H1210">
        <v>27947</v>
      </c>
      <c r="I1210">
        <v>27500</v>
      </c>
    </row>
    <row r="1211" spans="1:9" x14ac:dyDescent="0.3">
      <c r="A1211" t="s">
        <v>1243</v>
      </c>
      <c r="B1211">
        <v>45831</v>
      </c>
      <c r="C1211" t="s">
        <v>55</v>
      </c>
      <c r="D1211" t="s">
        <v>11</v>
      </c>
      <c r="E1211" t="s">
        <v>37</v>
      </c>
      <c r="F1211" t="s">
        <v>26</v>
      </c>
      <c r="G1211" t="s">
        <v>14</v>
      </c>
      <c r="H1211">
        <v>96595</v>
      </c>
      <c r="I1211">
        <v>112200</v>
      </c>
    </row>
    <row r="1212" spans="1:9" x14ac:dyDescent="0.3">
      <c r="A1212" t="s">
        <v>1244</v>
      </c>
      <c r="B1212">
        <v>45832</v>
      </c>
      <c r="C1212" t="s">
        <v>36</v>
      </c>
      <c r="D1212" t="s">
        <v>11</v>
      </c>
      <c r="E1212" t="s">
        <v>37</v>
      </c>
      <c r="F1212" t="s">
        <v>12</v>
      </c>
      <c r="G1212" t="s">
        <v>14</v>
      </c>
      <c r="H1212">
        <v>68593</v>
      </c>
      <c r="I1212">
        <v>64700</v>
      </c>
    </row>
    <row r="1213" spans="1:9" x14ac:dyDescent="0.3">
      <c r="A1213" t="s">
        <v>1245</v>
      </c>
      <c r="B1213">
        <v>45832</v>
      </c>
      <c r="C1213" t="s">
        <v>36</v>
      </c>
      <c r="D1213" t="s">
        <v>11</v>
      </c>
      <c r="E1213" t="s">
        <v>37</v>
      </c>
      <c r="F1213" t="s">
        <v>26</v>
      </c>
      <c r="G1213" t="s">
        <v>14</v>
      </c>
      <c r="H1213">
        <v>232949</v>
      </c>
      <c r="I1213">
        <v>247000</v>
      </c>
    </row>
    <row r="1214" spans="1:9" x14ac:dyDescent="0.3">
      <c r="A1214" t="s">
        <v>1246</v>
      </c>
      <c r="B1214">
        <v>45832</v>
      </c>
      <c r="C1214" t="s">
        <v>55</v>
      </c>
      <c r="D1214" t="s">
        <v>11</v>
      </c>
      <c r="E1214" t="s">
        <v>37</v>
      </c>
      <c r="F1214" t="s">
        <v>46</v>
      </c>
      <c r="G1214" t="s">
        <v>19</v>
      </c>
      <c r="H1214">
        <v>107558</v>
      </c>
      <c r="I1214">
        <v>123000</v>
      </c>
    </row>
    <row r="1215" spans="1:9" x14ac:dyDescent="0.3">
      <c r="A1215" t="s">
        <v>1247</v>
      </c>
      <c r="B1215">
        <v>45832</v>
      </c>
      <c r="C1215" t="s">
        <v>55</v>
      </c>
      <c r="D1215" t="s">
        <v>11</v>
      </c>
      <c r="E1215" t="s">
        <v>37</v>
      </c>
      <c r="F1215" t="s">
        <v>26</v>
      </c>
      <c r="G1215" t="s">
        <v>14</v>
      </c>
      <c r="H1215">
        <v>236422</v>
      </c>
      <c r="I1215">
        <v>239300</v>
      </c>
    </row>
    <row r="1216" spans="1:9" x14ac:dyDescent="0.3">
      <c r="A1216" t="s">
        <v>1248</v>
      </c>
      <c r="B1216">
        <v>45832</v>
      </c>
      <c r="C1216" t="s">
        <v>55</v>
      </c>
      <c r="D1216" t="s">
        <v>11</v>
      </c>
      <c r="E1216" t="s">
        <v>37</v>
      </c>
      <c r="F1216" t="s">
        <v>12</v>
      </c>
      <c r="G1216" t="s">
        <v>14</v>
      </c>
      <c r="H1216">
        <v>25541</v>
      </c>
      <c r="I1216">
        <v>27500</v>
      </c>
    </row>
    <row r="1217" spans="1:9" x14ac:dyDescent="0.3">
      <c r="A1217" t="s">
        <v>1249</v>
      </c>
      <c r="B1217">
        <v>45833</v>
      </c>
      <c r="C1217" t="s">
        <v>16</v>
      </c>
      <c r="D1217" t="s">
        <v>11</v>
      </c>
      <c r="E1217" t="s">
        <v>17</v>
      </c>
      <c r="F1217" t="s">
        <v>26</v>
      </c>
      <c r="G1217" t="s">
        <v>14</v>
      </c>
      <c r="H1217">
        <v>192836</v>
      </c>
      <c r="I1217">
        <v>223600</v>
      </c>
    </row>
    <row r="1218" spans="1:9" x14ac:dyDescent="0.3">
      <c r="A1218" t="s">
        <v>1250</v>
      </c>
      <c r="B1218">
        <v>45833</v>
      </c>
      <c r="C1218" t="s">
        <v>36</v>
      </c>
      <c r="D1218" t="s">
        <v>11</v>
      </c>
      <c r="E1218" t="s">
        <v>37</v>
      </c>
      <c r="F1218" t="s">
        <v>56</v>
      </c>
      <c r="G1218" t="s">
        <v>19</v>
      </c>
      <c r="H1218">
        <v>24476</v>
      </c>
      <c r="I1218">
        <v>22800</v>
      </c>
    </row>
    <row r="1219" spans="1:9" x14ac:dyDescent="0.3">
      <c r="A1219" t="s">
        <v>1251</v>
      </c>
      <c r="B1219">
        <v>45834</v>
      </c>
      <c r="C1219" t="s">
        <v>62</v>
      </c>
      <c r="D1219" t="s">
        <v>11</v>
      </c>
      <c r="E1219" t="s">
        <v>22</v>
      </c>
      <c r="F1219" t="s">
        <v>46</v>
      </c>
      <c r="G1219" t="s">
        <v>19</v>
      </c>
      <c r="H1219">
        <v>66045</v>
      </c>
      <c r="I1219">
        <v>63800</v>
      </c>
    </row>
    <row r="1220" spans="1:9" x14ac:dyDescent="0.3">
      <c r="A1220" t="s">
        <v>1252</v>
      </c>
      <c r="B1220">
        <v>45834</v>
      </c>
      <c r="C1220" t="s">
        <v>62</v>
      </c>
      <c r="D1220" t="s">
        <v>11</v>
      </c>
      <c r="E1220" t="s">
        <v>22</v>
      </c>
      <c r="F1220" t="s">
        <v>18</v>
      </c>
      <c r="G1220" t="s">
        <v>19</v>
      </c>
      <c r="H1220">
        <v>61165</v>
      </c>
      <c r="I1220">
        <v>60800</v>
      </c>
    </row>
    <row r="1221" spans="1:9" x14ac:dyDescent="0.3">
      <c r="A1221" t="s">
        <v>1253</v>
      </c>
      <c r="B1221">
        <v>45834</v>
      </c>
      <c r="C1221" t="s">
        <v>62</v>
      </c>
      <c r="D1221" t="s">
        <v>11</v>
      </c>
      <c r="E1221" t="s">
        <v>22</v>
      </c>
      <c r="F1221" t="s">
        <v>26</v>
      </c>
      <c r="G1221" t="s">
        <v>14</v>
      </c>
      <c r="H1221">
        <v>172500</v>
      </c>
      <c r="I1221">
        <v>168100</v>
      </c>
    </row>
    <row r="1222" spans="1:9" x14ac:dyDescent="0.3">
      <c r="A1222" t="s">
        <v>1254</v>
      </c>
      <c r="B1222">
        <v>45834</v>
      </c>
      <c r="C1222" t="s">
        <v>62</v>
      </c>
      <c r="D1222" t="s">
        <v>11</v>
      </c>
      <c r="E1222" t="s">
        <v>22</v>
      </c>
      <c r="F1222" t="s">
        <v>59</v>
      </c>
      <c r="G1222" t="s">
        <v>14</v>
      </c>
      <c r="H1222">
        <v>85076</v>
      </c>
      <c r="I1222">
        <v>74300</v>
      </c>
    </row>
    <row r="1223" spans="1:9" x14ac:dyDescent="0.3">
      <c r="A1223" t="s">
        <v>1255</v>
      </c>
      <c r="B1223">
        <v>45834</v>
      </c>
      <c r="C1223" t="s">
        <v>62</v>
      </c>
      <c r="D1223" t="s">
        <v>11</v>
      </c>
      <c r="E1223" t="s">
        <v>22</v>
      </c>
      <c r="F1223" t="s">
        <v>59</v>
      </c>
      <c r="G1223" t="s">
        <v>14</v>
      </c>
      <c r="H1223">
        <v>179746</v>
      </c>
      <c r="I1223">
        <v>184200</v>
      </c>
    </row>
    <row r="1224" spans="1:9" x14ac:dyDescent="0.3">
      <c r="A1224" t="s">
        <v>1256</v>
      </c>
      <c r="B1224">
        <v>45834</v>
      </c>
      <c r="C1224" t="s">
        <v>16</v>
      </c>
      <c r="D1224" t="s">
        <v>11</v>
      </c>
      <c r="E1224" t="s">
        <v>17</v>
      </c>
      <c r="F1224" t="s">
        <v>39</v>
      </c>
      <c r="G1224" t="s">
        <v>19</v>
      </c>
      <c r="H1224">
        <v>76602</v>
      </c>
      <c r="I1224">
        <v>75900</v>
      </c>
    </row>
    <row r="1225" spans="1:9" x14ac:dyDescent="0.3">
      <c r="A1225" t="s">
        <v>1257</v>
      </c>
      <c r="B1225">
        <v>45834</v>
      </c>
      <c r="C1225" t="s">
        <v>36</v>
      </c>
      <c r="D1225" t="s">
        <v>11</v>
      </c>
      <c r="E1225" t="s">
        <v>37</v>
      </c>
      <c r="F1225" t="s">
        <v>12</v>
      </c>
      <c r="G1225" t="s">
        <v>14</v>
      </c>
      <c r="H1225">
        <v>145176</v>
      </c>
      <c r="I1225">
        <v>119800</v>
      </c>
    </row>
    <row r="1226" spans="1:9" x14ac:dyDescent="0.3">
      <c r="A1226" t="s">
        <v>1258</v>
      </c>
      <c r="B1226">
        <v>45834</v>
      </c>
      <c r="C1226" t="s">
        <v>21</v>
      </c>
      <c r="D1226" t="s">
        <v>11</v>
      </c>
      <c r="E1226" t="s">
        <v>22</v>
      </c>
      <c r="F1226" t="s">
        <v>33</v>
      </c>
      <c r="G1226" t="s">
        <v>19</v>
      </c>
      <c r="H1226">
        <v>59295</v>
      </c>
      <c r="I1226">
        <v>61300</v>
      </c>
    </row>
    <row r="1227" spans="1:9" x14ac:dyDescent="0.3">
      <c r="A1227" t="s">
        <v>1259</v>
      </c>
      <c r="B1227">
        <v>45834</v>
      </c>
      <c r="C1227" t="s">
        <v>21</v>
      </c>
      <c r="D1227" t="s">
        <v>11</v>
      </c>
      <c r="E1227" t="s">
        <v>22</v>
      </c>
      <c r="F1227" t="s">
        <v>12</v>
      </c>
      <c r="G1227" t="s">
        <v>14</v>
      </c>
      <c r="H1227">
        <v>96228</v>
      </c>
      <c r="I1227">
        <v>100500</v>
      </c>
    </row>
    <row r="1228" spans="1:9" x14ac:dyDescent="0.3">
      <c r="A1228" t="s">
        <v>1260</v>
      </c>
      <c r="B1228">
        <v>45834</v>
      </c>
      <c r="C1228" t="s">
        <v>25</v>
      </c>
      <c r="D1228" t="s">
        <v>11</v>
      </c>
      <c r="E1228" t="s">
        <v>22</v>
      </c>
      <c r="F1228" t="s">
        <v>46</v>
      </c>
      <c r="G1228" t="s">
        <v>19</v>
      </c>
      <c r="H1228">
        <v>21612</v>
      </c>
      <c r="I1228">
        <v>21100</v>
      </c>
    </row>
    <row r="1229" spans="1:9" x14ac:dyDescent="0.3">
      <c r="A1229" t="s">
        <v>1261</v>
      </c>
      <c r="B1229">
        <v>45834</v>
      </c>
      <c r="C1229" t="s">
        <v>25</v>
      </c>
      <c r="D1229" t="s">
        <v>11</v>
      </c>
      <c r="E1229" t="s">
        <v>22</v>
      </c>
      <c r="F1229" t="s">
        <v>12</v>
      </c>
      <c r="G1229" t="s">
        <v>14</v>
      </c>
      <c r="H1229">
        <v>120059</v>
      </c>
      <c r="I1229">
        <v>116200</v>
      </c>
    </row>
    <row r="1230" spans="1:9" x14ac:dyDescent="0.3">
      <c r="A1230" t="s">
        <v>1262</v>
      </c>
      <c r="B1230">
        <v>45834</v>
      </c>
      <c r="C1230" t="s">
        <v>55</v>
      </c>
      <c r="D1230" t="s">
        <v>11</v>
      </c>
      <c r="E1230" t="s">
        <v>37</v>
      </c>
      <c r="F1230" t="s">
        <v>26</v>
      </c>
      <c r="G1230" t="s">
        <v>14</v>
      </c>
      <c r="H1230">
        <v>84561</v>
      </c>
      <c r="I1230">
        <v>81800</v>
      </c>
    </row>
    <row r="1231" spans="1:9" x14ac:dyDescent="0.3">
      <c r="A1231" t="s">
        <v>1263</v>
      </c>
      <c r="B1231">
        <v>45835</v>
      </c>
      <c r="C1231" t="s">
        <v>62</v>
      </c>
      <c r="D1231" t="s">
        <v>11</v>
      </c>
      <c r="E1231" t="s">
        <v>22</v>
      </c>
      <c r="F1231" t="s">
        <v>46</v>
      </c>
      <c r="G1231" t="s">
        <v>19</v>
      </c>
      <c r="H1231">
        <v>79903</v>
      </c>
      <c r="I1231">
        <v>68800</v>
      </c>
    </row>
    <row r="1232" spans="1:9" x14ac:dyDescent="0.3">
      <c r="A1232" t="s">
        <v>1264</v>
      </c>
      <c r="B1232">
        <v>45835</v>
      </c>
      <c r="C1232" t="s">
        <v>62</v>
      </c>
      <c r="D1232" t="s">
        <v>11</v>
      </c>
      <c r="E1232" t="s">
        <v>22</v>
      </c>
      <c r="F1232" t="s">
        <v>23</v>
      </c>
      <c r="G1232" t="s">
        <v>14</v>
      </c>
      <c r="H1232">
        <v>219742</v>
      </c>
      <c r="I1232">
        <v>227100</v>
      </c>
    </row>
    <row r="1233" spans="1:9" x14ac:dyDescent="0.3">
      <c r="A1233" t="s">
        <v>1265</v>
      </c>
      <c r="B1233">
        <v>45835</v>
      </c>
      <c r="C1233" t="s">
        <v>36</v>
      </c>
      <c r="D1233" t="s">
        <v>11</v>
      </c>
      <c r="E1233" t="s">
        <v>37</v>
      </c>
      <c r="F1233" t="s">
        <v>13</v>
      </c>
      <c r="G1233" t="s">
        <v>14</v>
      </c>
      <c r="H1233">
        <v>116429</v>
      </c>
      <c r="I1233">
        <v>125800</v>
      </c>
    </row>
    <row r="1234" spans="1:9" x14ac:dyDescent="0.3">
      <c r="A1234" t="s">
        <v>1266</v>
      </c>
      <c r="B1234">
        <v>45835</v>
      </c>
      <c r="C1234" t="s">
        <v>21</v>
      </c>
      <c r="D1234" t="s">
        <v>11</v>
      </c>
      <c r="E1234" t="s">
        <v>22</v>
      </c>
      <c r="F1234" t="s">
        <v>23</v>
      </c>
      <c r="G1234" t="s">
        <v>14</v>
      </c>
      <c r="H1234">
        <v>139258</v>
      </c>
      <c r="I1234">
        <v>152800</v>
      </c>
    </row>
    <row r="1235" spans="1:9" x14ac:dyDescent="0.3">
      <c r="A1235" t="s">
        <v>1267</v>
      </c>
      <c r="B1235">
        <v>45835</v>
      </c>
      <c r="C1235" t="s">
        <v>25</v>
      </c>
      <c r="D1235" t="s">
        <v>11</v>
      </c>
      <c r="E1235" t="s">
        <v>22</v>
      </c>
      <c r="F1235" t="s">
        <v>59</v>
      </c>
      <c r="G1235" t="s">
        <v>14</v>
      </c>
      <c r="H1235">
        <v>179834</v>
      </c>
      <c r="I1235">
        <v>161300</v>
      </c>
    </row>
    <row r="1236" spans="1:9" x14ac:dyDescent="0.3">
      <c r="A1236" t="s">
        <v>1268</v>
      </c>
      <c r="B1236">
        <v>45836</v>
      </c>
      <c r="C1236" t="s">
        <v>62</v>
      </c>
      <c r="D1236" t="s">
        <v>11</v>
      </c>
      <c r="E1236" t="s">
        <v>22</v>
      </c>
      <c r="F1236" t="s">
        <v>56</v>
      </c>
      <c r="G1236" t="s">
        <v>19</v>
      </c>
      <c r="H1236">
        <v>21308</v>
      </c>
      <c r="I1236">
        <v>22500</v>
      </c>
    </row>
    <row r="1237" spans="1:9" x14ac:dyDescent="0.3">
      <c r="A1237" t="s">
        <v>1269</v>
      </c>
      <c r="B1237">
        <v>45836</v>
      </c>
      <c r="C1237" t="s">
        <v>36</v>
      </c>
      <c r="D1237" t="s">
        <v>11</v>
      </c>
      <c r="E1237" t="s">
        <v>37</v>
      </c>
      <c r="F1237" t="s">
        <v>46</v>
      </c>
      <c r="G1237" t="s">
        <v>19</v>
      </c>
      <c r="H1237">
        <v>53529</v>
      </c>
      <c r="I1237">
        <v>47300</v>
      </c>
    </row>
    <row r="1238" spans="1:9" x14ac:dyDescent="0.3">
      <c r="A1238" t="s">
        <v>1270</v>
      </c>
      <c r="B1238">
        <v>45836</v>
      </c>
      <c r="C1238" t="s">
        <v>31</v>
      </c>
      <c r="D1238" t="s">
        <v>11</v>
      </c>
      <c r="E1238" t="s">
        <v>17</v>
      </c>
      <c r="F1238" t="s">
        <v>12</v>
      </c>
      <c r="G1238" t="s">
        <v>14</v>
      </c>
      <c r="H1238">
        <v>212507</v>
      </c>
      <c r="I1238">
        <v>208900</v>
      </c>
    </row>
    <row r="1239" spans="1:9" x14ac:dyDescent="0.3">
      <c r="A1239" t="s">
        <v>1271</v>
      </c>
      <c r="B1239">
        <v>45837</v>
      </c>
      <c r="C1239" t="s">
        <v>62</v>
      </c>
      <c r="D1239" t="s">
        <v>11</v>
      </c>
      <c r="E1239" t="s">
        <v>22</v>
      </c>
      <c r="F1239" t="s">
        <v>46</v>
      </c>
      <c r="G1239" t="s">
        <v>19</v>
      </c>
      <c r="H1239">
        <v>98851</v>
      </c>
      <c r="I1239">
        <v>90500</v>
      </c>
    </row>
    <row r="1240" spans="1:9" x14ac:dyDescent="0.3">
      <c r="A1240" t="s">
        <v>1272</v>
      </c>
      <c r="B1240">
        <v>45837</v>
      </c>
      <c r="C1240" t="s">
        <v>62</v>
      </c>
      <c r="D1240" t="s">
        <v>11</v>
      </c>
      <c r="E1240" t="s">
        <v>22</v>
      </c>
      <c r="F1240" t="s">
        <v>26</v>
      </c>
      <c r="G1240" t="s">
        <v>14</v>
      </c>
      <c r="H1240">
        <v>122553</v>
      </c>
      <c r="I1240">
        <v>144300</v>
      </c>
    </row>
    <row r="1241" spans="1:9" x14ac:dyDescent="0.3">
      <c r="A1241" t="s">
        <v>1273</v>
      </c>
      <c r="B1241">
        <v>45837</v>
      </c>
      <c r="C1241" t="s">
        <v>10</v>
      </c>
      <c r="D1241" t="s">
        <v>11</v>
      </c>
      <c r="E1241" t="s">
        <v>12</v>
      </c>
      <c r="F1241" t="s">
        <v>56</v>
      </c>
      <c r="G1241" t="s">
        <v>19</v>
      </c>
      <c r="H1241">
        <v>67033</v>
      </c>
      <c r="I1241">
        <v>65600</v>
      </c>
    </row>
    <row r="1242" spans="1:9" x14ac:dyDescent="0.3">
      <c r="A1242" t="s">
        <v>1274</v>
      </c>
      <c r="B1242">
        <v>45837</v>
      </c>
      <c r="C1242" t="s">
        <v>21</v>
      </c>
      <c r="D1242" t="s">
        <v>11</v>
      </c>
      <c r="E1242" t="s">
        <v>22</v>
      </c>
      <c r="F1242" t="s">
        <v>56</v>
      </c>
      <c r="G1242" t="s">
        <v>19</v>
      </c>
      <c r="H1242">
        <v>84136</v>
      </c>
      <c r="I1242">
        <v>84100</v>
      </c>
    </row>
    <row r="1243" spans="1:9" x14ac:dyDescent="0.3">
      <c r="A1243" t="s">
        <v>1275</v>
      </c>
      <c r="B1243">
        <v>45837</v>
      </c>
      <c r="C1243" t="s">
        <v>31</v>
      </c>
      <c r="D1243" t="s">
        <v>11</v>
      </c>
      <c r="E1243" t="s">
        <v>17</v>
      </c>
      <c r="F1243" t="s">
        <v>12</v>
      </c>
      <c r="G1243" t="s">
        <v>14</v>
      </c>
      <c r="H1243">
        <v>57703</v>
      </c>
      <c r="I1243">
        <v>60600</v>
      </c>
    </row>
    <row r="1244" spans="1:9" x14ac:dyDescent="0.3">
      <c r="A1244" t="s">
        <v>1276</v>
      </c>
      <c r="B1244">
        <v>45837</v>
      </c>
      <c r="C1244" t="s">
        <v>55</v>
      </c>
      <c r="D1244" t="s">
        <v>11</v>
      </c>
      <c r="E1244" t="s">
        <v>37</v>
      </c>
      <c r="F1244" t="s">
        <v>46</v>
      </c>
      <c r="G1244" t="s">
        <v>19</v>
      </c>
      <c r="H1244">
        <v>12929</v>
      </c>
      <c r="I1244">
        <v>12800</v>
      </c>
    </row>
    <row r="1245" spans="1:9" x14ac:dyDescent="0.3">
      <c r="A1245" t="s">
        <v>1277</v>
      </c>
      <c r="B1245">
        <v>45837</v>
      </c>
      <c r="C1245" t="s">
        <v>55</v>
      </c>
      <c r="D1245" t="s">
        <v>11</v>
      </c>
      <c r="E1245" t="s">
        <v>37</v>
      </c>
      <c r="F1245" t="s">
        <v>59</v>
      </c>
      <c r="G1245" t="s">
        <v>14</v>
      </c>
      <c r="H1245">
        <v>106637</v>
      </c>
      <c r="I1245">
        <v>112700</v>
      </c>
    </row>
    <row r="1246" spans="1:9" x14ac:dyDescent="0.3">
      <c r="A1246" t="s">
        <v>1278</v>
      </c>
      <c r="B1246">
        <v>45838</v>
      </c>
      <c r="C1246" t="s">
        <v>62</v>
      </c>
      <c r="D1246" t="s">
        <v>11</v>
      </c>
      <c r="E1246" t="s">
        <v>22</v>
      </c>
      <c r="F1246" t="s">
        <v>13</v>
      </c>
      <c r="G1246" t="s">
        <v>14</v>
      </c>
      <c r="H1246">
        <v>143228</v>
      </c>
      <c r="I1246">
        <v>156200</v>
      </c>
    </row>
    <row r="1247" spans="1:9" x14ac:dyDescent="0.3">
      <c r="A1247" t="s">
        <v>1279</v>
      </c>
      <c r="B1247">
        <v>45838</v>
      </c>
      <c r="C1247" t="s">
        <v>10</v>
      </c>
      <c r="D1247" t="s">
        <v>11</v>
      </c>
      <c r="E1247" t="s">
        <v>12</v>
      </c>
      <c r="F1247" t="s">
        <v>26</v>
      </c>
      <c r="G1247" t="s">
        <v>14</v>
      </c>
      <c r="H1247">
        <v>157447</v>
      </c>
      <c r="I1247">
        <v>124400</v>
      </c>
    </row>
    <row r="1248" spans="1:9" x14ac:dyDescent="0.3">
      <c r="A1248" t="s">
        <v>1280</v>
      </c>
      <c r="B1248">
        <v>45838</v>
      </c>
      <c r="C1248" t="s">
        <v>16</v>
      </c>
      <c r="D1248" t="s">
        <v>11</v>
      </c>
      <c r="E1248" t="s">
        <v>17</v>
      </c>
      <c r="F1248" t="s">
        <v>39</v>
      </c>
      <c r="G1248" t="s">
        <v>19</v>
      </c>
      <c r="H1248">
        <v>39616</v>
      </c>
      <c r="I1248">
        <v>40200</v>
      </c>
    </row>
    <row r="1249" spans="1:9" x14ac:dyDescent="0.3">
      <c r="A1249" t="s">
        <v>1281</v>
      </c>
      <c r="B1249">
        <v>45838</v>
      </c>
      <c r="C1249" t="s">
        <v>31</v>
      </c>
      <c r="D1249" t="s">
        <v>11</v>
      </c>
      <c r="E1249" t="s">
        <v>17</v>
      </c>
      <c r="F1249" t="s">
        <v>37</v>
      </c>
      <c r="G1249" t="s">
        <v>14</v>
      </c>
      <c r="H1249">
        <v>207010</v>
      </c>
      <c r="I1249">
        <v>174800</v>
      </c>
    </row>
    <row r="1250" spans="1:9" x14ac:dyDescent="0.3">
      <c r="A1250" t="s">
        <v>1282</v>
      </c>
      <c r="B1250">
        <v>45839</v>
      </c>
      <c r="C1250" t="s">
        <v>62</v>
      </c>
      <c r="D1250" t="s">
        <v>11</v>
      </c>
      <c r="E1250" t="s">
        <v>22</v>
      </c>
      <c r="F1250" t="s">
        <v>33</v>
      </c>
      <c r="G1250" t="s">
        <v>19</v>
      </c>
      <c r="H1250">
        <v>43085</v>
      </c>
      <c r="I1250">
        <v>47900</v>
      </c>
    </row>
    <row r="1251" spans="1:9" x14ac:dyDescent="0.3">
      <c r="A1251" t="s">
        <v>1283</v>
      </c>
      <c r="B1251">
        <v>45839</v>
      </c>
      <c r="C1251" t="s">
        <v>62</v>
      </c>
      <c r="D1251" t="s">
        <v>11</v>
      </c>
      <c r="E1251" t="s">
        <v>22</v>
      </c>
      <c r="F1251" t="s">
        <v>46</v>
      </c>
      <c r="G1251" t="s">
        <v>19</v>
      </c>
      <c r="H1251">
        <v>41993</v>
      </c>
      <c r="I1251">
        <v>42900</v>
      </c>
    </row>
    <row r="1252" spans="1:9" x14ac:dyDescent="0.3">
      <c r="A1252" t="s">
        <v>1284</v>
      </c>
      <c r="B1252">
        <v>45839</v>
      </c>
      <c r="C1252" t="s">
        <v>62</v>
      </c>
      <c r="D1252" t="s">
        <v>11</v>
      </c>
      <c r="E1252" t="s">
        <v>22</v>
      </c>
      <c r="F1252" t="s">
        <v>59</v>
      </c>
      <c r="G1252" t="s">
        <v>14</v>
      </c>
      <c r="H1252">
        <v>182942</v>
      </c>
      <c r="I1252">
        <v>178600</v>
      </c>
    </row>
    <row r="1253" spans="1:9" x14ac:dyDescent="0.3">
      <c r="A1253" t="s">
        <v>1285</v>
      </c>
      <c r="B1253">
        <v>45839</v>
      </c>
      <c r="C1253" t="s">
        <v>10</v>
      </c>
      <c r="D1253" t="s">
        <v>11</v>
      </c>
      <c r="E1253" t="s">
        <v>12</v>
      </c>
      <c r="F1253" t="s">
        <v>37</v>
      </c>
      <c r="G1253" t="s">
        <v>14</v>
      </c>
      <c r="H1253">
        <v>153096</v>
      </c>
      <c r="I1253">
        <v>145500</v>
      </c>
    </row>
    <row r="1254" spans="1:9" x14ac:dyDescent="0.3">
      <c r="A1254" t="s">
        <v>1286</v>
      </c>
      <c r="B1254">
        <v>45839</v>
      </c>
      <c r="C1254" t="s">
        <v>16</v>
      </c>
      <c r="D1254" t="s">
        <v>11</v>
      </c>
      <c r="E1254" t="s">
        <v>17</v>
      </c>
      <c r="F1254" t="s">
        <v>33</v>
      </c>
      <c r="G1254" t="s">
        <v>19</v>
      </c>
      <c r="H1254">
        <v>77738</v>
      </c>
      <c r="I1254">
        <v>76500</v>
      </c>
    </row>
    <row r="1255" spans="1:9" x14ac:dyDescent="0.3">
      <c r="A1255" t="s">
        <v>1287</v>
      </c>
      <c r="B1255">
        <v>45839</v>
      </c>
      <c r="C1255" t="s">
        <v>21</v>
      </c>
      <c r="D1255" t="s">
        <v>11</v>
      </c>
      <c r="E1255" t="s">
        <v>22</v>
      </c>
      <c r="F1255" t="s">
        <v>59</v>
      </c>
      <c r="G1255" t="s">
        <v>14</v>
      </c>
      <c r="H1255">
        <v>174493</v>
      </c>
      <c r="I1255">
        <v>186900</v>
      </c>
    </row>
    <row r="1256" spans="1:9" x14ac:dyDescent="0.3">
      <c r="A1256" t="s">
        <v>1288</v>
      </c>
      <c r="B1256">
        <v>45839</v>
      </c>
      <c r="C1256" t="s">
        <v>25</v>
      </c>
      <c r="D1256" t="s">
        <v>11</v>
      </c>
      <c r="E1256" t="s">
        <v>22</v>
      </c>
      <c r="F1256" t="s">
        <v>46</v>
      </c>
      <c r="G1256" t="s">
        <v>19</v>
      </c>
      <c r="H1256">
        <v>51616</v>
      </c>
      <c r="I1256">
        <v>52600</v>
      </c>
    </row>
    <row r="1257" spans="1:9" x14ac:dyDescent="0.3">
      <c r="A1257" t="s">
        <v>1289</v>
      </c>
      <c r="B1257">
        <v>45839</v>
      </c>
      <c r="C1257" t="s">
        <v>25</v>
      </c>
      <c r="D1257" t="s">
        <v>11</v>
      </c>
      <c r="E1257" t="s">
        <v>22</v>
      </c>
      <c r="F1257" t="s">
        <v>23</v>
      </c>
      <c r="G1257" t="s">
        <v>14</v>
      </c>
      <c r="H1257">
        <v>208485</v>
      </c>
      <c r="I1257">
        <v>220400</v>
      </c>
    </row>
    <row r="1258" spans="1:9" x14ac:dyDescent="0.3">
      <c r="A1258" t="s">
        <v>1290</v>
      </c>
      <c r="B1258">
        <v>45839</v>
      </c>
      <c r="C1258" t="s">
        <v>25</v>
      </c>
      <c r="D1258" t="s">
        <v>11</v>
      </c>
      <c r="E1258" t="s">
        <v>22</v>
      </c>
      <c r="F1258" t="s">
        <v>59</v>
      </c>
      <c r="G1258" t="s">
        <v>14</v>
      </c>
      <c r="H1258">
        <v>142044</v>
      </c>
      <c r="I1258">
        <v>131900</v>
      </c>
    </row>
    <row r="1259" spans="1:9" x14ac:dyDescent="0.3">
      <c r="A1259" t="s">
        <v>1291</v>
      </c>
      <c r="B1259">
        <v>45839</v>
      </c>
      <c r="C1259" t="s">
        <v>25</v>
      </c>
      <c r="D1259" t="s">
        <v>11</v>
      </c>
      <c r="E1259" t="s">
        <v>22</v>
      </c>
      <c r="F1259" t="s">
        <v>59</v>
      </c>
      <c r="G1259" t="s">
        <v>14</v>
      </c>
      <c r="H1259">
        <v>184473</v>
      </c>
      <c r="I1259">
        <v>166800</v>
      </c>
    </row>
    <row r="1260" spans="1:9" x14ac:dyDescent="0.3">
      <c r="A1260" t="s">
        <v>1292</v>
      </c>
      <c r="B1260">
        <v>45839</v>
      </c>
      <c r="C1260" t="s">
        <v>55</v>
      </c>
      <c r="D1260" t="s">
        <v>11</v>
      </c>
      <c r="E1260" t="s">
        <v>37</v>
      </c>
      <c r="F1260" t="s">
        <v>39</v>
      </c>
      <c r="G1260" t="s">
        <v>19</v>
      </c>
      <c r="H1260">
        <v>85189</v>
      </c>
      <c r="I1260">
        <v>100000</v>
      </c>
    </row>
    <row r="1261" spans="1:9" x14ac:dyDescent="0.3">
      <c r="A1261" t="s">
        <v>1293</v>
      </c>
      <c r="B1261">
        <v>45839</v>
      </c>
      <c r="C1261" t="s">
        <v>55</v>
      </c>
      <c r="D1261" t="s">
        <v>11</v>
      </c>
      <c r="E1261" t="s">
        <v>37</v>
      </c>
      <c r="F1261" t="s">
        <v>59</v>
      </c>
      <c r="G1261" t="s">
        <v>14</v>
      </c>
      <c r="H1261">
        <v>113417</v>
      </c>
      <c r="I1261">
        <v>103300</v>
      </c>
    </row>
    <row r="1262" spans="1:9" x14ac:dyDescent="0.3">
      <c r="A1262" t="s">
        <v>1294</v>
      </c>
      <c r="B1262">
        <v>45840</v>
      </c>
      <c r="C1262" t="s">
        <v>10</v>
      </c>
      <c r="D1262" t="s">
        <v>11</v>
      </c>
      <c r="E1262" t="s">
        <v>12</v>
      </c>
      <c r="F1262" t="s">
        <v>56</v>
      </c>
      <c r="G1262" t="s">
        <v>19</v>
      </c>
      <c r="H1262">
        <v>77858</v>
      </c>
      <c r="I1262">
        <v>90000</v>
      </c>
    </row>
    <row r="1263" spans="1:9" x14ac:dyDescent="0.3">
      <c r="A1263" t="s">
        <v>1295</v>
      </c>
      <c r="B1263">
        <v>45840</v>
      </c>
      <c r="C1263" t="s">
        <v>16</v>
      </c>
      <c r="D1263" t="s">
        <v>11</v>
      </c>
      <c r="E1263" t="s">
        <v>17</v>
      </c>
      <c r="F1263" t="s">
        <v>18</v>
      </c>
      <c r="G1263" t="s">
        <v>19</v>
      </c>
      <c r="H1263">
        <v>44287</v>
      </c>
      <c r="I1263">
        <v>46900</v>
      </c>
    </row>
    <row r="1264" spans="1:9" x14ac:dyDescent="0.3">
      <c r="A1264" t="s">
        <v>1296</v>
      </c>
      <c r="B1264">
        <v>45840</v>
      </c>
      <c r="C1264" t="s">
        <v>16</v>
      </c>
      <c r="D1264" t="s">
        <v>11</v>
      </c>
      <c r="E1264" t="s">
        <v>17</v>
      </c>
      <c r="F1264" t="s">
        <v>13</v>
      </c>
      <c r="G1264" t="s">
        <v>14</v>
      </c>
      <c r="H1264">
        <v>28462</v>
      </c>
      <c r="I1264">
        <v>24300</v>
      </c>
    </row>
    <row r="1265" spans="1:9" x14ac:dyDescent="0.3">
      <c r="A1265" t="s">
        <v>1297</v>
      </c>
      <c r="B1265">
        <v>45840</v>
      </c>
      <c r="C1265" t="s">
        <v>31</v>
      </c>
      <c r="D1265" t="s">
        <v>11</v>
      </c>
      <c r="E1265" t="s">
        <v>17</v>
      </c>
      <c r="F1265" t="s">
        <v>33</v>
      </c>
      <c r="G1265" t="s">
        <v>19</v>
      </c>
      <c r="H1265">
        <v>84498</v>
      </c>
      <c r="I1265">
        <v>88700</v>
      </c>
    </row>
    <row r="1266" spans="1:9" x14ac:dyDescent="0.3">
      <c r="A1266" t="s">
        <v>1298</v>
      </c>
      <c r="B1266">
        <v>45840</v>
      </c>
      <c r="C1266" t="s">
        <v>31</v>
      </c>
      <c r="D1266" t="s">
        <v>11</v>
      </c>
      <c r="E1266" t="s">
        <v>17</v>
      </c>
      <c r="F1266" t="s">
        <v>42</v>
      </c>
      <c r="G1266" t="s">
        <v>19</v>
      </c>
      <c r="H1266">
        <v>116364</v>
      </c>
      <c r="I1266">
        <v>123500</v>
      </c>
    </row>
    <row r="1267" spans="1:9" x14ac:dyDescent="0.3">
      <c r="A1267" t="s">
        <v>1299</v>
      </c>
      <c r="B1267">
        <v>45840</v>
      </c>
      <c r="C1267" t="s">
        <v>55</v>
      </c>
      <c r="D1267" t="s">
        <v>11</v>
      </c>
      <c r="E1267" t="s">
        <v>37</v>
      </c>
      <c r="F1267" t="s">
        <v>23</v>
      </c>
      <c r="G1267" t="s">
        <v>14</v>
      </c>
      <c r="H1267">
        <v>143935</v>
      </c>
      <c r="I1267">
        <v>160400</v>
      </c>
    </row>
    <row r="1268" spans="1:9" x14ac:dyDescent="0.3">
      <c r="A1268" t="s">
        <v>1300</v>
      </c>
      <c r="B1268">
        <v>45841</v>
      </c>
      <c r="C1268" t="s">
        <v>16</v>
      </c>
      <c r="D1268" t="s">
        <v>11</v>
      </c>
      <c r="E1268" t="s">
        <v>17</v>
      </c>
      <c r="F1268" t="s">
        <v>37</v>
      </c>
      <c r="G1268" t="s">
        <v>14</v>
      </c>
      <c r="H1268">
        <v>76554</v>
      </c>
      <c r="I1268">
        <v>77300</v>
      </c>
    </row>
    <row r="1269" spans="1:9" x14ac:dyDescent="0.3">
      <c r="A1269" t="s">
        <v>1301</v>
      </c>
      <c r="B1269">
        <v>45841</v>
      </c>
      <c r="C1269" t="s">
        <v>21</v>
      </c>
      <c r="D1269" t="s">
        <v>11</v>
      </c>
      <c r="E1269" t="s">
        <v>22</v>
      </c>
      <c r="F1269" t="s">
        <v>26</v>
      </c>
      <c r="G1269" t="s">
        <v>14</v>
      </c>
      <c r="H1269">
        <v>212196</v>
      </c>
      <c r="I1269">
        <v>231500</v>
      </c>
    </row>
    <row r="1270" spans="1:9" x14ac:dyDescent="0.3">
      <c r="A1270" t="s">
        <v>1302</v>
      </c>
      <c r="B1270">
        <v>45841</v>
      </c>
      <c r="C1270" t="s">
        <v>21</v>
      </c>
      <c r="D1270" t="s">
        <v>11</v>
      </c>
      <c r="E1270" t="s">
        <v>22</v>
      </c>
      <c r="F1270" t="s">
        <v>13</v>
      </c>
      <c r="G1270" t="s">
        <v>14</v>
      </c>
      <c r="H1270">
        <v>79862</v>
      </c>
      <c r="I1270">
        <v>76600</v>
      </c>
    </row>
    <row r="1271" spans="1:9" x14ac:dyDescent="0.3">
      <c r="A1271" t="s">
        <v>1303</v>
      </c>
      <c r="B1271">
        <v>45841</v>
      </c>
      <c r="C1271" t="s">
        <v>21</v>
      </c>
      <c r="D1271" t="s">
        <v>11</v>
      </c>
      <c r="E1271" t="s">
        <v>22</v>
      </c>
      <c r="F1271" t="s">
        <v>23</v>
      </c>
      <c r="G1271" t="s">
        <v>14</v>
      </c>
      <c r="H1271">
        <v>58947</v>
      </c>
      <c r="I1271">
        <v>59600</v>
      </c>
    </row>
    <row r="1272" spans="1:9" x14ac:dyDescent="0.3">
      <c r="A1272" t="s">
        <v>1304</v>
      </c>
      <c r="B1272">
        <v>45841</v>
      </c>
      <c r="C1272" t="s">
        <v>31</v>
      </c>
      <c r="D1272" t="s">
        <v>11</v>
      </c>
      <c r="E1272" t="s">
        <v>17</v>
      </c>
      <c r="F1272" t="s">
        <v>46</v>
      </c>
      <c r="G1272" t="s">
        <v>19</v>
      </c>
      <c r="H1272">
        <v>70311</v>
      </c>
      <c r="I1272">
        <v>71600</v>
      </c>
    </row>
    <row r="1273" spans="1:9" x14ac:dyDescent="0.3">
      <c r="A1273" t="s">
        <v>1305</v>
      </c>
      <c r="B1273">
        <v>45842</v>
      </c>
      <c r="C1273" t="s">
        <v>62</v>
      </c>
      <c r="D1273" t="s">
        <v>11</v>
      </c>
      <c r="E1273" t="s">
        <v>22</v>
      </c>
      <c r="F1273" t="s">
        <v>37</v>
      </c>
      <c r="G1273" t="s">
        <v>14</v>
      </c>
      <c r="H1273">
        <v>44314</v>
      </c>
      <c r="I1273">
        <v>48400</v>
      </c>
    </row>
    <row r="1274" spans="1:9" x14ac:dyDescent="0.3">
      <c r="A1274" t="s">
        <v>1306</v>
      </c>
      <c r="B1274">
        <v>45842</v>
      </c>
      <c r="C1274" t="s">
        <v>10</v>
      </c>
      <c r="D1274" t="s">
        <v>11</v>
      </c>
      <c r="E1274" t="s">
        <v>12</v>
      </c>
      <c r="F1274" t="s">
        <v>42</v>
      </c>
      <c r="G1274" t="s">
        <v>19</v>
      </c>
      <c r="H1274">
        <v>19151</v>
      </c>
      <c r="I1274">
        <v>20100</v>
      </c>
    </row>
    <row r="1275" spans="1:9" x14ac:dyDescent="0.3">
      <c r="A1275" t="s">
        <v>1307</v>
      </c>
      <c r="B1275">
        <v>45842</v>
      </c>
      <c r="C1275" t="s">
        <v>10</v>
      </c>
      <c r="D1275" t="s">
        <v>11</v>
      </c>
      <c r="E1275" t="s">
        <v>12</v>
      </c>
      <c r="F1275" t="s">
        <v>33</v>
      </c>
      <c r="G1275" t="s">
        <v>19</v>
      </c>
      <c r="H1275">
        <v>31555</v>
      </c>
      <c r="I1275">
        <v>31500</v>
      </c>
    </row>
    <row r="1276" spans="1:9" x14ac:dyDescent="0.3">
      <c r="A1276" t="s">
        <v>1308</v>
      </c>
      <c r="B1276">
        <v>45842</v>
      </c>
      <c r="C1276" t="s">
        <v>16</v>
      </c>
      <c r="D1276" t="s">
        <v>11</v>
      </c>
      <c r="E1276" t="s">
        <v>17</v>
      </c>
      <c r="F1276" t="s">
        <v>12</v>
      </c>
      <c r="G1276" t="s">
        <v>14</v>
      </c>
      <c r="H1276">
        <v>213362</v>
      </c>
      <c r="I1276">
        <v>192700</v>
      </c>
    </row>
    <row r="1277" spans="1:9" x14ac:dyDescent="0.3">
      <c r="A1277" t="s">
        <v>1309</v>
      </c>
      <c r="B1277">
        <v>45842</v>
      </c>
      <c r="C1277" t="s">
        <v>36</v>
      </c>
      <c r="D1277" t="s">
        <v>11</v>
      </c>
      <c r="E1277" t="s">
        <v>37</v>
      </c>
      <c r="F1277" t="s">
        <v>37</v>
      </c>
      <c r="G1277" t="s">
        <v>14</v>
      </c>
      <c r="H1277">
        <v>200484</v>
      </c>
      <c r="I1277">
        <v>202500</v>
      </c>
    </row>
    <row r="1278" spans="1:9" x14ac:dyDescent="0.3">
      <c r="A1278" t="s">
        <v>1310</v>
      </c>
      <c r="B1278">
        <v>45842</v>
      </c>
      <c r="C1278" t="s">
        <v>21</v>
      </c>
      <c r="D1278" t="s">
        <v>11</v>
      </c>
      <c r="E1278" t="s">
        <v>22</v>
      </c>
      <c r="F1278" t="s">
        <v>39</v>
      </c>
      <c r="G1278" t="s">
        <v>19</v>
      </c>
      <c r="H1278">
        <v>98547</v>
      </c>
      <c r="I1278">
        <v>107700</v>
      </c>
    </row>
    <row r="1279" spans="1:9" x14ac:dyDescent="0.3">
      <c r="A1279" t="s">
        <v>1311</v>
      </c>
      <c r="B1279">
        <v>45842</v>
      </c>
      <c r="C1279" t="s">
        <v>21</v>
      </c>
      <c r="D1279" t="s">
        <v>11</v>
      </c>
      <c r="E1279" t="s">
        <v>22</v>
      </c>
      <c r="F1279" t="s">
        <v>13</v>
      </c>
      <c r="G1279" t="s">
        <v>14</v>
      </c>
      <c r="H1279">
        <v>223035</v>
      </c>
      <c r="I1279">
        <v>206900</v>
      </c>
    </row>
    <row r="1280" spans="1:9" x14ac:dyDescent="0.3">
      <c r="A1280" t="s">
        <v>1312</v>
      </c>
      <c r="B1280">
        <v>45842</v>
      </c>
      <c r="C1280" t="s">
        <v>31</v>
      </c>
      <c r="D1280" t="s">
        <v>11</v>
      </c>
      <c r="E1280" t="s">
        <v>17</v>
      </c>
      <c r="F1280" t="s">
        <v>59</v>
      </c>
      <c r="G1280" t="s">
        <v>14</v>
      </c>
      <c r="H1280">
        <v>152669</v>
      </c>
      <c r="I1280">
        <v>148900</v>
      </c>
    </row>
    <row r="1281" spans="1:9" x14ac:dyDescent="0.3">
      <c r="A1281" t="s">
        <v>1313</v>
      </c>
      <c r="B1281">
        <v>45842</v>
      </c>
      <c r="C1281" t="s">
        <v>31</v>
      </c>
      <c r="D1281" t="s">
        <v>11</v>
      </c>
      <c r="E1281" t="s">
        <v>17</v>
      </c>
      <c r="F1281" t="s">
        <v>26</v>
      </c>
      <c r="G1281" t="s">
        <v>14</v>
      </c>
      <c r="H1281">
        <v>55642</v>
      </c>
      <c r="I1281">
        <v>58500</v>
      </c>
    </row>
    <row r="1282" spans="1:9" x14ac:dyDescent="0.3">
      <c r="A1282" t="s">
        <v>1314</v>
      </c>
      <c r="B1282">
        <v>45843</v>
      </c>
      <c r="C1282" t="s">
        <v>16</v>
      </c>
      <c r="D1282" t="s">
        <v>11</v>
      </c>
      <c r="E1282" t="s">
        <v>17</v>
      </c>
      <c r="F1282" t="s">
        <v>26</v>
      </c>
      <c r="G1282" t="s">
        <v>14</v>
      </c>
      <c r="H1282">
        <v>237973</v>
      </c>
      <c r="I1282">
        <v>254400</v>
      </c>
    </row>
    <row r="1283" spans="1:9" x14ac:dyDescent="0.3">
      <c r="A1283" t="s">
        <v>1315</v>
      </c>
      <c r="B1283">
        <v>45843</v>
      </c>
      <c r="C1283" t="s">
        <v>36</v>
      </c>
      <c r="D1283" t="s">
        <v>11</v>
      </c>
      <c r="E1283" t="s">
        <v>37</v>
      </c>
      <c r="F1283" t="s">
        <v>26</v>
      </c>
      <c r="G1283" t="s">
        <v>14</v>
      </c>
      <c r="H1283">
        <v>68829</v>
      </c>
      <c r="I1283">
        <v>56000</v>
      </c>
    </row>
    <row r="1284" spans="1:9" x14ac:dyDescent="0.3">
      <c r="A1284" t="s">
        <v>1316</v>
      </c>
      <c r="B1284">
        <v>45843</v>
      </c>
      <c r="C1284" t="s">
        <v>36</v>
      </c>
      <c r="D1284" t="s">
        <v>11</v>
      </c>
      <c r="E1284" t="s">
        <v>37</v>
      </c>
      <c r="F1284" t="s">
        <v>59</v>
      </c>
      <c r="G1284" t="s">
        <v>14</v>
      </c>
      <c r="H1284">
        <v>113181</v>
      </c>
      <c r="I1284">
        <v>116900</v>
      </c>
    </row>
    <row r="1285" spans="1:9" x14ac:dyDescent="0.3">
      <c r="A1285" t="s">
        <v>1317</v>
      </c>
      <c r="B1285">
        <v>45843</v>
      </c>
      <c r="C1285" t="s">
        <v>25</v>
      </c>
      <c r="D1285" t="s">
        <v>11</v>
      </c>
      <c r="E1285" t="s">
        <v>22</v>
      </c>
      <c r="F1285" t="s">
        <v>13</v>
      </c>
      <c r="G1285" t="s">
        <v>14</v>
      </c>
      <c r="H1285">
        <v>168027</v>
      </c>
      <c r="I1285">
        <v>164100</v>
      </c>
    </row>
    <row r="1286" spans="1:9" x14ac:dyDescent="0.3">
      <c r="A1286" t="s">
        <v>1318</v>
      </c>
      <c r="B1286">
        <v>45843</v>
      </c>
      <c r="C1286" t="s">
        <v>55</v>
      </c>
      <c r="D1286" t="s">
        <v>11</v>
      </c>
      <c r="E1286" t="s">
        <v>37</v>
      </c>
      <c r="F1286" t="s">
        <v>13</v>
      </c>
      <c r="G1286" t="s">
        <v>14</v>
      </c>
      <c r="H1286">
        <v>144204</v>
      </c>
      <c r="I1286">
        <v>142700</v>
      </c>
    </row>
    <row r="1287" spans="1:9" x14ac:dyDescent="0.3">
      <c r="A1287" t="s">
        <v>1319</v>
      </c>
      <c r="B1287">
        <v>45844</v>
      </c>
      <c r="C1287" t="s">
        <v>62</v>
      </c>
      <c r="D1287" t="s">
        <v>11</v>
      </c>
      <c r="E1287" t="s">
        <v>22</v>
      </c>
      <c r="F1287" t="s">
        <v>12</v>
      </c>
      <c r="G1287" t="s">
        <v>14</v>
      </c>
      <c r="H1287">
        <v>168320</v>
      </c>
      <c r="I1287">
        <v>168100</v>
      </c>
    </row>
    <row r="1288" spans="1:9" x14ac:dyDescent="0.3">
      <c r="A1288" t="s">
        <v>1320</v>
      </c>
      <c r="B1288">
        <v>45844</v>
      </c>
      <c r="C1288" t="s">
        <v>10</v>
      </c>
      <c r="D1288" t="s">
        <v>11</v>
      </c>
      <c r="E1288" t="s">
        <v>12</v>
      </c>
      <c r="F1288" t="s">
        <v>56</v>
      </c>
      <c r="G1288" t="s">
        <v>19</v>
      </c>
      <c r="H1288">
        <v>51811</v>
      </c>
      <c r="I1288">
        <v>53300</v>
      </c>
    </row>
    <row r="1289" spans="1:9" x14ac:dyDescent="0.3">
      <c r="A1289" t="s">
        <v>1321</v>
      </c>
      <c r="B1289">
        <v>45844</v>
      </c>
      <c r="C1289" t="s">
        <v>16</v>
      </c>
      <c r="D1289" t="s">
        <v>11</v>
      </c>
      <c r="E1289" t="s">
        <v>17</v>
      </c>
      <c r="F1289" t="s">
        <v>18</v>
      </c>
      <c r="G1289" t="s">
        <v>19</v>
      </c>
      <c r="H1289">
        <v>40952</v>
      </c>
      <c r="I1289">
        <v>44000</v>
      </c>
    </row>
    <row r="1290" spans="1:9" x14ac:dyDescent="0.3">
      <c r="A1290" t="s">
        <v>1322</v>
      </c>
      <c r="B1290">
        <v>45844</v>
      </c>
      <c r="C1290" t="s">
        <v>36</v>
      </c>
      <c r="D1290" t="s">
        <v>11</v>
      </c>
      <c r="E1290" t="s">
        <v>37</v>
      </c>
      <c r="F1290" t="s">
        <v>26</v>
      </c>
      <c r="G1290" t="s">
        <v>14</v>
      </c>
      <c r="H1290">
        <v>131132</v>
      </c>
      <c r="I1290">
        <v>134000</v>
      </c>
    </row>
    <row r="1291" spans="1:9" x14ac:dyDescent="0.3">
      <c r="A1291" t="s">
        <v>1323</v>
      </c>
      <c r="B1291">
        <v>45844</v>
      </c>
      <c r="C1291" t="s">
        <v>25</v>
      </c>
      <c r="D1291" t="s">
        <v>11</v>
      </c>
      <c r="E1291" t="s">
        <v>22</v>
      </c>
      <c r="F1291" t="s">
        <v>23</v>
      </c>
      <c r="G1291" t="s">
        <v>14</v>
      </c>
      <c r="H1291">
        <v>54193</v>
      </c>
      <c r="I1291">
        <v>59300</v>
      </c>
    </row>
    <row r="1292" spans="1:9" x14ac:dyDescent="0.3">
      <c r="A1292" t="s">
        <v>1324</v>
      </c>
      <c r="B1292">
        <v>45844</v>
      </c>
      <c r="C1292" t="s">
        <v>55</v>
      </c>
      <c r="D1292" t="s">
        <v>11</v>
      </c>
      <c r="E1292" t="s">
        <v>37</v>
      </c>
      <c r="F1292" t="s">
        <v>39</v>
      </c>
      <c r="G1292" t="s">
        <v>19</v>
      </c>
      <c r="H1292">
        <v>90243</v>
      </c>
      <c r="I1292">
        <v>95000</v>
      </c>
    </row>
    <row r="1293" spans="1:9" x14ac:dyDescent="0.3">
      <c r="A1293" t="s">
        <v>1325</v>
      </c>
      <c r="B1293">
        <v>45844</v>
      </c>
      <c r="C1293" t="s">
        <v>55</v>
      </c>
      <c r="D1293" t="s">
        <v>11</v>
      </c>
      <c r="E1293" t="s">
        <v>37</v>
      </c>
      <c r="F1293" t="s">
        <v>37</v>
      </c>
      <c r="G1293" t="s">
        <v>14</v>
      </c>
      <c r="H1293">
        <v>69127</v>
      </c>
      <c r="I1293">
        <v>77100</v>
      </c>
    </row>
    <row r="1294" spans="1:9" x14ac:dyDescent="0.3">
      <c r="A1294" t="s">
        <v>1326</v>
      </c>
      <c r="B1294">
        <v>45845</v>
      </c>
      <c r="C1294" t="s">
        <v>62</v>
      </c>
      <c r="D1294" t="s">
        <v>11</v>
      </c>
      <c r="E1294" t="s">
        <v>22</v>
      </c>
      <c r="F1294" t="s">
        <v>23</v>
      </c>
      <c r="G1294" t="s">
        <v>14</v>
      </c>
      <c r="H1294">
        <v>221569</v>
      </c>
      <c r="I1294">
        <v>220600</v>
      </c>
    </row>
    <row r="1295" spans="1:9" x14ac:dyDescent="0.3">
      <c r="A1295" t="s">
        <v>1327</v>
      </c>
      <c r="B1295">
        <v>45845</v>
      </c>
      <c r="C1295" t="s">
        <v>36</v>
      </c>
      <c r="D1295" t="s">
        <v>11</v>
      </c>
      <c r="E1295" t="s">
        <v>37</v>
      </c>
      <c r="F1295" t="s">
        <v>56</v>
      </c>
      <c r="G1295" t="s">
        <v>19</v>
      </c>
      <c r="H1295">
        <v>97784</v>
      </c>
      <c r="I1295">
        <v>86100</v>
      </c>
    </row>
    <row r="1296" spans="1:9" x14ac:dyDescent="0.3">
      <c r="A1296" t="s">
        <v>1328</v>
      </c>
      <c r="B1296">
        <v>45845</v>
      </c>
      <c r="C1296" t="s">
        <v>21</v>
      </c>
      <c r="D1296" t="s">
        <v>11</v>
      </c>
      <c r="E1296" t="s">
        <v>22</v>
      </c>
      <c r="F1296" t="s">
        <v>37</v>
      </c>
      <c r="G1296" t="s">
        <v>14</v>
      </c>
      <c r="H1296">
        <v>221780</v>
      </c>
      <c r="I1296">
        <v>173000</v>
      </c>
    </row>
    <row r="1297" spans="1:9" x14ac:dyDescent="0.3">
      <c r="A1297" t="s">
        <v>1329</v>
      </c>
      <c r="B1297">
        <v>45845</v>
      </c>
      <c r="C1297" t="s">
        <v>25</v>
      </c>
      <c r="D1297" t="s">
        <v>11</v>
      </c>
      <c r="E1297" t="s">
        <v>22</v>
      </c>
      <c r="F1297" t="s">
        <v>18</v>
      </c>
      <c r="G1297" t="s">
        <v>19</v>
      </c>
      <c r="H1297">
        <v>110893</v>
      </c>
      <c r="I1297">
        <v>114900</v>
      </c>
    </row>
    <row r="1298" spans="1:9" x14ac:dyDescent="0.3">
      <c r="A1298" t="s">
        <v>1330</v>
      </c>
      <c r="B1298">
        <v>45845</v>
      </c>
      <c r="C1298" t="s">
        <v>31</v>
      </c>
      <c r="D1298" t="s">
        <v>11</v>
      </c>
      <c r="E1298" t="s">
        <v>17</v>
      </c>
      <c r="F1298" t="s">
        <v>42</v>
      </c>
      <c r="G1298" t="s">
        <v>19</v>
      </c>
      <c r="H1298">
        <v>35347</v>
      </c>
      <c r="I1298">
        <v>34200</v>
      </c>
    </row>
    <row r="1299" spans="1:9" x14ac:dyDescent="0.3">
      <c r="A1299" t="s">
        <v>1331</v>
      </c>
      <c r="B1299">
        <v>45845</v>
      </c>
      <c r="C1299" t="s">
        <v>31</v>
      </c>
      <c r="D1299" t="s">
        <v>11</v>
      </c>
      <c r="E1299" t="s">
        <v>17</v>
      </c>
      <c r="F1299" t="s">
        <v>42</v>
      </c>
      <c r="G1299" t="s">
        <v>19</v>
      </c>
      <c r="H1299">
        <v>65240</v>
      </c>
      <c r="I1299">
        <v>65200</v>
      </c>
    </row>
    <row r="1300" spans="1:9" x14ac:dyDescent="0.3">
      <c r="A1300" t="s">
        <v>1332</v>
      </c>
      <c r="B1300">
        <v>45846</v>
      </c>
      <c r="C1300" t="s">
        <v>62</v>
      </c>
      <c r="D1300" t="s">
        <v>11</v>
      </c>
      <c r="E1300" t="s">
        <v>22</v>
      </c>
      <c r="F1300" t="s">
        <v>42</v>
      </c>
      <c r="G1300" t="s">
        <v>19</v>
      </c>
      <c r="H1300">
        <v>57963</v>
      </c>
      <c r="I1300">
        <v>59900</v>
      </c>
    </row>
    <row r="1301" spans="1:9" x14ac:dyDescent="0.3">
      <c r="A1301" t="s">
        <v>1333</v>
      </c>
      <c r="B1301">
        <v>45846</v>
      </c>
      <c r="C1301" t="s">
        <v>62</v>
      </c>
      <c r="D1301" t="s">
        <v>11</v>
      </c>
      <c r="E1301" t="s">
        <v>22</v>
      </c>
      <c r="F1301" t="s">
        <v>56</v>
      </c>
      <c r="G1301" t="s">
        <v>19</v>
      </c>
      <c r="H1301">
        <v>52949</v>
      </c>
      <c r="I1301">
        <v>49300</v>
      </c>
    </row>
    <row r="1302" spans="1:9" x14ac:dyDescent="0.3">
      <c r="A1302" t="s">
        <v>1334</v>
      </c>
      <c r="B1302">
        <v>45846</v>
      </c>
      <c r="C1302" t="s">
        <v>10</v>
      </c>
      <c r="D1302" t="s">
        <v>11</v>
      </c>
      <c r="E1302" t="s">
        <v>12</v>
      </c>
      <c r="F1302" t="s">
        <v>42</v>
      </c>
      <c r="G1302" t="s">
        <v>19</v>
      </c>
      <c r="H1302">
        <v>87977</v>
      </c>
      <c r="I1302">
        <v>93300</v>
      </c>
    </row>
    <row r="1303" spans="1:9" x14ac:dyDescent="0.3">
      <c r="A1303" t="s">
        <v>1335</v>
      </c>
      <c r="B1303">
        <v>45846</v>
      </c>
      <c r="C1303" t="s">
        <v>10</v>
      </c>
      <c r="D1303" t="s">
        <v>11</v>
      </c>
      <c r="E1303" t="s">
        <v>12</v>
      </c>
      <c r="F1303" t="s">
        <v>23</v>
      </c>
      <c r="G1303" t="s">
        <v>14</v>
      </c>
      <c r="H1303">
        <v>123999</v>
      </c>
      <c r="I1303">
        <v>124900</v>
      </c>
    </row>
    <row r="1304" spans="1:9" x14ac:dyDescent="0.3">
      <c r="A1304" t="s">
        <v>1336</v>
      </c>
      <c r="B1304">
        <v>45846</v>
      </c>
      <c r="C1304" t="s">
        <v>36</v>
      </c>
      <c r="D1304" t="s">
        <v>11</v>
      </c>
      <c r="E1304" t="s">
        <v>37</v>
      </c>
      <c r="F1304" t="s">
        <v>46</v>
      </c>
      <c r="G1304" t="s">
        <v>19</v>
      </c>
      <c r="H1304">
        <v>87202</v>
      </c>
      <c r="I1304">
        <v>81900</v>
      </c>
    </row>
    <row r="1305" spans="1:9" x14ac:dyDescent="0.3">
      <c r="A1305" t="s">
        <v>1337</v>
      </c>
      <c r="B1305">
        <v>45846</v>
      </c>
      <c r="C1305" t="s">
        <v>21</v>
      </c>
      <c r="D1305" t="s">
        <v>11</v>
      </c>
      <c r="E1305" t="s">
        <v>22</v>
      </c>
      <c r="F1305" t="s">
        <v>23</v>
      </c>
      <c r="G1305" t="s">
        <v>14</v>
      </c>
      <c r="H1305">
        <v>158885</v>
      </c>
      <c r="I1305">
        <v>155200</v>
      </c>
    </row>
    <row r="1306" spans="1:9" x14ac:dyDescent="0.3">
      <c r="A1306" t="s">
        <v>1338</v>
      </c>
      <c r="B1306">
        <v>45846</v>
      </c>
      <c r="C1306" t="s">
        <v>21</v>
      </c>
      <c r="D1306" t="s">
        <v>11</v>
      </c>
      <c r="E1306" t="s">
        <v>22</v>
      </c>
      <c r="F1306" t="s">
        <v>59</v>
      </c>
      <c r="G1306" t="s">
        <v>14</v>
      </c>
      <c r="H1306">
        <v>67518</v>
      </c>
      <c r="I1306">
        <v>67000</v>
      </c>
    </row>
    <row r="1307" spans="1:9" x14ac:dyDescent="0.3">
      <c r="A1307" t="s">
        <v>1339</v>
      </c>
      <c r="B1307">
        <v>45846</v>
      </c>
      <c r="C1307" t="s">
        <v>31</v>
      </c>
      <c r="D1307" t="s">
        <v>11</v>
      </c>
      <c r="E1307" t="s">
        <v>17</v>
      </c>
      <c r="F1307" t="s">
        <v>33</v>
      </c>
      <c r="G1307" t="s">
        <v>19</v>
      </c>
      <c r="H1307">
        <v>51512</v>
      </c>
      <c r="I1307">
        <v>52000</v>
      </c>
    </row>
    <row r="1308" spans="1:9" x14ac:dyDescent="0.3">
      <c r="A1308" t="s">
        <v>1340</v>
      </c>
      <c r="B1308">
        <v>45847</v>
      </c>
      <c r="C1308" t="s">
        <v>16</v>
      </c>
      <c r="D1308" t="s">
        <v>11</v>
      </c>
      <c r="E1308" t="s">
        <v>17</v>
      </c>
      <c r="F1308" t="s">
        <v>33</v>
      </c>
      <c r="G1308" t="s">
        <v>19</v>
      </c>
      <c r="H1308">
        <v>88701</v>
      </c>
      <c r="I1308">
        <v>95300</v>
      </c>
    </row>
    <row r="1309" spans="1:9" x14ac:dyDescent="0.3">
      <c r="A1309" t="s">
        <v>1341</v>
      </c>
      <c r="B1309">
        <v>45847</v>
      </c>
      <c r="C1309" t="s">
        <v>36</v>
      </c>
      <c r="D1309" t="s">
        <v>11</v>
      </c>
      <c r="E1309" t="s">
        <v>37</v>
      </c>
      <c r="F1309" t="s">
        <v>42</v>
      </c>
      <c r="G1309" t="s">
        <v>19</v>
      </c>
      <c r="H1309">
        <v>47659</v>
      </c>
      <c r="I1309">
        <v>37700</v>
      </c>
    </row>
    <row r="1310" spans="1:9" x14ac:dyDescent="0.3">
      <c r="A1310" t="s">
        <v>1342</v>
      </c>
      <c r="B1310">
        <v>45847</v>
      </c>
      <c r="C1310" t="s">
        <v>21</v>
      </c>
      <c r="D1310" t="s">
        <v>11</v>
      </c>
      <c r="E1310" t="s">
        <v>22</v>
      </c>
      <c r="F1310" t="s">
        <v>37</v>
      </c>
      <c r="G1310" t="s">
        <v>14</v>
      </c>
      <c r="H1310">
        <v>213478</v>
      </c>
      <c r="I1310">
        <v>237500</v>
      </c>
    </row>
    <row r="1311" spans="1:9" x14ac:dyDescent="0.3">
      <c r="A1311" t="s">
        <v>1343</v>
      </c>
      <c r="B1311">
        <v>45847</v>
      </c>
      <c r="C1311" t="s">
        <v>25</v>
      </c>
      <c r="D1311" t="s">
        <v>11</v>
      </c>
      <c r="E1311" t="s">
        <v>22</v>
      </c>
      <c r="F1311" t="s">
        <v>59</v>
      </c>
      <c r="G1311" t="s">
        <v>14</v>
      </c>
      <c r="H1311">
        <v>72592</v>
      </c>
      <c r="I1311">
        <v>71400</v>
      </c>
    </row>
    <row r="1312" spans="1:9" x14ac:dyDescent="0.3">
      <c r="A1312" t="s">
        <v>1344</v>
      </c>
      <c r="B1312">
        <v>45847</v>
      </c>
      <c r="C1312" t="s">
        <v>31</v>
      </c>
      <c r="D1312" t="s">
        <v>11</v>
      </c>
      <c r="E1312" t="s">
        <v>17</v>
      </c>
      <c r="F1312" t="s">
        <v>46</v>
      </c>
      <c r="G1312" t="s">
        <v>19</v>
      </c>
      <c r="H1312">
        <v>111779</v>
      </c>
      <c r="I1312">
        <v>119500</v>
      </c>
    </row>
    <row r="1313" spans="1:9" x14ac:dyDescent="0.3">
      <c r="A1313" t="s">
        <v>1345</v>
      </c>
      <c r="B1313">
        <v>45848</v>
      </c>
      <c r="C1313" t="s">
        <v>62</v>
      </c>
      <c r="D1313" t="s">
        <v>11</v>
      </c>
      <c r="E1313" t="s">
        <v>22</v>
      </c>
      <c r="F1313" t="s">
        <v>23</v>
      </c>
      <c r="G1313" t="s">
        <v>14</v>
      </c>
      <c r="H1313">
        <v>32959</v>
      </c>
      <c r="I1313">
        <v>32900</v>
      </c>
    </row>
    <row r="1314" spans="1:9" x14ac:dyDescent="0.3">
      <c r="A1314" t="s">
        <v>1346</v>
      </c>
      <c r="B1314">
        <v>45848</v>
      </c>
      <c r="C1314" t="s">
        <v>16</v>
      </c>
      <c r="D1314" t="s">
        <v>11</v>
      </c>
      <c r="E1314" t="s">
        <v>17</v>
      </c>
      <c r="F1314" t="s">
        <v>46</v>
      </c>
      <c r="G1314" t="s">
        <v>19</v>
      </c>
      <c r="H1314">
        <v>91221</v>
      </c>
      <c r="I1314">
        <v>90800</v>
      </c>
    </row>
    <row r="1315" spans="1:9" x14ac:dyDescent="0.3">
      <c r="A1315" t="s">
        <v>1347</v>
      </c>
      <c r="B1315">
        <v>45848</v>
      </c>
      <c r="C1315" t="s">
        <v>16</v>
      </c>
      <c r="D1315" t="s">
        <v>11</v>
      </c>
      <c r="E1315" t="s">
        <v>17</v>
      </c>
      <c r="F1315" t="s">
        <v>13</v>
      </c>
      <c r="G1315" t="s">
        <v>14</v>
      </c>
      <c r="H1315">
        <v>226786</v>
      </c>
      <c r="I1315">
        <v>214800</v>
      </c>
    </row>
    <row r="1316" spans="1:9" x14ac:dyDescent="0.3">
      <c r="A1316" t="s">
        <v>1348</v>
      </c>
      <c r="B1316">
        <v>45848</v>
      </c>
      <c r="C1316" t="s">
        <v>36</v>
      </c>
      <c r="D1316" t="s">
        <v>11</v>
      </c>
      <c r="E1316" t="s">
        <v>37</v>
      </c>
      <c r="F1316" t="s">
        <v>39</v>
      </c>
      <c r="G1316" t="s">
        <v>19</v>
      </c>
      <c r="H1316">
        <v>74328</v>
      </c>
      <c r="I1316">
        <v>72300</v>
      </c>
    </row>
    <row r="1317" spans="1:9" x14ac:dyDescent="0.3">
      <c r="A1317" t="s">
        <v>1349</v>
      </c>
      <c r="B1317">
        <v>45848</v>
      </c>
      <c r="C1317" t="s">
        <v>21</v>
      </c>
      <c r="D1317" t="s">
        <v>11</v>
      </c>
      <c r="E1317" t="s">
        <v>22</v>
      </c>
      <c r="F1317" t="s">
        <v>18</v>
      </c>
      <c r="G1317" t="s">
        <v>19</v>
      </c>
      <c r="H1317">
        <v>48432</v>
      </c>
      <c r="I1317">
        <v>46600</v>
      </c>
    </row>
    <row r="1318" spans="1:9" x14ac:dyDescent="0.3">
      <c r="A1318" t="s">
        <v>1350</v>
      </c>
      <c r="B1318">
        <v>45848</v>
      </c>
      <c r="C1318" t="s">
        <v>21</v>
      </c>
      <c r="D1318" t="s">
        <v>11</v>
      </c>
      <c r="E1318" t="s">
        <v>22</v>
      </c>
      <c r="F1318" t="s">
        <v>26</v>
      </c>
      <c r="G1318" t="s">
        <v>14</v>
      </c>
      <c r="H1318">
        <v>27259</v>
      </c>
      <c r="I1318">
        <v>27100</v>
      </c>
    </row>
    <row r="1319" spans="1:9" x14ac:dyDescent="0.3">
      <c r="A1319" t="s">
        <v>1351</v>
      </c>
      <c r="B1319">
        <v>45848</v>
      </c>
      <c r="C1319" t="s">
        <v>25</v>
      </c>
      <c r="D1319" t="s">
        <v>11</v>
      </c>
      <c r="E1319" t="s">
        <v>22</v>
      </c>
      <c r="F1319" t="s">
        <v>46</v>
      </c>
      <c r="G1319" t="s">
        <v>19</v>
      </c>
      <c r="H1319">
        <v>73076</v>
      </c>
      <c r="I1319">
        <v>72800</v>
      </c>
    </row>
    <row r="1320" spans="1:9" x14ac:dyDescent="0.3">
      <c r="A1320" t="s">
        <v>1352</v>
      </c>
      <c r="B1320">
        <v>45848</v>
      </c>
      <c r="C1320" t="s">
        <v>55</v>
      </c>
      <c r="D1320" t="s">
        <v>11</v>
      </c>
      <c r="E1320" t="s">
        <v>37</v>
      </c>
      <c r="F1320" t="s">
        <v>18</v>
      </c>
      <c r="G1320" t="s">
        <v>19</v>
      </c>
      <c r="H1320">
        <v>78690</v>
      </c>
      <c r="I1320">
        <v>83500</v>
      </c>
    </row>
    <row r="1321" spans="1:9" x14ac:dyDescent="0.3">
      <c r="A1321" t="s">
        <v>1353</v>
      </c>
      <c r="B1321">
        <v>45848</v>
      </c>
      <c r="C1321" t="s">
        <v>55</v>
      </c>
      <c r="D1321" t="s">
        <v>11</v>
      </c>
      <c r="E1321" t="s">
        <v>37</v>
      </c>
      <c r="F1321" t="s">
        <v>13</v>
      </c>
      <c r="G1321" t="s">
        <v>14</v>
      </c>
      <c r="H1321">
        <v>51173</v>
      </c>
      <c r="I1321">
        <v>53600</v>
      </c>
    </row>
    <row r="1322" spans="1:9" x14ac:dyDescent="0.3">
      <c r="A1322" t="s">
        <v>1354</v>
      </c>
      <c r="B1322">
        <v>45849</v>
      </c>
      <c r="C1322" t="s">
        <v>62</v>
      </c>
      <c r="D1322" t="s">
        <v>11</v>
      </c>
      <c r="E1322" t="s">
        <v>22</v>
      </c>
      <c r="F1322" t="s">
        <v>46</v>
      </c>
      <c r="G1322" t="s">
        <v>19</v>
      </c>
      <c r="H1322">
        <v>16203</v>
      </c>
      <c r="I1322">
        <v>16100</v>
      </c>
    </row>
    <row r="1323" spans="1:9" x14ac:dyDescent="0.3">
      <c r="A1323" t="s">
        <v>1355</v>
      </c>
      <c r="B1323">
        <v>45849</v>
      </c>
      <c r="C1323" t="s">
        <v>62</v>
      </c>
      <c r="D1323" t="s">
        <v>11</v>
      </c>
      <c r="E1323" t="s">
        <v>22</v>
      </c>
      <c r="F1323" t="s">
        <v>26</v>
      </c>
      <c r="G1323" t="s">
        <v>14</v>
      </c>
      <c r="H1323">
        <v>211310</v>
      </c>
      <c r="I1323">
        <v>176400</v>
      </c>
    </row>
    <row r="1324" spans="1:9" x14ac:dyDescent="0.3">
      <c r="A1324" t="s">
        <v>1356</v>
      </c>
      <c r="B1324">
        <v>45849</v>
      </c>
      <c r="C1324" t="s">
        <v>10</v>
      </c>
      <c r="D1324" t="s">
        <v>11</v>
      </c>
      <c r="E1324" t="s">
        <v>12</v>
      </c>
      <c r="F1324" t="s">
        <v>59</v>
      </c>
      <c r="G1324" t="s">
        <v>14</v>
      </c>
      <c r="H1324">
        <v>75277</v>
      </c>
      <c r="I1324">
        <v>61700</v>
      </c>
    </row>
    <row r="1325" spans="1:9" x14ac:dyDescent="0.3">
      <c r="A1325" t="s">
        <v>1357</v>
      </c>
      <c r="B1325">
        <v>45849</v>
      </c>
      <c r="C1325" t="s">
        <v>16</v>
      </c>
      <c r="D1325" t="s">
        <v>11</v>
      </c>
      <c r="E1325" t="s">
        <v>17</v>
      </c>
      <c r="F1325" t="s">
        <v>33</v>
      </c>
      <c r="G1325" t="s">
        <v>19</v>
      </c>
      <c r="H1325">
        <v>57971</v>
      </c>
      <c r="I1325">
        <v>56200</v>
      </c>
    </row>
    <row r="1326" spans="1:9" x14ac:dyDescent="0.3">
      <c r="A1326" t="s">
        <v>1358</v>
      </c>
      <c r="B1326">
        <v>45849</v>
      </c>
      <c r="C1326" t="s">
        <v>16</v>
      </c>
      <c r="D1326" t="s">
        <v>11</v>
      </c>
      <c r="E1326" t="s">
        <v>17</v>
      </c>
      <c r="F1326" t="s">
        <v>23</v>
      </c>
      <c r="G1326" t="s">
        <v>14</v>
      </c>
      <c r="H1326">
        <v>226827</v>
      </c>
      <c r="I1326">
        <v>225300</v>
      </c>
    </row>
    <row r="1327" spans="1:9" x14ac:dyDescent="0.3">
      <c r="A1327" t="s">
        <v>1359</v>
      </c>
      <c r="B1327">
        <v>45849</v>
      </c>
      <c r="C1327" t="s">
        <v>36</v>
      </c>
      <c r="D1327" t="s">
        <v>11</v>
      </c>
      <c r="E1327" t="s">
        <v>37</v>
      </c>
      <c r="F1327" t="s">
        <v>18</v>
      </c>
      <c r="G1327" t="s">
        <v>19</v>
      </c>
      <c r="H1327">
        <v>75532</v>
      </c>
      <c r="I1327">
        <v>76500</v>
      </c>
    </row>
    <row r="1328" spans="1:9" x14ac:dyDescent="0.3">
      <c r="A1328" t="s">
        <v>1360</v>
      </c>
      <c r="B1328">
        <v>45849</v>
      </c>
      <c r="C1328" t="s">
        <v>31</v>
      </c>
      <c r="D1328" t="s">
        <v>11</v>
      </c>
      <c r="E1328" t="s">
        <v>17</v>
      </c>
      <c r="F1328" t="s">
        <v>33</v>
      </c>
      <c r="G1328" t="s">
        <v>19</v>
      </c>
      <c r="H1328">
        <v>109911</v>
      </c>
      <c r="I1328">
        <v>117800</v>
      </c>
    </row>
    <row r="1329" spans="1:9" x14ac:dyDescent="0.3">
      <c r="A1329" t="s">
        <v>1361</v>
      </c>
      <c r="B1329">
        <v>45849</v>
      </c>
      <c r="C1329" t="s">
        <v>31</v>
      </c>
      <c r="D1329" t="s">
        <v>11</v>
      </c>
      <c r="E1329" t="s">
        <v>17</v>
      </c>
      <c r="F1329" t="s">
        <v>26</v>
      </c>
      <c r="G1329" t="s">
        <v>14</v>
      </c>
      <c r="H1329">
        <v>90205</v>
      </c>
      <c r="I1329">
        <v>97400</v>
      </c>
    </row>
    <row r="1330" spans="1:9" x14ac:dyDescent="0.3">
      <c r="A1330" t="s">
        <v>1362</v>
      </c>
      <c r="B1330">
        <v>45849</v>
      </c>
      <c r="C1330" t="s">
        <v>55</v>
      </c>
      <c r="D1330" t="s">
        <v>11</v>
      </c>
      <c r="E1330" t="s">
        <v>37</v>
      </c>
      <c r="F1330" t="s">
        <v>56</v>
      </c>
      <c r="G1330" t="s">
        <v>19</v>
      </c>
      <c r="H1330">
        <v>73067</v>
      </c>
      <c r="I1330">
        <v>80000</v>
      </c>
    </row>
    <row r="1331" spans="1:9" x14ac:dyDescent="0.3">
      <c r="A1331" t="s">
        <v>1363</v>
      </c>
      <c r="B1331">
        <v>45849</v>
      </c>
      <c r="C1331" t="s">
        <v>55</v>
      </c>
      <c r="D1331" t="s">
        <v>11</v>
      </c>
      <c r="E1331" t="s">
        <v>37</v>
      </c>
      <c r="F1331" t="s">
        <v>26</v>
      </c>
      <c r="G1331" t="s">
        <v>14</v>
      </c>
      <c r="H1331">
        <v>117183</v>
      </c>
      <c r="I1331">
        <v>117500</v>
      </c>
    </row>
    <row r="1332" spans="1:9" x14ac:dyDescent="0.3">
      <c r="A1332" t="s">
        <v>1364</v>
      </c>
      <c r="B1332">
        <v>45850</v>
      </c>
      <c r="C1332" t="s">
        <v>62</v>
      </c>
      <c r="D1332" t="s">
        <v>11</v>
      </c>
      <c r="E1332" t="s">
        <v>22</v>
      </c>
      <c r="F1332" t="s">
        <v>39</v>
      </c>
      <c r="G1332" t="s">
        <v>19</v>
      </c>
      <c r="H1332">
        <v>71559</v>
      </c>
      <c r="I1332">
        <v>68300</v>
      </c>
    </row>
    <row r="1333" spans="1:9" x14ac:dyDescent="0.3">
      <c r="A1333" t="s">
        <v>1365</v>
      </c>
      <c r="B1333">
        <v>45850</v>
      </c>
      <c r="C1333" t="s">
        <v>62</v>
      </c>
      <c r="D1333" t="s">
        <v>11</v>
      </c>
      <c r="E1333" t="s">
        <v>22</v>
      </c>
      <c r="F1333" t="s">
        <v>59</v>
      </c>
      <c r="G1333" t="s">
        <v>14</v>
      </c>
      <c r="H1333">
        <v>47350</v>
      </c>
      <c r="I1333">
        <v>45200</v>
      </c>
    </row>
    <row r="1334" spans="1:9" x14ac:dyDescent="0.3">
      <c r="A1334" t="s">
        <v>1366</v>
      </c>
      <c r="B1334">
        <v>45850</v>
      </c>
      <c r="C1334" t="s">
        <v>10</v>
      </c>
      <c r="D1334" t="s">
        <v>11</v>
      </c>
      <c r="E1334" t="s">
        <v>12</v>
      </c>
      <c r="F1334" t="s">
        <v>46</v>
      </c>
      <c r="G1334" t="s">
        <v>19</v>
      </c>
      <c r="H1334">
        <v>68866</v>
      </c>
      <c r="I1334">
        <v>64200</v>
      </c>
    </row>
    <row r="1335" spans="1:9" x14ac:dyDescent="0.3">
      <c r="A1335" t="s">
        <v>1367</v>
      </c>
      <c r="B1335">
        <v>45850</v>
      </c>
      <c r="C1335" t="s">
        <v>16</v>
      </c>
      <c r="D1335" t="s">
        <v>11</v>
      </c>
      <c r="E1335" t="s">
        <v>17</v>
      </c>
      <c r="F1335" t="s">
        <v>59</v>
      </c>
      <c r="G1335" t="s">
        <v>14</v>
      </c>
      <c r="H1335">
        <v>37634</v>
      </c>
      <c r="I1335">
        <v>36300</v>
      </c>
    </row>
    <row r="1336" spans="1:9" x14ac:dyDescent="0.3">
      <c r="A1336" t="s">
        <v>1368</v>
      </c>
      <c r="B1336">
        <v>45850</v>
      </c>
      <c r="C1336" t="s">
        <v>36</v>
      </c>
      <c r="D1336" t="s">
        <v>11</v>
      </c>
      <c r="E1336" t="s">
        <v>37</v>
      </c>
      <c r="F1336" t="s">
        <v>13</v>
      </c>
      <c r="G1336" t="s">
        <v>14</v>
      </c>
      <c r="H1336">
        <v>131964</v>
      </c>
      <c r="I1336">
        <v>147600</v>
      </c>
    </row>
    <row r="1337" spans="1:9" x14ac:dyDescent="0.3">
      <c r="A1337" t="s">
        <v>1369</v>
      </c>
      <c r="B1337">
        <v>45850</v>
      </c>
      <c r="C1337" t="s">
        <v>21</v>
      </c>
      <c r="D1337" t="s">
        <v>11</v>
      </c>
      <c r="E1337" t="s">
        <v>22</v>
      </c>
      <c r="F1337" t="s">
        <v>12</v>
      </c>
      <c r="G1337" t="s">
        <v>14</v>
      </c>
      <c r="H1337">
        <v>118583</v>
      </c>
      <c r="I1337">
        <v>132300</v>
      </c>
    </row>
    <row r="1338" spans="1:9" x14ac:dyDescent="0.3">
      <c r="A1338" t="s">
        <v>1370</v>
      </c>
      <c r="B1338">
        <v>45850</v>
      </c>
      <c r="C1338" t="s">
        <v>21</v>
      </c>
      <c r="D1338" t="s">
        <v>11</v>
      </c>
      <c r="E1338" t="s">
        <v>22</v>
      </c>
      <c r="F1338" t="s">
        <v>59</v>
      </c>
      <c r="G1338" t="s">
        <v>14</v>
      </c>
      <c r="H1338">
        <v>120411</v>
      </c>
      <c r="I1338">
        <v>127600</v>
      </c>
    </row>
    <row r="1339" spans="1:9" x14ac:dyDescent="0.3">
      <c r="A1339" t="s">
        <v>1371</v>
      </c>
      <c r="B1339">
        <v>45850</v>
      </c>
      <c r="C1339" t="s">
        <v>25</v>
      </c>
      <c r="D1339" t="s">
        <v>11</v>
      </c>
      <c r="E1339" t="s">
        <v>22</v>
      </c>
      <c r="F1339" t="s">
        <v>39</v>
      </c>
      <c r="G1339" t="s">
        <v>19</v>
      </c>
      <c r="H1339">
        <v>71485</v>
      </c>
      <c r="I1339">
        <v>78200</v>
      </c>
    </row>
    <row r="1340" spans="1:9" x14ac:dyDescent="0.3">
      <c r="A1340" t="s">
        <v>1372</v>
      </c>
      <c r="B1340">
        <v>45850</v>
      </c>
      <c r="C1340" t="s">
        <v>25</v>
      </c>
      <c r="D1340" t="s">
        <v>11</v>
      </c>
      <c r="E1340" t="s">
        <v>22</v>
      </c>
      <c r="F1340" t="s">
        <v>56</v>
      </c>
      <c r="G1340" t="s">
        <v>19</v>
      </c>
      <c r="H1340">
        <v>36027</v>
      </c>
      <c r="I1340">
        <v>35200</v>
      </c>
    </row>
    <row r="1341" spans="1:9" x14ac:dyDescent="0.3">
      <c r="A1341" t="s">
        <v>1373</v>
      </c>
      <c r="B1341">
        <v>45850</v>
      </c>
      <c r="C1341" t="s">
        <v>25</v>
      </c>
      <c r="D1341" t="s">
        <v>11</v>
      </c>
      <c r="E1341" t="s">
        <v>22</v>
      </c>
      <c r="F1341" t="s">
        <v>23</v>
      </c>
      <c r="G1341" t="s">
        <v>14</v>
      </c>
      <c r="H1341">
        <v>163610</v>
      </c>
      <c r="I1341">
        <v>149200</v>
      </c>
    </row>
    <row r="1342" spans="1:9" x14ac:dyDescent="0.3">
      <c r="A1342" t="s">
        <v>1374</v>
      </c>
      <c r="B1342">
        <v>45850</v>
      </c>
      <c r="C1342" t="s">
        <v>31</v>
      </c>
      <c r="D1342" t="s">
        <v>11</v>
      </c>
      <c r="E1342" t="s">
        <v>17</v>
      </c>
      <c r="F1342" t="s">
        <v>33</v>
      </c>
      <c r="G1342" t="s">
        <v>19</v>
      </c>
      <c r="H1342">
        <v>87003</v>
      </c>
      <c r="I1342">
        <v>104100</v>
      </c>
    </row>
    <row r="1343" spans="1:9" x14ac:dyDescent="0.3">
      <c r="A1343" t="s">
        <v>1375</v>
      </c>
      <c r="B1343">
        <v>45851</v>
      </c>
      <c r="C1343" t="s">
        <v>16</v>
      </c>
      <c r="D1343" t="s">
        <v>11</v>
      </c>
      <c r="E1343" t="s">
        <v>17</v>
      </c>
      <c r="F1343" t="s">
        <v>26</v>
      </c>
      <c r="G1343" t="s">
        <v>14</v>
      </c>
      <c r="H1343">
        <v>25831</v>
      </c>
      <c r="I1343">
        <v>28400</v>
      </c>
    </row>
    <row r="1344" spans="1:9" x14ac:dyDescent="0.3">
      <c r="A1344" t="s">
        <v>1376</v>
      </c>
      <c r="B1344">
        <v>45851</v>
      </c>
      <c r="C1344" t="s">
        <v>36</v>
      </c>
      <c r="D1344" t="s">
        <v>11</v>
      </c>
      <c r="E1344" t="s">
        <v>37</v>
      </c>
      <c r="F1344" t="s">
        <v>12</v>
      </c>
      <c r="G1344" t="s">
        <v>14</v>
      </c>
      <c r="H1344">
        <v>124080</v>
      </c>
      <c r="I1344">
        <v>117700</v>
      </c>
    </row>
    <row r="1345" spans="1:9" x14ac:dyDescent="0.3">
      <c r="A1345" t="s">
        <v>1377</v>
      </c>
      <c r="B1345">
        <v>45851</v>
      </c>
      <c r="C1345" t="s">
        <v>21</v>
      </c>
      <c r="D1345" t="s">
        <v>11</v>
      </c>
      <c r="E1345" t="s">
        <v>22</v>
      </c>
      <c r="F1345" t="s">
        <v>46</v>
      </c>
      <c r="G1345" t="s">
        <v>19</v>
      </c>
      <c r="H1345">
        <v>116816</v>
      </c>
      <c r="I1345">
        <v>106900</v>
      </c>
    </row>
    <row r="1346" spans="1:9" x14ac:dyDescent="0.3">
      <c r="A1346" t="s">
        <v>1378</v>
      </c>
      <c r="B1346">
        <v>45851</v>
      </c>
      <c r="C1346" t="s">
        <v>31</v>
      </c>
      <c r="D1346" t="s">
        <v>11</v>
      </c>
      <c r="E1346" t="s">
        <v>17</v>
      </c>
      <c r="F1346" t="s">
        <v>18</v>
      </c>
      <c r="G1346" t="s">
        <v>19</v>
      </c>
      <c r="H1346">
        <v>33409</v>
      </c>
      <c r="I1346">
        <v>34400</v>
      </c>
    </row>
    <row r="1347" spans="1:9" x14ac:dyDescent="0.3">
      <c r="A1347" t="s">
        <v>1379</v>
      </c>
      <c r="B1347">
        <v>45851</v>
      </c>
      <c r="C1347" t="s">
        <v>55</v>
      </c>
      <c r="D1347" t="s">
        <v>11</v>
      </c>
      <c r="E1347" t="s">
        <v>37</v>
      </c>
      <c r="F1347" t="s">
        <v>23</v>
      </c>
      <c r="G1347" t="s">
        <v>14</v>
      </c>
      <c r="H1347">
        <v>97773</v>
      </c>
      <c r="I1347">
        <v>98100</v>
      </c>
    </row>
    <row r="1348" spans="1:9" x14ac:dyDescent="0.3">
      <c r="A1348" t="s">
        <v>1380</v>
      </c>
      <c r="B1348">
        <v>45852</v>
      </c>
      <c r="C1348" t="s">
        <v>62</v>
      </c>
      <c r="D1348" t="s">
        <v>11</v>
      </c>
      <c r="E1348" t="s">
        <v>22</v>
      </c>
      <c r="F1348" t="s">
        <v>13</v>
      </c>
      <c r="G1348" t="s">
        <v>14</v>
      </c>
      <c r="H1348">
        <v>157725</v>
      </c>
      <c r="I1348">
        <v>163300</v>
      </c>
    </row>
    <row r="1349" spans="1:9" x14ac:dyDescent="0.3">
      <c r="A1349" t="s">
        <v>1381</v>
      </c>
      <c r="B1349">
        <v>45852</v>
      </c>
      <c r="C1349" t="s">
        <v>16</v>
      </c>
      <c r="D1349" t="s">
        <v>11</v>
      </c>
      <c r="E1349" t="s">
        <v>17</v>
      </c>
      <c r="F1349" t="s">
        <v>46</v>
      </c>
      <c r="G1349" t="s">
        <v>19</v>
      </c>
      <c r="H1349">
        <v>92734</v>
      </c>
      <c r="I1349">
        <v>88000</v>
      </c>
    </row>
    <row r="1350" spans="1:9" x14ac:dyDescent="0.3">
      <c r="A1350" t="s">
        <v>1382</v>
      </c>
      <c r="B1350">
        <v>45852</v>
      </c>
      <c r="C1350" t="s">
        <v>36</v>
      </c>
      <c r="D1350" t="s">
        <v>11</v>
      </c>
      <c r="E1350" t="s">
        <v>37</v>
      </c>
      <c r="F1350" t="s">
        <v>46</v>
      </c>
      <c r="G1350" t="s">
        <v>19</v>
      </c>
      <c r="H1350">
        <v>33055</v>
      </c>
      <c r="I1350">
        <v>34300</v>
      </c>
    </row>
    <row r="1351" spans="1:9" x14ac:dyDescent="0.3">
      <c r="A1351" t="s">
        <v>1383</v>
      </c>
      <c r="B1351">
        <v>45852</v>
      </c>
      <c r="C1351" t="s">
        <v>36</v>
      </c>
      <c r="D1351" t="s">
        <v>11</v>
      </c>
      <c r="E1351" t="s">
        <v>37</v>
      </c>
      <c r="F1351" t="s">
        <v>39</v>
      </c>
      <c r="G1351" t="s">
        <v>19</v>
      </c>
      <c r="H1351">
        <v>17004</v>
      </c>
      <c r="I1351">
        <v>17800</v>
      </c>
    </row>
    <row r="1352" spans="1:9" x14ac:dyDescent="0.3">
      <c r="A1352" t="s">
        <v>1384</v>
      </c>
      <c r="B1352">
        <v>45852</v>
      </c>
      <c r="C1352" t="s">
        <v>21</v>
      </c>
      <c r="D1352" t="s">
        <v>11</v>
      </c>
      <c r="E1352" t="s">
        <v>22</v>
      </c>
      <c r="F1352" t="s">
        <v>23</v>
      </c>
      <c r="G1352" t="s">
        <v>14</v>
      </c>
      <c r="H1352">
        <v>117459</v>
      </c>
      <c r="I1352">
        <v>131000</v>
      </c>
    </row>
    <row r="1353" spans="1:9" x14ac:dyDescent="0.3">
      <c r="A1353" t="s">
        <v>1385</v>
      </c>
      <c r="B1353">
        <v>45852</v>
      </c>
      <c r="C1353" t="s">
        <v>25</v>
      </c>
      <c r="D1353" t="s">
        <v>11</v>
      </c>
      <c r="E1353" t="s">
        <v>22</v>
      </c>
      <c r="F1353" t="s">
        <v>37</v>
      </c>
      <c r="G1353" t="s">
        <v>14</v>
      </c>
      <c r="H1353">
        <v>164842</v>
      </c>
      <c r="I1353">
        <v>181200</v>
      </c>
    </row>
    <row r="1354" spans="1:9" x14ac:dyDescent="0.3">
      <c r="A1354" t="s">
        <v>1386</v>
      </c>
      <c r="B1354">
        <v>45852</v>
      </c>
      <c r="C1354" t="s">
        <v>31</v>
      </c>
      <c r="D1354" t="s">
        <v>11</v>
      </c>
      <c r="E1354" t="s">
        <v>17</v>
      </c>
      <c r="F1354" t="s">
        <v>13</v>
      </c>
      <c r="G1354" t="s">
        <v>14</v>
      </c>
      <c r="H1354">
        <v>143854</v>
      </c>
      <c r="I1354">
        <v>139100</v>
      </c>
    </row>
    <row r="1355" spans="1:9" x14ac:dyDescent="0.3">
      <c r="A1355" t="s">
        <v>1387</v>
      </c>
      <c r="B1355">
        <v>45852</v>
      </c>
      <c r="C1355" t="s">
        <v>31</v>
      </c>
      <c r="D1355" t="s">
        <v>11</v>
      </c>
      <c r="E1355" t="s">
        <v>17</v>
      </c>
      <c r="F1355" t="s">
        <v>13</v>
      </c>
      <c r="G1355" t="s">
        <v>14</v>
      </c>
      <c r="H1355">
        <v>74125</v>
      </c>
      <c r="I1355">
        <v>71400</v>
      </c>
    </row>
    <row r="1356" spans="1:9" x14ac:dyDescent="0.3">
      <c r="A1356" t="s">
        <v>1388</v>
      </c>
      <c r="B1356">
        <v>45853</v>
      </c>
      <c r="C1356" t="s">
        <v>62</v>
      </c>
      <c r="D1356" t="s">
        <v>11</v>
      </c>
      <c r="E1356" t="s">
        <v>22</v>
      </c>
      <c r="F1356" t="s">
        <v>26</v>
      </c>
      <c r="G1356" t="s">
        <v>14</v>
      </c>
      <c r="H1356">
        <v>34137</v>
      </c>
      <c r="I1356">
        <v>36100</v>
      </c>
    </row>
    <row r="1357" spans="1:9" x14ac:dyDescent="0.3">
      <c r="A1357" t="s">
        <v>1389</v>
      </c>
      <c r="B1357">
        <v>45853</v>
      </c>
      <c r="C1357" t="s">
        <v>21</v>
      </c>
      <c r="D1357" t="s">
        <v>11</v>
      </c>
      <c r="E1357" t="s">
        <v>22</v>
      </c>
      <c r="F1357" t="s">
        <v>46</v>
      </c>
      <c r="G1357" t="s">
        <v>19</v>
      </c>
      <c r="H1357">
        <v>13562</v>
      </c>
      <c r="I1357">
        <v>14400</v>
      </c>
    </row>
    <row r="1358" spans="1:9" x14ac:dyDescent="0.3">
      <c r="A1358" t="s">
        <v>1390</v>
      </c>
      <c r="B1358">
        <v>45853</v>
      </c>
      <c r="C1358" t="s">
        <v>25</v>
      </c>
      <c r="D1358" t="s">
        <v>11</v>
      </c>
      <c r="E1358" t="s">
        <v>22</v>
      </c>
      <c r="F1358" t="s">
        <v>56</v>
      </c>
      <c r="G1358" t="s">
        <v>19</v>
      </c>
      <c r="H1358">
        <v>102974</v>
      </c>
      <c r="I1358">
        <v>96600</v>
      </c>
    </row>
    <row r="1359" spans="1:9" x14ac:dyDescent="0.3">
      <c r="A1359" t="s">
        <v>1391</v>
      </c>
      <c r="B1359">
        <v>45853</v>
      </c>
      <c r="C1359" t="s">
        <v>55</v>
      </c>
      <c r="D1359" t="s">
        <v>11</v>
      </c>
      <c r="E1359" t="s">
        <v>37</v>
      </c>
      <c r="F1359" t="s">
        <v>26</v>
      </c>
      <c r="G1359" t="s">
        <v>14</v>
      </c>
      <c r="H1359">
        <v>221548</v>
      </c>
      <c r="I1359">
        <v>231600</v>
      </c>
    </row>
    <row r="1360" spans="1:9" x14ac:dyDescent="0.3">
      <c r="A1360" t="s">
        <v>1392</v>
      </c>
      <c r="B1360">
        <v>45854</v>
      </c>
      <c r="C1360" t="s">
        <v>62</v>
      </c>
      <c r="D1360" t="s">
        <v>11</v>
      </c>
      <c r="E1360" t="s">
        <v>22</v>
      </c>
      <c r="F1360" t="s">
        <v>46</v>
      </c>
      <c r="G1360" t="s">
        <v>19</v>
      </c>
      <c r="H1360">
        <v>51178</v>
      </c>
      <c r="I1360">
        <v>46400</v>
      </c>
    </row>
    <row r="1361" spans="1:9" x14ac:dyDescent="0.3">
      <c r="A1361" t="s">
        <v>1393</v>
      </c>
      <c r="B1361">
        <v>45854</v>
      </c>
      <c r="C1361" t="s">
        <v>62</v>
      </c>
      <c r="D1361" t="s">
        <v>11</v>
      </c>
      <c r="E1361" t="s">
        <v>22</v>
      </c>
      <c r="F1361" t="s">
        <v>59</v>
      </c>
      <c r="G1361" t="s">
        <v>14</v>
      </c>
      <c r="H1361">
        <v>238466</v>
      </c>
      <c r="I1361">
        <v>255500</v>
      </c>
    </row>
    <row r="1362" spans="1:9" x14ac:dyDescent="0.3">
      <c r="A1362" t="s">
        <v>1394</v>
      </c>
      <c r="B1362">
        <v>45854</v>
      </c>
      <c r="C1362" t="s">
        <v>62</v>
      </c>
      <c r="D1362" t="s">
        <v>11</v>
      </c>
      <c r="E1362" t="s">
        <v>22</v>
      </c>
      <c r="F1362" t="s">
        <v>26</v>
      </c>
      <c r="G1362" t="s">
        <v>14</v>
      </c>
      <c r="H1362">
        <v>101807</v>
      </c>
      <c r="I1362">
        <v>112600</v>
      </c>
    </row>
    <row r="1363" spans="1:9" x14ac:dyDescent="0.3">
      <c r="A1363" t="s">
        <v>1395</v>
      </c>
      <c r="B1363">
        <v>45854</v>
      </c>
      <c r="C1363" t="s">
        <v>10</v>
      </c>
      <c r="D1363" t="s">
        <v>11</v>
      </c>
      <c r="E1363" t="s">
        <v>12</v>
      </c>
      <c r="F1363" t="s">
        <v>33</v>
      </c>
      <c r="G1363" t="s">
        <v>19</v>
      </c>
      <c r="H1363">
        <v>80670</v>
      </c>
      <c r="I1363">
        <v>83600</v>
      </c>
    </row>
    <row r="1364" spans="1:9" x14ac:dyDescent="0.3">
      <c r="A1364" t="s">
        <v>1396</v>
      </c>
      <c r="B1364">
        <v>45854</v>
      </c>
      <c r="C1364" t="s">
        <v>16</v>
      </c>
      <c r="D1364" t="s">
        <v>11</v>
      </c>
      <c r="E1364" t="s">
        <v>17</v>
      </c>
      <c r="F1364" t="s">
        <v>33</v>
      </c>
      <c r="G1364" t="s">
        <v>19</v>
      </c>
      <c r="H1364">
        <v>87576</v>
      </c>
      <c r="I1364">
        <v>96700</v>
      </c>
    </row>
    <row r="1365" spans="1:9" x14ac:dyDescent="0.3">
      <c r="A1365" t="s">
        <v>1397</v>
      </c>
      <c r="B1365">
        <v>45854</v>
      </c>
      <c r="C1365" t="s">
        <v>16</v>
      </c>
      <c r="D1365" t="s">
        <v>11</v>
      </c>
      <c r="E1365" t="s">
        <v>17</v>
      </c>
      <c r="F1365" t="s">
        <v>56</v>
      </c>
      <c r="G1365" t="s">
        <v>19</v>
      </c>
      <c r="H1365">
        <v>103435</v>
      </c>
      <c r="I1365">
        <v>95800</v>
      </c>
    </row>
    <row r="1366" spans="1:9" x14ac:dyDescent="0.3">
      <c r="A1366" t="s">
        <v>1398</v>
      </c>
      <c r="B1366">
        <v>45854</v>
      </c>
      <c r="C1366" t="s">
        <v>21</v>
      </c>
      <c r="D1366" t="s">
        <v>11</v>
      </c>
      <c r="E1366" t="s">
        <v>22</v>
      </c>
      <c r="F1366" t="s">
        <v>33</v>
      </c>
      <c r="G1366" t="s">
        <v>19</v>
      </c>
      <c r="H1366">
        <v>52000</v>
      </c>
      <c r="I1366">
        <v>54700</v>
      </c>
    </row>
    <row r="1367" spans="1:9" x14ac:dyDescent="0.3">
      <c r="A1367" t="s">
        <v>1399</v>
      </c>
      <c r="B1367">
        <v>45854</v>
      </c>
      <c r="C1367" t="s">
        <v>25</v>
      </c>
      <c r="D1367" t="s">
        <v>11</v>
      </c>
      <c r="E1367" t="s">
        <v>22</v>
      </c>
      <c r="F1367" t="s">
        <v>33</v>
      </c>
      <c r="G1367" t="s">
        <v>19</v>
      </c>
      <c r="H1367">
        <v>13266</v>
      </c>
      <c r="I1367">
        <v>14500</v>
      </c>
    </row>
    <row r="1368" spans="1:9" x14ac:dyDescent="0.3">
      <c r="A1368" t="s">
        <v>1400</v>
      </c>
      <c r="B1368">
        <v>45854</v>
      </c>
      <c r="C1368" t="s">
        <v>25</v>
      </c>
      <c r="D1368" t="s">
        <v>11</v>
      </c>
      <c r="E1368" t="s">
        <v>22</v>
      </c>
      <c r="F1368" t="s">
        <v>37</v>
      </c>
      <c r="G1368" t="s">
        <v>14</v>
      </c>
      <c r="H1368">
        <v>63232</v>
      </c>
      <c r="I1368">
        <v>71900</v>
      </c>
    </row>
    <row r="1369" spans="1:9" x14ac:dyDescent="0.3">
      <c r="A1369" t="s">
        <v>1401</v>
      </c>
      <c r="B1369">
        <v>45854</v>
      </c>
      <c r="C1369" t="s">
        <v>31</v>
      </c>
      <c r="D1369" t="s">
        <v>11</v>
      </c>
      <c r="E1369" t="s">
        <v>17</v>
      </c>
      <c r="F1369" t="s">
        <v>59</v>
      </c>
      <c r="G1369" t="s">
        <v>14</v>
      </c>
      <c r="H1369">
        <v>146218</v>
      </c>
      <c r="I1369">
        <v>154700</v>
      </c>
    </row>
    <row r="1370" spans="1:9" x14ac:dyDescent="0.3">
      <c r="A1370" t="s">
        <v>1402</v>
      </c>
      <c r="B1370">
        <v>45854</v>
      </c>
      <c r="C1370" t="s">
        <v>55</v>
      </c>
      <c r="D1370" t="s">
        <v>11</v>
      </c>
      <c r="E1370" t="s">
        <v>37</v>
      </c>
      <c r="F1370" t="s">
        <v>37</v>
      </c>
      <c r="G1370" t="s">
        <v>14</v>
      </c>
      <c r="H1370">
        <v>144860</v>
      </c>
      <c r="I1370">
        <v>149900</v>
      </c>
    </row>
    <row r="1371" spans="1:9" x14ac:dyDescent="0.3">
      <c r="A1371" t="s">
        <v>1403</v>
      </c>
      <c r="B1371">
        <v>45854</v>
      </c>
      <c r="C1371" t="s">
        <v>55</v>
      </c>
      <c r="D1371" t="s">
        <v>11</v>
      </c>
      <c r="E1371" t="s">
        <v>37</v>
      </c>
      <c r="F1371" t="s">
        <v>59</v>
      </c>
      <c r="G1371" t="s">
        <v>14</v>
      </c>
      <c r="H1371">
        <v>98433</v>
      </c>
      <c r="I1371">
        <v>100900</v>
      </c>
    </row>
    <row r="1372" spans="1:9" x14ac:dyDescent="0.3">
      <c r="A1372" t="s">
        <v>1404</v>
      </c>
      <c r="B1372">
        <v>45855</v>
      </c>
      <c r="C1372" t="s">
        <v>62</v>
      </c>
      <c r="D1372" t="s">
        <v>11</v>
      </c>
      <c r="E1372" t="s">
        <v>22</v>
      </c>
      <c r="F1372" t="s">
        <v>42</v>
      </c>
      <c r="G1372" t="s">
        <v>19</v>
      </c>
      <c r="H1372">
        <v>56658</v>
      </c>
      <c r="I1372">
        <v>62000</v>
      </c>
    </row>
    <row r="1373" spans="1:9" x14ac:dyDescent="0.3">
      <c r="A1373" t="s">
        <v>1405</v>
      </c>
      <c r="B1373">
        <v>45855</v>
      </c>
      <c r="C1373" t="s">
        <v>16</v>
      </c>
      <c r="D1373" t="s">
        <v>11</v>
      </c>
      <c r="E1373" t="s">
        <v>17</v>
      </c>
      <c r="F1373" t="s">
        <v>39</v>
      </c>
      <c r="G1373" t="s">
        <v>19</v>
      </c>
      <c r="H1373">
        <v>43044</v>
      </c>
      <c r="I1373">
        <v>38400</v>
      </c>
    </row>
    <row r="1374" spans="1:9" x14ac:dyDescent="0.3">
      <c r="A1374" t="s">
        <v>1406</v>
      </c>
      <c r="B1374">
        <v>45855</v>
      </c>
      <c r="C1374" t="s">
        <v>36</v>
      </c>
      <c r="D1374" t="s">
        <v>11</v>
      </c>
      <c r="E1374" t="s">
        <v>37</v>
      </c>
      <c r="F1374" t="s">
        <v>23</v>
      </c>
      <c r="G1374" t="s">
        <v>14</v>
      </c>
      <c r="H1374">
        <v>227465</v>
      </c>
      <c r="I1374">
        <v>269600</v>
      </c>
    </row>
    <row r="1375" spans="1:9" x14ac:dyDescent="0.3">
      <c r="A1375" t="s">
        <v>1407</v>
      </c>
      <c r="B1375">
        <v>45855</v>
      </c>
      <c r="C1375" t="s">
        <v>21</v>
      </c>
      <c r="D1375" t="s">
        <v>11</v>
      </c>
      <c r="E1375" t="s">
        <v>22</v>
      </c>
      <c r="F1375" t="s">
        <v>39</v>
      </c>
      <c r="G1375" t="s">
        <v>19</v>
      </c>
      <c r="H1375">
        <v>57292</v>
      </c>
      <c r="I1375">
        <v>57400</v>
      </c>
    </row>
    <row r="1376" spans="1:9" x14ac:dyDescent="0.3">
      <c r="A1376" t="s">
        <v>1408</v>
      </c>
      <c r="B1376">
        <v>45855</v>
      </c>
      <c r="C1376" t="s">
        <v>21</v>
      </c>
      <c r="D1376" t="s">
        <v>11</v>
      </c>
      <c r="E1376" t="s">
        <v>22</v>
      </c>
      <c r="F1376" t="s">
        <v>33</v>
      </c>
      <c r="G1376" t="s">
        <v>19</v>
      </c>
      <c r="H1376">
        <v>13800</v>
      </c>
      <c r="I1376">
        <v>14100</v>
      </c>
    </row>
    <row r="1377" spans="1:9" x14ac:dyDescent="0.3">
      <c r="A1377" t="s">
        <v>1409</v>
      </c>
      <c r="B1377">
        <v>45855</v>
      </c>
      <c r="C1377" t="s">
        <v>25</v>
      </c>
      <c r="D1377" t="s">
        <v>11</v>
      </c>
      <c r="E1377" t="s">
        <v>22</v>
      </c>
      <c r="F1377" t="s">
        <v>46</v>
      </c>
      <c r="G1377" t="s">
        <v>19</v>
      </c>
      <c r="H1377">
        <v>50737</v>
      </c>
      <c r="I1377">
        <v>58000</v>
      </c>
    </row>
    <row r="1378" spans="1:9" x14ac:dyDescent="0.3">
      <c r="A1378" t="s">
        <v>1410</v>
      </c>
      <c r="B1378">
        <v>45856</v>
      </c>
      <c r="C1378" t="s">
        <v>62</v>
      </c>
      <c r="D1378" t="s">
        <v>11</v>
      </c>
      <c r="E1378" t="s">
        <v>22</v>
      </c>
      <c r="F1378" t="s">
        <v>56</v>
      </c>
      <c r="G1378" t="s">
        <v>19</v>
      </c>
      <c r="H1378">
        <v>23927</v>
      </c>
      <c r="I1378">
        <v>24400</v>
      </c>
    </row>
    <row r="1379" spans="1:9" x14ac:dyDescent="0.3">
      <c r="A1379" t="s">
        <v>1411</v>
      </c>
      <c r="B1379">
        <v>45856</v>
      </c>
      <c r="C1379" t="s">
        <v>62</v>
      </c>
      <c r="D1379" t="s">
        <v>11</v>
      </c>
      <c r="E1379" t="s">
        <v>22</v>
      </c>
      <c r="F1379" t="s">
        <v>59</v>
      </c>
      <c r="G1379" t="s">
        <v>14</v>
      </c>
      <c r="H1379">
        <v>208180</v>
      </c>
      <c r="I1379">
        <v>203200</v>
      </c>
    </row>
    <row r="1380" spans="1:9" x14ac:dyDescent="0.3">
      <c r="A1380" t="s">
        <v>1412</v>
      </c>
      <c r="B1380">
        <v>45856</v>
      </c>
      <c r="C1380" t="s">
        <v>16</v>
      </c>
      <c r="D1380" t="s">
        <v>11</v>
      </c>
      <c r="E1380" t="s">
        <v>17</v>
      </c>
      <c r="F1380" t="s">
        <v>33</v>
      </c>
      <c r="G1380" t="s">
        <v>19</v>
      </c>
      <c r="H1380">
        <v>89288</v>
      </c>
      <c r="I1380">
        <v>80000</v>
      </c>
    </row>
    <row r="1381" spans="1:9" x14ac:dyDescent="0.3">
      <c r="A1381" t="s">
        <v>1413</v>
      </c>
      <c r="B1381">
        <v>45856</v>
      </c>
      <c r="C1381" t="s">
        <v>36</v>
      </c>
      <c r="D1381" t="s">
        <v>11</v>
      </c>
      <c r="E1381" t="s">
        <v>37</v>
      </c>
      <c r="F1381" t="s">
        <v>59</v>
      </c>
      <c r="G1381" t="s">
        <v>14</v>
      </c>
      <c r="H1381">
        <v>148859</v>
      </c>
      <c r="I1381">
        <v>159200</v>
      </c>
    </row>
    <row r="1382" spans="1:9" x14ac:dyDescent="0.3">
      <c r="A1382" t="s">
        <v>1414</v>
      </c>
      <c r="B1382">
        <v>45856</v>
      </c>
      <c r="C1382" t="s">
        <v>21</v>
      </c>
      <c r="D1382" t="s">
        <v>11</v>
      </c>
      <c r="E1382" t="s">
        <v>22</v>
      </c>
      <c r="F1382" t="s">
        <v>42</v>
      </c>
      <c r="G1382" t="s">
        <v>19</v>
      </c>
      <c r="H1382">
        <v>110180</v>
      </c>
      <c r="I1382">
        <v>111700</v>
      </c>
    </row>
    <row r="1383" spans="1:9" x14ac:dyDescent="0.3">
      <c r="A1383" t="s">
        <v>1415</v>
      </c>
      <c r="B1383">
        <v>45856</v>
      </c>
      <c r="C1383" t="s">
        <v>21</v>
      </c>
      <c r="D1383" t="s">
        <v>11</v>
      </c>
      <c r="E1383" t="s">
        <v>22</v>
      </c>
      <c r="F1383" t="s">
        <v>12</v>
      </c>
      <c r="G1383" t="s">
        <v>14</v>
      </c>
      <c r="H1383">
        <v>26960</v>
      </c>
      <c r="I1383">
        <v>25900</v>
      </c>
    </row>
    <row r="1384" spans="1:9" x14ac:dyDescent="0.3">
      <c r="A1384" t="s">
        <v>1416</v>
      </c>
      <c r="B1384">
        <v>45856</v>
      </c>
      <c r="C1384" t="s">
        <v>21</v>
      </c>
      <c r="D1384" t="s">
        <v>11</v>
      </c>
      <c r="E1384" t="s">
        <v>22</v>
      </c>
      <c r="F1384" t="s">
        <v>23</v>
      </c>
      <c r="G1384" t="s">
        <v>14</v>
      </c>
      <c r="H1384">
        <v>32948</v>
      </c>
      <c r="I1384">
        <v>35100</v>
      </c>
    </row>
    <row r="1385" spans="1:9" x14ac:dyDescent="0.3">
      <c r="A1385" t="s">
        <v>1417</v>
      </c>
      <c r="B1385">
        <v>45856</v>
      </c>
      <c r="C1385" t="s">
        <v>25</v>
      </c>
      <c r="D1385" t="s">
        <v>11</v>
      </c>
      <c r="E1385" t="s">
        <v>22</v>
      </c>
      <c r="F1385" t="s">
        <v>46</v>
      </c>
      <c r="G1385" t="s">
        <v>19</v>
      </c>
      <c r="H1385">
        <v>107495</v>
      </c>
      <c r="I1385">
        <v>104300</v>
      </c>
    </row>
    <row r="1386" spans="1:9" x14ac:dyDescent="0.3">
      <c r="A1386" t="s">
        <v>1418</v>
      </c>
      <c r="B1386">
        <v>45856</v>
      </c>
      <c r="C1386" t="s">
        <v>25</v>
      </c>
      <c r="D1386" t="s">
        <v>11</v>
      </c>
      <c r="E1386" t="s">
        <v>22</v>
      </c>
      <c r="F1386" t="s">
        <v>37</v>
      </c>
      <c r="G1386" t="s">
        <v>14</v>
      </c>
      <c r="H1386">
        <v>165645</v>
      </c>
      <c r="I1386">
        <v>157900</v>
      </c>
    </row>
    <row r="1387" spans="1:9" x14ac:dyDescent="0.3">
      <c r="A1387" t="s">
        <v>1419</v>
      </c>
      <c r="B1387">
        <v>45856</v>
      </c>
      <c r="C1387" t="s">
        <v>31</v>
      </c>
      <c r="D1387" t="s">
        <v>11</v>
      </c>
      <c r="E1387" t="s">
        <v>17</v>
      </c>
      <c r="F1387" t="s">
        <v>12</v>
      </c>
      <c r="G1387" t="s">
        <v>14</v>
      </c>
      <c r="H1387">
        <v>175936</v>
      </c>
      <c r="I1387">
        <v>197300</v>
      </c>
    </row>
    <row r="1388" spans="1:9" x14ac:dyDescent="0.3">
      <c r="A1388" t="s">
        <v>1420</v>
      </c>
      <c r="B1388">
        <v>45856</v>
      </c>
      <c r="C1388" t="s">
        <v>55</v>
      </c>
      <c r="D1388" t="s">
        <v>11</v>
      </c>
      <c r="E1388" t="s">
        <v>37</v>
      </c>
      <c r="F1388" t="s">
        <v>13</v>
      </c>
      <c r="G1388" t="s">
        <v>14</v>
      </c>
      <c r="H1388">
        <v>26679</v>
      </c>
      <c r="I1388">
        <v>26300</v>
      </c>
    </row>
    <row r="1389" spans="1:9" x14ac:dyDescent="0.3">
      <c r="A1389" t="s">
        <v>1421</v>
      </c>
      <c r="B1389">
        <v>45857</v>
      </c>
      <c r="C1389" t="s">
        <v>62</v>
      </c>
      <c r="D1389" t="s">
        <v>11</v>
      </c>
      <c r="E1389" t="s">
        <v>22</v>
      </c>
      <c r="F1389" t="s">
        <v>26</v>
      </c>
      <c r="G1389" t="s">
        <v>14</v>
      </c>
      <c r="H1389">
        <v>109744</v>
      </c>
      <c r="I1389">
        <v>114700</v>
      </c>
    </row>
    <row r="1390" spans="1:9" x14ac:dyDescent="0.3">
      <c r="A1390" t="s">
        <v>1422</v>
      </c>
      <c r="B1390">
        <v>45857</v>
      </c>
      <c r="C1390" t="s">
        <v>25</v>
      </c>
      <c r="D1390" t="s">
        <v>11</v>
      </c>
      <c r="E1390" t="s">
        <v>22</v>
      </c>
      <c r="F1390" t="s">
        <v>12</v>
      </c>
      <c r="G1390" t="s">
        <v>14</v>
      </c>
      <c r="H1390">
        <v>106145</v>
      </c>
      <c r="I1390">
        <v>75000</v>
      </c>
    </row>
    <row r="1391" spans="1:9" x14ac:dyDescent="0.3">
      <c r="A1391" t="s">
        <v>1423</v>
      </c>
      <c r="B1391">
        <v>45857</v>
      </c>
      <c r="C1391" t="s">
        <v>31</v>
      </c>
      <c r="D1391" t="s">
        <v>11</v>
      </c>
      <c r="E1391" t="s">
        <v>17</v>
      </c>
      <c r="F1391" t="s">
        <v>59</v>
      </c>
      <c r="G1391" t="s">
        <v>14</v>
      </c>
      <c r="H1391">
        <v>129110</v>
      </c>
      <c r="I1391">
        <v>119600</v>
      </c>
    </row>
    <row r="1392" spans="1:9" x14ac:dyDescent="0.3">
      <c r="A1392" t="s">
        <v>1424</v>
      </c>
      <c r="B1392">
        <v>45857</v>
      </c>
      <c r="C1392" t="s">
        <v>55</v>
      </c>
      <c r="D1392" t="s">
        <v>11</v>
      </c>
      <c r="E1392" t="s">
        <v>37</v>
      </c>
      <c r="F1392" t="s">
        <v>46</v>
      </c>
      <c r="G1392" t="s">
        <v>19</v>
      </c>
      <c r="H1392">
        <v>15357</v>
      </c>
      <c r="I1392">
        <v>14900</v>
      </c>
    </row>
    <row r="1393" spans="1:9" x14ac:dyDescent="0.3">
      <c r="A1393" t="s">
        <v>1425</v>
      </c>
      <c r="B1393">
        <v>45857</v>
      </c>
      <c r="C1393" t="s">
        <v>55</v>
      </c>
      <c r="D1393" t="s">
        <v>11</v>
      </c>
      <c r="E1393" t="s">
        <v>37</v>
      </c>
      <c r="F1393" t="s">
        <v>37</v>
      </c>
      <c r="G1393" t="s">
        <v>14</v>
      </c>
      <c r="H1393">
        <v>192532</v>
      </c>
      <c r="I1393">
        <v>201700</v>
      </c>
    </row>
    <row r="1394" spans="1:9" x14ac:dyDescent="0.3">
      <c r="A1394" t="s">
        <v>1426</v>
      </c>
      <c r="B1394">
        <v>45858</v>
      </c>
      <c r="C1394" t="s">
        <v>62</v>
      </c>
      <c r="D1394" t="s">
        <v>11</v>
      </c>
      <c r="E1394" t="s">
        <v>22</v>
      </c>
      <c r="F1394" t="s">
        <v>23</v>
      </c>
      <c r="G1394" t="s">
        <v>14</v>
      </c>
      <c r="H1394">
        <v>106599</v>
      </c>
      <c r="I1394">
        <v>109500</v>
      </c>
    </row>
    <row r="1395" spans="1:9" x14ac:dyDescent="0.3">
      <c r="A1395" t="s">
        <v>1427</v>
      </c>
      <c r="B1395">
        <v>45858</v>
      </c>
      <c r="C1395" t="s">
        <v>62</v>
      </c>
      <c r="D1395" t="s">
        <v>11</v>
      </c>
      <c r="E1395" t="s">
        <v>22</v>
      </c>
      <c r="F1395" t="s">
        <v>23</v>
      </c>
      <c r="G1395" t="s">
        <v>14</v>
      </c>
      <c r="H1395">
        <v>219392</v>
      </c>
      <c r="I1395">
        <v>188900</v>
      </c>
    </row>
    <row r="1396" spans="1:9" x14ac:dyDescent="0.3">
      <c r="A1396" t="s">
        <v>1428</v>
      </c>
      <c r="B1396">
        <v>45858</v>
      </c>
      <c r="C1396" t="s">
        <v>21</v>
      </c>
      <c r="D1396" t="s">
        <v>11</v>
      </c>
      <c r="E1396" t="s">
        <v>22</v>
      </c>
      <c r="F1396" t="s">
        <v>42</v>
      </c>
      <c r="G1396" t="s">
        <v>19</v>
      </c>
      <c r="H1396">
        <v>18458</v>
      </c>
      <c r="I1396">
        <v>18100</v>
      </c>
    </row>
    <row r="1397" spans="1:9" x14ac:dyDescent="0.3">
      <c r="A1397" t="s">
        <v>1429</v>
      </c>
      <c r="B1397">
        <v>45858</v>
      </c>
      <c r="C1397" t="s">
        <v>25</v>
      </c>
      <c r="D1397" t="s">
        <v>11</v>
      </c>
      <c r="E1397" t="s">
        <v>22</v>
      </c>
      <c r="F1397" t="s">
        <v>56</v>
      </c>
      <c r="G1397" t="s">
        <v>19</v>
      </c>
      <c r="H1397">
        <v>114292</v>
      </c>
      <c r="I1397">
        <v>110100</v>
      </c>
    </row>
    <row r="1398" spans="1:9" x14ac:dyDescent="0.3">
      <c r="A1398" t="s">
        <v>1430</v>
      </c>
      <c r="B1398">
        <v>45858</v>
      </c>
      <c r="C1398" t="s">
        <v>25</v>
      </c>
      <c r="D1398" t="s">
        <v>11</v>
      </c>
      <c r="E1398" t="s">
        <v>22</v>
      </c>
      <c r="F1398" t="s">
        <v>59</v>
      </c>
      <c r="G1398" t="s">
        <v>14</v>
      </c>
      <c r="H1398">
        <v>99118</v>
      </c>
      <c r="I1398">
        <v>87500</v>
      </c>
    </row>
    <row r="1399" spans="1:9" x14ac:dyDescent="0.3">
      <c r="A1399" t="s">
        <v>1431</v>
      </c>
      <c r="B1399">
        <v>45858</v>
      </c>
      <c r="C1399" t="s">
        <v>31</v>
      </c>
      <c r="D1399" t="s">
        <v>11</v>
      </c>
      <c r="E1399" t="s">
        <v>17</v>
      </c>
      <c r="F1399" t="s">
        <v>42</v>
      </c>
      <c r="G1399" t="s">
        <v>19</v>
      </c>
      <c r="H1399">
        <v>46181</v>
      </c>
      <c r="I1399">
        <v>48300</v>
      </c>
    </row>
    <row r="1400" spans="1:9" x14ac:dyDescent="0.3">
      <c r="A1400" t="s">
        <v>1432</v>
      </c>
      <c r="B1400">
        <v>45858</v>
      </c>
      <c r="C1400" t="s">
        <v>31</v>
      </c>
      <c r="D1400" t="s">
        <v>11</v>
      </c>
      <c r="E1400" t="s">
        <v>17</v>
      </c>
      <c r="F1400" t="s">
        <v>59</v>
      </c>
      <c r="G1400" t="s">
        <v>14</v>
      </c>
      <c r="H1400">
        <v>222132</v>
      </c>
      <c r="I1400">
        <v>198200</v>
      </c>
    </row>
    <row r="1401" spans="1:9" x14ac:dyDescent="0.3">
      <c r="A1401" t="s">
        <v>1433</v>
      </c>
      <c r="B1401">
        <v>45858</v>
      </c>
      <c r="C1401" t="s">
        <v>55</v>
      </c>
      <c r="D1401" t="s">
        <v>11</v>
      </c>
      <c r="E1401" t="s">
        <v>37</v>
      </c>
      <c r="F1401" t="s">
        <v>46</v>
      </c>
      <c r="G1401" t="s">
        <v>19</v>
      </c>
      <c r="H1401">
        <v>64528</v>
      </c>
      <c r="I1401">
        <v>62100</v>
      </c>
    </row>
    <row r="1402" spans="1:9" x14ac:dyDescent="0.3">
      <c r="A1402" t="s">
        <v>1434</v>
      </c>
      <c r="B1402">
        <v>45858</v>
      </c>
      <c r="C1402" t="s">
        <v>55</v>
      </c>
      <c r="D1402" t="s">
        <v>11</v>
      </c>
      <c r="E1402" t="s">
        <v>37</v>
      </c>
      <c r="F1402" t="s">
        <v>39</v>
      </c>
      <c r="G1402" t="s">
        <v>19</v>
      </c>
      <c r="H1402">
        <v>117123</v>
      </c>
      <c r="I1402">
        <v>117900</v>
      </c>
    </row>
    <row r="1403" spans="1:9" x14ac:dyDescent="0.3">
      <c r="A1403" t="s">
        <v>1435</v>
      </c>
      <c r="B1403">
        <v>45859</v>
      </c>
      <c r="C1403" t="s">
        <v>62</v>
      </c>
      <c r="D1403" t="s">
        <v>11</v>
      </c>
      <c r="E1403" t="s">
        <v>22</v>
      </c>
      <c r="F1403" t="s">
        <v>56</v>
      </c>
      <c r="G1403" t="s">
        <v>19</v>
      </c>
      <c r="H1403">
        <v>42566</v>
      </c>
      <c r="I1403">
        <v>41900</v>
      </c>
    </row>
    <row r="1404" spans="1:9" x14ac:dyDescent="0.3">
      <c r="A1404" t="s">
        <v>1436</v>
      </c>
      <c r="B1404">
        <v>45859</v>
      </c>
      <c r="C1404" t="s">
        <v>10</v>
      </c>
      <c r="D1404" t="s">
        <v>11</v>
      </c>
      <c r="E1404" t="s">
        <v>12</v>
      </c>
      <c r="F1404" t="s">
        <v>23</v>
      </c>
      <c r="G1404" t="s">
        <v>14</v>
      </c>
      <c r="H1404">
        <v>40909</v>
      </c>
      <c r="I1404">
        <v>39500</v>
      </c>
    </row>
    <row r="1405" spans="1:9" x14ac:dyDescent="0.3">
      <c r="A1405" t="s">
        <v>1437</v>
      </c>
      <c r="B1405">
        <v>45859</v>
      </c>
      <c r="C1405" t="s">
        <v>36</v>
      </c>
      <c r="D1405" t="s">
        <v>11</v>
      </c>
      <c r="E1405" t="s">
        <v>37</v>
      </c>
      <c r="F1405" t="s">
        <v>59</v>
      </c>
      <c r="G1405" t="s">
        <v>14</v>
      </c>
      <c r="H1405">
        <v>56137</v>
      </c>
      <c r="I1405">
        <v>46800</v>
      </c>
    </row>
    <row r="1406" spans="1:9" x14ac:dyDescent="0.3">
      <c r="A1406" t="s">
        <v>1438</v>
      </c>
      <c r="B1406">
        <v>45859</v>
      </c>
      <c r="C1406" t="s">
        <v>25</v>
      </c>
      <c r="D1406" t="s">
        <v>11</v>
      </c>
      <c r="E1406" t="s">
        <v>22</v>
      </c>
      <c r="F1406" t="s">
        <v>56</v>
      </c>
      <c r="G1406" t="s">
        <v>19</v>
      </c>
      <c r="H1406">
        <v>56983</v>
      </c>
      <c r="I1406">
        <v>54900</v>
      </c>
    </row>
    <row r="1407" spans="1:9" x14ac:dyDescent="0.3">
      <c r="A1407" t="s">
        <v>1439</v>
      </c>
      <c r="B1407">
        <v>45859</v>
      </c>
      <c r="C1407" t="s">
        <v>25</v>
      </c>
      <c r="D1407" t="s">
        <v>11</v>
      </c>
      <c r="E1407" t="s">
        <v>22</v>
      </c>
      <c r="F1407" t="s">
        <v>56</v>
      </c>
      <c r="G1407" t="s">
        <v>19</v>
      </c>
      <c r="H1407">
        <v>82162</v>
      </c>
      <c r="I1407">
        <v>77500</v>
      </c>
    </row>
    <row r="1408" spans="1:9" x14ac:dyDescent="0.3">
      <c r="A1408" t="s">
        <v>1440</v>
      </c>
      <c r="B1408">
        <v>45860</v>
      </c>
      <c r="C1408" t="s">
        <v>62</v>
      </c>
      <c r="D1408" t="s">
        <v>11</v>
      </c>
      <c r="E1408" t="s">
        <v>22</v>
      </c>
      <c r="F1408" t="s">
        <v>13</v>
      </c>
      <c r="G1408" t="s">
        <v>14</v>
      </c>
      <c r="H1408">
        <v>121189</v>
      </c>
      <c r="I1408">
        <v>116300</v>
      </c>
    </row>
    <row r="1409" spans="1:9" x14ac:dyDescent="0.3">
      <c r="A1409" t="s">
        <v>1441</v>
      </c>
      <c r="B1409">
        <v>45860</v>
      </c>
      <c r="C1409" t="s">
        <v>10</v>
      </c>
      <c r="D1409" t="s">
        <v>11</v>
      </c>
      <c r="E1409" t="s">
        <v>12</v>
      </c>
      <c r="F1409" t="s">
        <v>26</v>
      </c>
      <c r="G1409" t="s">
        <v>14</v>
      </c>
      <c r="H1409">
        <v>165567</v>
      </c>
      <c r="I1409">
        <v>177300</v>
      </c>
    </row>
    <row r="1410" spans="1:9" x14ac:dyDescent="0.3">
      <c r="A1410" t="s">
        <v>1442</v>
      </c>
      <c r="B1410">
        <v>45860</v>
      </c>
      <c r="C1410" t="s">
        <v>16</v>
      </c>
      <c r="D1410" t="s">
        <v>11</v>
      </c>
      <c r="E1410" t="s">
        <v>17</v>
      </c>
      <c r="F1410" t="s">
        <v>12</v>
      </c>
      <c r="G1410" t="s">
        <v>14</v>
      </c>
      <c r="H1410">
        <v>50643</v>
      </c>
      <c r="I1410">
        <v>51200</v>
      </c>
    </row>
    <row r="1411" spans="1:9" x14ac:dyDescent="0.3">
      <c r="A1411" t="s">
        <v>1443</v>
      </c>
      <c r="B1411">
        <v>45860</v>
      </c>
      <c r="C1411" t="s">
        <v>16</v>
      </c>
      <c r="D1411" t="s">
        <v>11</v>
      </c>
      <c r="E1411" t="s">
        <v>17</v>
      </c>
      <c r="F1411" t="s">
        <v>13</v>
      </c>
      <c r="G1411" t="s">
        <v>14</v>
      </c>
      <c r="H1411">
        <v>173849</v>
      </c>
      <c r="I1411">
        <v>186000</v>
      </c>
    </row>
    <row r="1412" spans="1:9" x14ac:dyDescent="0.3">
      <c r="A1412" t="s">
        <v>1444</v>
      </c>
      <c r="B1412">
        <v>45860</v>
      </c>
      <c r="C1412" t="s">
        <v>21</v>
      </c>
      <c r="D1412" t="s">
        <v>11</v>
      </c>
      <c r="E1412" t="s">
        <v>22</v>
      </c>
      <c r="F1412" t="s">
        <v>18</v>
      </c>
      <c r="G1412" t="s">
        <v>19</v>
      </c>
      <c r="H1412">
        <v>48114</v>
      </c>
      <c r="I1412">
        <v>40800</v>
      </c>
    </row>
    <row r="1413" spans="1:9" x14ac:dyDescent="0.3">
      <c r="A1413" t="s">
        <v>1445</v>
      </c>
      <c r="B1413">
        <v>45860</v>
      </c>
      <c r="C1413" t="s">
        <v>55</v>
      </c>
      <c r="D1413" t="s">
        <v>11</v>
      </c>
      <c r="E1413" t="s">
        <v>37</v>
      </c>
      <c r="F1413" t="s">
        <v>46</v>
      </c>
      <c r="G1413" t="s">
        <v>19</v>
      </c>
      <c r="H1413">
        <v>84873</v>
      </c>
      <c r="I1413">
        <v>86900</v>
      </c>
    </row>
    <row r="1414" spans="1:9" x14ac:dyDescent="0.3">
      <c r="A1414" t="s">
        <v>1446</v>
      </c>
      <c r="B1414">
        <v>45861</v>
      </c>
      <c r="C1414" t="s">
        <v>16</v>
      </c>
      <c r="D1414" t="s">
        <v>11</v>
      </c>
      <c r="E1414" t="s">
        <v>17</v>
      </c>
      <c r="F1414" t="s">
        <v>33</v>
      </c>
      <c r="G1414" t="s">
        <v>19</v>
      </c>
      <c r="H1414">
        <v>114592</v>
      </c>
      <c r="I1414">
        <v>108800</v>
      </c>
    </row>
    <row r="1415" spans="1:9" x14ac:dyDescent="0.3">
      <c r="A1415" t="s">
        <v>1447</v>
      </c>
      <c r="B1415">
        <v>45861</v>
      </c>
      <c r="C1415" t="s">
        <v>16</v>
      </c>
      <c r="D1415" t="s">
        <v>11</v>
      </c>
      <c r="E1415" t="s">
        <v>17</v>
      </c>
      <c r="F1415" t="s">
        <v>23</v>
      </c>
      <c r="G1415" t="s">
        <v>14</v>
      </c>
      <c r="H1415">
        <v>101285</v>
      </c>
      <c r="I1415">
        <v>100500</v>
      </c>
    </row>
    <row r="1416" spans="1:9" x14ac:dyDescent="0.3">
      <c r="A1416" t="s">
        <v>1448</v>
      </c>
      <c r="B1416">
        <v>45861</v>
      </c>
      <c r="C1416" t="s">
        <v>21</v>
      </c>
      <c r="D1416" t="s">
        <v>11</v>
      </c>
      <c r="E1416" t="s">
        <v>22</v>
      </c>
      <c r="F1416" t="s">
        <v>37</v>
      </c>
      <c r="G1416" t="s">
        <v>14</v>
      </c>
      <c r="H1416">
        <v>66027</v>
      </c>
      <c r="I1416">
        <v>65600</v>
      </c>
    </row>
    <row r="1417" spans="1:9" x14ac:dyDescent="0.3">
      <c r="A1417" t="s">
        <v>1449</v>
      </c>
      <c r="B1417">
        <v>45861</v>
      </c>
      <c r="C1417" t="s">
        <v>21</v>
      </c>
      <c r="D1417" t="s">
        <v>11</v>
      </c>
      <c r="E1417" t="s">
        <v>22</v>
      </c>
      <c r="F1417" t="s">
        <v>37</v>
      </c>
      <c r="G1417" t="s">
        <v>14</v>
      </c>
      <c r="H1417">
        <v>95343</v>
      </c>
      <c r="I1417">
        <v>89700</v>
      </c>
    </row>
    <row r="1418" spans="1:9" x14ac:dyDescent="0.3">
      <c r="A1418" t="s">
        <v>1450</v>
      </c>
      <c r="B1418">
        <v>45861</v>
      </c>
      <c r="C1418" t="s">
        <v>25</v>
      </c>
      <c r="D1418" t="s">
        <v>11</v>
      </c>
      <c r="E1418" t="s">
        <v>22</v>
      </c>
      <c r="F1418" t="s">
        <v>42</v>
      </c>
      <c r="G1418" t="s">
        <v>19</v>
      </c>
      <c r="H1418">
        <v>46386</v>
      </c>
      <c r="I1418">
        <v>47400</v>
      </c>
    </row>
    <row r="1419" spans="1:9" x14ac:dyDescent="0.3">
      <c r="A1419" t="s">
        <v>1451</v>
      </c>
      <c r="B1419">
        <v>45861</v>
      </c>
      <c r="C1419" t="s">
        <v>25</v>
      </c>
      <c r="D1419" t="s">
        <v>11</v>
      </c>
      <c r="E1419" t="s">
        <v>22</v>
      </c>
      <c r="F1419" t="s">
        <v>18</v>
      </c>
      <c r="G1419" t="s">
        <v>19</v>
      </c>
      <c r="H1419">
        <v>31901</v>
      </c>
      <c r="I1419">
        <v>31400</v>
      </c>
    </row>
    <row r="1420" spans="1:9" x14ac:dyDescent="0.3">
      <c r="A1420" t="s">
        <v>1452</v>
      </c>
      <c r="B1420">
        <v>45861</v>
      </c>
      <c r="C1420" t="s">
        <v>25</v>
      </c>
      <c r="D1420" t="s">
        <v>11</v>
      </c>
      <c r="E1420" t="s">
        <v>22</v>
      </c>
      <c r="F1420" t="s">
        <v>18</v>
      </c>
      <c r="G1420" t="s">
        <v>19</v>
      </c>
      <c r="H1420">
        <v>30114</v>
      </c>
      <c r="I1420">
        <v>25700</v>
      </c>
    </row>
    <row r="1421" spans="1:9" x14ac:dyDescent="0.3">
      <c r="A1421" t="s">
        <v>1453</v>
      </c>
      <c r="B1421">
        <v>45861</v>
      </c>
      <c r="C1421" t="s">
        <v>31</v>
      </c>
      <c r="D1421" t="s">
        <v>11</v>
      </c>
      <c r="E1421" t="s">
        <v>17</v>
      </c>
      <c r="F1421" t="s">
        <v>18</v>
      </c>
      <c r="G1421" t="s">
        <v>19</v>
      </c>
      <c r="H1421">
        <v>59281</v>
      </c>
      <c r="I1421">
        <v>60400</v>
      </c>
    </row>
    <row r="1422" spans="1:9" x14ac:dyDescent="0.3">
      <c r="A1422" t="s">
        <v>1454</v>
      </c>
      <c r="B1422">
        <v>45861</v>
      </c>
      <c r="C1422" t="s">
        <v>55</v>
      </c>
      <c r="D1422" t="s">
        <v>11</v>
      </c>
      <c r="E1422" t="s">
        <v>37</v>
      </c>
      <c r="F1422" t="s">
        <v>33</v>
      </c>
      <c r="G1422" t="s">
        <v>19</v>
      </c>
      <c r="H1422">
        <v>14716</v>
      </c>
      <c r="I1422">
        <v>14900</v>
      </c>
    </row>
    <row r="1423" spans="1:9" x14ac:dyDescent="0.3">
      <c r="A1423" t="s">
        <v>1455</v>
      </c>
      <c r="B1423">
        <v>45862</v>
      </c>
      <c r="C1423" t="s">
        <v>62</v>
      </c>
      <c r="D1423" t="s">
        <v>11</v>
      </c>
      <c r="E1423" t="s">
        <v>22</v>
      </c>
      <c r="F1423" t="s">
        <v>39</v>
      </c>
      <c r="G1423" t="s">
        <v>19</v>
      </c>
      <c r="H1423">
        <v>17323</v>
      </c>
      <c r="I1423">
        <v>15400</v>
      </c>
    </row>
    <row r="1424" spans="1:9" x14ac:dyDescent="0.3">
      <c r="A1424" t="s">
        <v>1456</v>
      </c>
      <c r="B1424">
        <v>45862</v>
      </c>
      <c r="C1424" t="s">
        <v>21</v>
      </c>
      <c r="D1424" t="s">
        <v>11</v>
      </c>
      <c r="E1424" t="s">
        <v>22</v>
      </c>
      <c r="F1424" t="s">
        <v>13</v>
      </c>
      <c r="G1424" t="s">
        <v>14</v>
      </c>
      <c r="H1424">
        <v>238233</v>
      </c>
      <c r="I1424">
        <v>263100</v>
      </c>
    </row>
    <row r="1425" spans="1:9" x14ac:dyDescent="0.3">
      <c r="A1425" t="s">
        <v>1457</v>
      </c>
      <c r="B1425">
        <v>45862</v>
      </c>
      <c r="C1425" t="s">
        <v>25</v>
      </c>
      <c r="D1425" t="s">
        <v>11</v>
      </c>
      <c r="E1425" t="s">
        <v>22</v>
      </c>
      <c r="F1425" t="s">
        <v>37</v>
      </c>
      <c r="G1425" t="s">
        <v>14</v>
      </c>
      <c r="H1425">
        <v>45460</v>
      </c>
      <c r="I1425">
        <v>42500</v>
      </c>
    </row>
    <row r="1426" spans="1:9" x14ac:dyDescent="0.3">
      <c r="A1426" t="s">
        <v>1458</v>
      </c>
      <c r="B1426">
        <v>45862</v>
      </c>
      <c r="C1426" t="s">
        <v>31</v>
      </c>
      <c r="D1426" t="s">
        <v>11</v>
      </c>
      <c r="E1426" t="s">
        <v>17</v>
      </c>
      <c r="F1426" t="s">
        <v>13</v>
      </c>
      <c r="G1426" t="s">
        <v>14</v>
      </c>
      <c r="H1426">
        <v>32110</v>
      </c>
      <c r="I1426">
        <v>28200</v>
      </c>
    </row>
    <row r="1427" spans="1:9" x14ac:dyDescent="0.3">
      <c r="A1427" t="s">
        <v>1459</v>
      </c>
      <c r="B1427">
        <v>45862</v>
      </c>
      <c r="C1427" t="s">
        <v>55</v>
      </c>
      <c r="D1427" t="s">
        <v>11</v>
      </c>
      <c r="E1427" t="s">
        <v>37</v>
      </c>
      <c r="F1427" t="s">
        <v>56</v>
      </c>
      <c r="G1427" t="s">
        <v>19</v>
      </c>
      <c r="H1427">
        <v>84864</v>
      </c>
      <c r="I1427">
        <v>100100</v>
      </c>
    </row>
    <row r="1428" spans="1:9" x14ac:dyDescent="0.3">
      <c r="A1428" t="s">
        <v>1460</v>
      </c>
      <c r="B1428">
        <v>45862</v>
      </c>
      <c r="C1428" t="s">
        <v>55</v>
      </c>
      <c r="D1428" t="s">
        <v>11</v>
      </c>
      <c r="E1428" t="s">
        <v>37</v>
      </c>
      <c r="F1428" t="s">
        <v>37</v>
      </c>
      <c r="G1428" t="s">
        <v>14</v>
      </c>
      <c r="H1428">
        <v>66472</v>
      </c>
      <c r="I1428">
        <v>66600</v>
      </c>
    </row>
    <row r="1429" spans="1:9" x14ac:dyDescent="0.3">
      <c r="A1429" t="s">
        <v>1461</v>
      </c>
      <c r="B1429">
        <v>45863</v>
      </c>
      <c r="C1429" t="s">
        <v>10</v>
      </c>
      <c r="D1429" t="s">
        <v>11</v>
      </c>
      <c r="E1429" t="s">
        <v>12</v>
      </c>
      <c r="F1429" t="s">
        <v>46</v>
      </c>
      <c r="G1429" t="s">
        <v>19</v>
      </c>
      <c r="H1429">
        <v>51933</v>
      </c>
      <c r="I1429">
        <v>54100</v>
      </c>
    </row>
    <row r="1430" spans="1:9" x14ac:dyDescent="0.3">
      <c r="A1430" t="s">
        <v>1462</v>
      </c>
      <c r="B1430">
        <v>45863</v>
      </c>
      <c r="C1430" t="s">
        <v>10</v>
      </c>
      <c r="D1430" t="s">
        <v>11</v>
      </c>
      <c r="E1430" t="s">
        <v>12</v>
      </c>
      <c r="F1430" t="s">
        <v>33</v>
      </c>
      <c r="G1430" t="s">
        <v>19</v>
      </c>
      <c r="H1430">
        <v>71470</v>
      </c>
      <c r="I1430">
        <v>74700</v>
      </c>
    </row>
    <row r="1431" spans="1:9" x14ac:dyDescent="0.3">
      <c r="A1431" t="s">
        <v>1463</v>
      </c>
      <c r="B1431">
        <v>45863</v>
      </c>
      <c r="C1431" t="s">
        <v>16</v>
      </c>
      <c r="D1431" t="s">
        <v>11</v>
      </c>
      <c r="E1431" t="s">
        <v>17</v>
      </c>
      <c r="F1431" t="s">
        <v>39</v>
      </c>
      <c r="G1431" t="s">
        <v>19</v>
      </c>
      <c r="H1431">
        <v>17994</v>
      </c>
      <c r="I1431">
        <v>14700</v>
      </c>
    </row>
    <row r="1432" spans="1:9" x14ac:dyDescent="0.3">
      <c r="A1432" t="s">
        <v>1464</v>
      </c>
      <c r="B1432">
        <v>45863</v>
      </c>
      <c r="C1432" t="s">
        <v>16</v>
      </c>
      <c r="D1432" t="s">
        <v>11</v>
      </c>
      <c r="E1432" t="s">
        <v>17</v>
      </c>
      <c r="F1432" t="s">
        <v>18</v>
      </c>
      <c r="G1432" t="s">
        <v>19</v>
      </c>
      <c r="H1432">
        <v>99556</v>
      </c>
      <c r="I1432">
        <v>97100</v>
      </c>
    </row>
    <row r="1433" spans="1:9" x14ac:dyDescent="0.3">
      <c r="A1433" t="s">
        <v>1465</v>
      </c>
      <c r="B1433">
        <v>45863</v>
      </c>
      <c r="C1433" t="s">
        <v>16</v>
      </c>
      <c r="D1433" t="s">
        <v>11</v>
      </c>
      <c r="E1433" t="s">
        <v>17</v>
      </c>
      <c r="F1433" t="s">
        <v>26</v>
      </c>
      <c r="G1433" t="s">
        <v>14</v>
      </c>
      <c r="H1433">
        <v>43454</v>
      </c>
      <c r="I1433">
        <v>42400</v>
      </c>
    </row>
    <row r="1434" spans="1:9" x14ac:dyDescent="0.3">
      <c r="A1434" t="s">
        <v>1466</v>
      </c>
      <c r="B1434">
        <v>45863</v>
      </c>
      <c r="C1434" t="s">
        <v>36</v>
      </c>
      <c r="D1434" t="s">
        <v>11</v>
      </c>
      <c r="E1434" t="s">
        <v>37</v>
      </c>
      <c r="F1434" t="s">
        <v>23</v>
      </c>
      <c r="G1434" t="s">
        <v>14</v>
      </c>
      <c r="H1434">
        <v>118366</v>
      </c>
      <c r="I1434">
        <v>103500</v>
      </c>
    </row>
    <row r="1435" spans="1:9" x14ac:dyDescent="0.3">
      <c r="A1435" t="s">
        <v>1467</v>
      </c>
      <c r="B1435">
        <v>45863</v>
      </c>
      <c r="C1435" t="s">
        <v>21</v>
      </c>
      <c r="D1435" t="s">
        <v>11</v>
      </c>
      <c r="E1435" t="s">
        <v>22</v>
      </c>
      <c r="F1435" t="s">
        <v>13</v>
      </c>
      <c r="G1435" t="s">
        <v>14</v>
      </c>
      <c r="H1435">
        <v>104154</v>
      </c>
      <c r="I1435">
        <v>97500</v>
      </c>
    </row>
    <row r="1436" spans="1:9" x14ac:dyDescent="0.3">
      <c r="A1436" t="s">
        <v>1468</v>
      </c>
      <c r="B1436">
        <v>45863</v>
      </c>
      <c r="C1436" t="s">
        <v>25</v>
      </c>
      <c r="D1436" t="s">
        <v>11</v>
      </c>
      <c r="E1436" t="s">
        <v>22</v>
      </c>
      <c r="F1436" t="s">
        <v>18</v>
      </c>
      <c r="G1436" t="s">
        <v>19</v>
      </c>
      <c r="H1436">
        <v>77444</v>
      </c>
      <c r="I1436">
        <v>76600</v>
      </c>
    </row>
    <row r="1437" spans="1:9" x14ac:dyDescent="0.3">
      <c r="A1437" t="s">
        <v>1469</v>
      </c>
      <c r="B1437">
        <v>45863</v>
      </c>
      <c r="C1437" t="s">
        <v>25</v>
      </c>
      <c r="D1437" t="s">
        <v>11</v>
      </c>
      <c r="E1437" t="s">
        <v>22</v>
      </c>
      <c r="F1437" t="s">
        <v>56</v>
      </c>
      <c r="G1437" t="s">
        <v>19</v>
      </c>
      <c r="H1437">
        <v>19560</v>
      </c>
      <c r="I1437">
        <v>16900</v>
      </c>
    </row>
    <row r="1438" spans="1:9" x14ac:dyDescent="0.3">
      <c r="A1438" t="s">
        <v>1470</v>
      </c>
      <c r="B1438">
        <v>45863</v>
      </c>
      <c r="C1438" t="s">
        <v>25</v>
      </c>
      <c r="D1438" t="s">
        <v>11</v>
      </c>
      <c r="E1438" t="s">
        <v>22</v>
      </c>
      <c r="F1438" t="s">
        <v>37</v>
      </c>
      <c r="G1438" t="s">
        <v>14</v>
      </c>
      <c r="H1438">
        <v>201404</v>
      </c>
      <c r="I1438">
        <v>171500</v>
      </c>
    </row>
    <row r="1439" spans="1:9" x14ac:dyDescent="0.3">
      <c r="A1439" t="s">
        <v>1471</v>
      </c>
      <c r="B1439">
        <v>45863</v>
      </c>
      <c r="C1439" t="s">
        <v>31</v>
      </c>
      <c r="D1439" t="s">
        <v>11</v>
      </c>
      <c r="E1439" t="s">
        <v>17</v>
      </c>
      <c r="F1439" t="s">
        <v>33</v>
      </c>
      <c r="G1439" t="s">
        <v>19</v>
      </c>
      <c r="H1439">
        <v>48645</v>
      </c>
      <c r="I1439">
        <v>44200</v>
      </c>
    </row>
    <row r="1440" spans="1:9" x14ac:dyDescent="0.3">
      <c r="A1440" t="s">
        <v>1472</v>
      </c>
      <c r="B1440">
        <v>45863</v>
      </c>
      <c r="C1440" t="s">
        <v>31</v>
      </c>
      <c r="D1440" t="s">
        <v>11</v>
      </c>
      <c r="E1440" t="s">
        <v>17</v>
      </c>
      <c r="F1440" t="s">
        <v>33</v>
      </c>
      <c r="G1440" t="s">
        <v>19</v>
      </c>
      <c r="H1440">
        <v>23838</v>
      </c>
      <c r="I1440">
        <v>24000</v>
      </c>
    </row>
    <row r="1441" spans="1:9" x14ac:dyDescent="0.3">
      <c r="A1441" t="s">
        <v>1473</v>
      </c>
      <c r="B1441">
        <v>45863</v>
      </c>
      <c r="C1441" t="s">
        <v>31</v>
      </c>
      <c r="D1441" t="s">
        <v>11</v>
      </c>
      <c r="E1441" t="s">
        <v>17</v>
      </c>
      <c r="F1441" t="s">
        <v>13</v>
      </c>
      <c r="G1441" t="s">
        <v>14</v>
      </c>
      <c r="H1441">
        <v>240544</v>
      </c>
      <c r="I1441">
        <v>206100</v>
      </c>
    </row>
    <row r="1442" spans="1:9" x14ac:dyDescent="0.3">
      <c r="A1442" t="s">
        <v>1474</v>
      </c>
      <c r="B1442">
        <v>45863</v>
      </c>
      <c r="C1442" t="s">
        <v>55</v>
      </c>
      <c r="D1442" t="s">
        <v>11</v>
      </c>
      <c r="E1442" t="s">
        <v>37</v>
      </c>
      <c r="F1442" t="s">
        <v>46</v>
      </c>
      <c r="G1442" t="s">
        <v>19</v>
      </c>
      <c r="H1442">
        <v>105088</v>
      </c>
      <c r="I1442">
        <v>103100</v>
      </c>
    </row>
    <row r="1443" spans="1:9" x14ac:dyDescent="0.3">
      <c r="A1443" t="s">
        <v>1475</v>
      </c>
      <c r="B1443">
        <v>45863</v>
      </c>
      <c r="C1443" t="s">
        <v>55</v>
      </c>
      <c r="D1443" t="s">
        <v>11</v>
      </c>
      <c r="E1443" t="s">
        <v>37</v>
      </c>
      <c r="F1443" t="s">
        <v>46</v>
      </c>
      <c r="G1443" t="s">
        <v>19</v>
      </c>
      <c r="H1443">
        <v>12852</v>
      </c>
      <c r="I1443">
        <v>12400</v>
      </c>
    </row>
    <row r="1444" spans="1:9" x14ac:dyDescent="0.3">
      <c r="A1444" t="s">
        <v>1476</v>
      </c>
      <c r="B1444">
        <v>45864</v>
      </c>
      <c r="C1444" t="s">
        <v>62</v>
      </c>
      <c r="D1444" t="s">
        <v>11</v>
      </c>
      <c r="E1444" t="s">
        <v>22</v>
      </c>
      <c r="F1444" t="s">
        <v>18</v>
      </c>
      <c r="G1444" t="s">
        <v>19</v>
      </c>
      <c r="H1444">
        <v>24165</v>
      </c>
      <c r="I1444">
        <v>23800</v>
      </c>
    </row>
    <row r="1445" spans="1:9" x14ac:dyDescent="0.3">
      <c r="A1445" t="s">
        <v>1477</v>
      </c>
      <c r="B1445">
        <v>45864</v>
      </c>
      <c r="C1445" t="s">
        <v>10</v>
      </c>
      <c r="D1445" t="s">
        <v>11</v>
      </c>
      <c r="E1445" t="s">
        <v>12</v>
      </c>
      <c r="F1445" t="s">
        <v>18</v>
      </c>
      <c r="G1445" t="s">
        <v>19</v>
      </c>
      <c r="H1445">
        <v>61362</v>
      </c>
      <c r="I1445">
        <v>64500</v>
      </c>
    </row>
    <row r="1446" spans="1:9" x14ac:dyDescent="0.3">
      <c r="A1446" t="s">
        <v>1478</v>
      </c>
      <c r="B1446">
        <v>45864</v>
      </c>
      <c r="C1446" t="s">
        <v>10</v>
      </c>
      <c r="D1446" t="s">
        <v>11</v>
      </c>
      <c r="E1446" t="s">
        <v>12</v>
      </c>
      <c r="F1446" t="s">
        <v>23</v>
      </c>
      <c r="G1446" t="s">
        <v>14</v>
      </c>
      <c r="H1446">
        <v>87857</v>
      </c>
      <c r="I1446">
        <v>80500</v>
      </c>
    </row>
    <row r="1447" spans="1:9" x14ac:dyDescent="0.3">
      <c r="A1447" t="s">
        <v>1479</v>
      </c>
      <c r="B1447">
        <v>45864</v>
      </c>
      <c r="C1447" t="s">
        <v>16</v>
      </c>
      <c r="D1447" t="s">
        <v>11</v>
      </c>
      <c r="E1447" t="s">
        <v>17</v>
      </c>
      <c r="F1447" t="s">
        <v>33</v>
      </c>
      <c r="G1447" t="s">
        <v>19</v>
      </c>
      <c r="H1447">
        <v>87110</v>
      </c>
      <c r="I1447">
        <v>98400</v>
      </c>
    </row>
    <row r="1448" spans="1:9" x14ac:dyDescent="0.3">
      <c r="A1448" t="s">
        <v>1480</v>
      </c>
      <c r="B1448">
        <v>45864</v>
      </c>
      <c r="C1448" t="s">
        <v>36</v>
      </c>
      <c r="D1448" t="s">
        <v>11</v>
      </c>
      <c r="E1448" t="s">
        <v>37</v>
      </c>
      <c r="F1448" t="s">
        <v>56</v>
      </c>
      <c r="G1448" t="s">
        <v>19</v>
      </c>
      <c r="H1448">
        <v>39403</v>
      </c>
      <c r="I1448">
        <v>38800</v>
      </c>
    </row>
    <row r="1449" spans="1:9" x14ac:dyDescent="0.3">
      <c r="A1449" t="s">
        <v>1481</v>
      </c>
      <c r="B1449">
        <v>45864</v>
      </c>
      <c r="C1449" t="s">
        <v>36</v>
      </c>
      <c r="D1449" t="s">
        <v>11</v>
      </c>
      <c r="E1449" t="s">
        <v>37</v>
      </c>
      <c r="F1449" t="s">
        <v>39</v>
      </c>
      <c r="G1449" t="s">
        <v>19</v>
      </c>
      <c r="H1449">
        <v>94025</v>
      </c>
      <c r="I1449">
        <v>87300</v>
      </c>
    </row>
    <row r="1450" spans="1:9" x14ac:dyDescent="0.3">
      <c r="A1450" t="s">
        <v>1482</v>
      </c>
      <c r="B1450">
        <v>45864</v>
      </c>
      <c r="C1450" t="s">
        <v>36</v>
      </c>
      <c r="D1450" t="s">
        <v>11</v>
      </c>
      <c r="E1450" t="s">
        <v>37</v>
      </c>
      <c r="F1450" t="s">
        <v>13</v>
      </c>
      <c r="G1450" t="s">
        <v>14</v>
      </c>
      <c r="H1450">
        <v>199691</v>
      </c>
      <c r="I1450">
        <v>178500</v>
      </c>
    </row>
    <row r="1451" spans="1:9" x14ac:dyDescent="0.3">
      <c r="A1451" t="s">
        <v>1483</v>
      </c>
      <c r="B1451">
        <v>45864</v>
      </c>
      <c r="C1451" t="s">
        <v>36</v>
      </c>
      <c r="D1451" t="s">
        <v>11</v>
      </c>
      <c r="E1451" t="s">
        <v>37</v>
      </c>
      <c r="F1451" t="s">
        <v>59</v>
      </c>
      <c r="G1451" t="s">
        <v>14</v>
      </c>
      <c r="H1451">
        <v>127229</v>
      </c>
      <c r="I1451">
        <v>132100</v>
      </c>
    </row>
    <row r="1452" spans="1:9" x14ac:dyDescent="0.3">
      <c r="A1452" t="s">
        <v>1484</v>
      </c>
      <c r="B1452">
        <v>45864</v>
      </c>
      <c r="C1452" t="s">
        <v>21</v>
      </c>
      <c r="D1452" t="s">
        <v>11</v>
      </c>
      <c r="E1452" t="s">
        <v>22</v>
      </c>
      <c r="F1452" t="s">
        <v>59</v>
      </c>
      <c r="G1452" t="s">
        <v>14</v>
      </c>
      <c r="H1452">
        <v>90419</v>
      </c>
      <c r="I1452">
        <v>105700</v>
      </c>
    </row>
    <row r="1453" spans="1:9" x14ac:dyDescent="0.3">
      <c r="A1453" t="s">
        <v>1485</v>
      </c>
      <c r="B1453">
        <v>45864</v>
      </c>
      <c r="C1453" t="s">
        <v>25</v>
      </c>
      <c r="D1453" t="s">
        <v>11</v>
      </c>
      <c r="E1453" t="s">
        <v>22</v>
      </c>
      <c r="F1453" t="s">
        <v>23</v>
      </c>
      <c r="G1453" t="s">
        <v>14</v>
      </c>
      <c r="H1453">
        <v>211276</v>
      </c>
      <c r="I1453">
        <v>204200</v>
      </c>
    </row>
    <row r="1454" spans="1:9" x14ac:dyDescent="0.3">
      <c r="A1454" t="s">
        <v>1486</v>
      </c>
      <c r="B1454">
        <v>45865</v>
      </c>
      <c r="C1454" t="s">
        <v>62</v>
      </c>
      <c r="D1454" t="s">
        <v>11</v>
      </c>
      <c r="E1454" t="s">
        <v>22</v>
      </c>
      <c r="F1454" t="s">
        <v>33</v>
      </c>
      <c r="G1454" t="s">
        <v>19</v>
      </c>
      <c r="H1454">
        <v>82102</v>
      </c>
      <c r="I1454">
        <v>75300</v>
      </c>
    </row>
    <row r="1455" spans="1:9" x14ac:dyDescent="0.3">
      <c r="A1455" t="s">
        <v>1487</v>
      </c>
      <c r="B1455">
        <v>45865</v>
      </c>
      <c r="C1455" t="s">
        <v>10</v>
      </c>
      <c r="D1455" t="s">
        <v>11</v>
      </c>
      <c r="E1455" t="s">
        <v>12</v>
      </c>
      <c r="F1455" t="s">
        <v>18</v>
      </c>
      <c r="G1455" t="s">
        <v>19</v>
      </c>
      <c r="H1455">
        <v>111591</v>
      </c>
      <c r="I1455">
        <v>102100</v>
      </c>
    </row>
    <row r="1456" spans="1:9" x14ac:dyDescent="0.3">
      <c r="A1456" t="s">
        <v>1488</v>
      </c>
      <c r="B1456">
        <v>45865</v>
      </c>
      <c r="C1456" t="s">
        <v>10</v>
      </c>
      <c r="D1456" t="s">
        <v>11</v>
      </c>
      <c r="E1456" t="s">
        <v>12</v>
      </c>
      <c r="F1456" t="s">
        <v>18</v>
      </c>
      <c r="G1456" t="s">
        <v>19</v>
      </c>
      <c r="H1456">
        <v>113507</v>
      </c>
      <c r="I1456">
        <v>100000</v>
      </c>
    </row>
    <row r="1457" spans="1:9" x14ac:dyDescent="0.3">
      <c r="A1457" t="s">
        <v>1489</v>
      </c>
      <c r="B1457">
        <v>45865</v>
      </c>
      <c r="C1457" t="s">
        <v>16</v>
      </c>
      <c r="D1457" t="s">
        <v>11</v>
      </c>
      <c r="E1457" t="s">
        <v>17</v>
      </c>
      <c r="F1457" t="s">
        <v>56</v>
      </c>
      <c r="G1457" t="s">
        <v>19</v>
      </c>
      <c r="H1457">
        <v>57736</v>
      </c>
      <c r="I1457">
        <v>48100</v>
      </c>
    </row>
    <row r="1458" spans="1:9" x14ac:dyDescent="0.3">
      <c r="A1458" t="s">
        <v>1490</v>
      </c>
      <c r="B1458">
        <v>45865</v>
      </c>
      <c r="C1458" t="s">
        <v>16</v>
      </c>
      <c r="D1458" t="s">
        <v>11</v>
      </c>
      <c r="E1458" t="s">
        <v>17</v>
      </c>
      <c r="F1458" t="s">
        <v>37</v>
      </c>
      <c r="G1458" t="s">
        <v>14</v>
      </c>
      <c r="H1458">
        <v>106489</v>
      </c>
      <c r="I1458">
        <v>100100</v>
      </c>
    </row>
    <row r="1459" spans="1:9" x14ac:dyDescent="0.3">
      <c r="A1459" t="s">
        <v>1491</v>
      </c>
      <c r="B1459">
        <v>45865</v>
      </c>
      <c r="C1459" t="s">
        <v>36</v>
      </c>
      <c r="D1459" t="s">
        <v>11</v>
      </c>
      <c r="E1459" t="s">
        <v>37</v>
      </c>
      <c r="F1459" t="s">
        <v>26</v>
      </c>
      <c r="G1459" t="s">
        <v>14</v>
      </c>
      <c r="H1459">
        <v>115640</v>
      </c>
      <c r="I1459">
        <v>99800</v>
      </c>
    </row>
    <row r="1460" spans="1:9" x14ac:dyDescent="0.3">
      <c r="A1460" t="s">
        <v>1492</v>
      </c>
      <c r="B1460">
        <v>45865</v>
      </c>
      <c r="C1460" t="s">
        <v>21</v>
      </c>
      <c r="D1460" t="s">
        <v>11</v>
      </c>
      <c r="E1460" t="s">
        <v>22</v>
      </c>
      <c r="F1460" t="s">
        <v>39</v>
      </c>
      <c r="G1460" t="s">
        <v>19</v>
      </c>
      <c r="H1460">
        <v>118182</v>
      </c>
      <c r="I1460">
        <v>119800</v>
      </c>
    </row>
    <row r="1461" spans="1:9" x14ac:dyDescent="0.3">
      <c r="A1461" t="s">
        <v>1493</v>
      </c>
      <c r="B1461">
        <v>45865</v>
      </c>
      <c r="C1461" t="s">
        <v>25</v>
      </c>
      <c r="D1461" t="s">
        <v>11</v>
      </c>
      <c r="E1461" t="s">
        <v>22</v>
      </c>
      <c r="F1461" t="s">
        <v>12</v>
      </c>
      <c r="G1461" t="s">
        <v>14</v>
      </c>
      <c r="H1461">
        <v>226522</v>
      </c>
      <c r="I1461">
        <v>230700</v>
      </c>
    </row>
    <row r="1462" spans="1:9" x14ac:dyDescent="0.3">
      <c r="A1462" t="s">
        <v>1494</v>
      </c>
      <c r="B1462">
        <v>45866</v>
      </c>
      <c r="C1462" t="s">
        <v>10</v>
      </c>
      <c r="D1462" t="s">
        <v>11</v>
      </c>
      <c r="E1462" t="s">
        <v>12</v>
      </c>
      <c r="F1462" t="s">
        <v>39</v>
      </c>
      <c r="G1462" t="s">
        <v>19</v>
      </c>
      <c r="H1462">
        <v>84606</v>
      </c>
      <c r="I1462">
        <v>78700</v>
      </c>
    </row>
    <row r="1463" spans="1:9" x14ac:dyDescent="0.3">
      <c r="A1463" t="s">
        <v>1495</v>
      </c>
      <c r="B1463">
        <v>45866</v>
      </c>
      <c r="C1463" t="s">
        <v>36</v>
      </c>
      <c r="D1463" t="s">
        <v>11</v>
      </c>
      <c r="E1463" t="s">
        <v>37</v>
      </c>
      <c r="F1463" t="s">
        <v>59</v>
      </c>
      <c r="G1463" t="s">
        <v>14</v>
      </c>
      <c r="H1463">
        <v>93169</v>
      </c>
      <c r="I1463">
        <v>98200</v>
      </c>
    </row>
    <row r="1464" spans="1:9" x14ac:dyDescent="0.3">
      <c r="A1464" t="s">
        <v>1496</v>
      </c>
      <c r="B1464">
        <v>45866</v>
      </c>
      <c r="C1464" t="s">
        <v>21</v>
      </c>
      <c r="D1464" t="s">
        <v>11</v>
      </c>
      <c r="E1464" t="s">
        <v>22</v>
      </c>
      <c r="F1464" t="s">
        <v>13</v>
      </c>
      <c r="G1464" t="s">
        <v>14</v>
      </c>
      <c r="H1464">
        <v>118901</v>
      </c>
      <c r="I1464">
        <v>122700</v>
      </c>
    </row>
    <row r="1465" spans="1:9" x14ac:dyDescent="0.3">
      <c r="A1465" t="s">
        <v>1497</v>
      </c>
      <c r="B1465">
        <v>45866</v>
      </c>
      <c r="C1465" t="s">
        <v>31</v>
      </c>
      <c r="D1465" t="s">
        <v>11</v>
      </c>
      <c r="E1465" t="s">
        <v>17</v>
      </c>
      <c r="F1465" t="s">
        <v>18</v>
      </c>
      <c r="G1465" t="s">
        <v>19</v>
      </c>
      <c r="H1465">
        <v>56623</v>
      </c>
      <c r="I1465">
        <v>53000</v>
      </c>
    </row>
    <row r="1466" spans="1:9" x14ac:dyDescent="0.3">
      <c r="A1466" t="s">
        <v>1498</v>
      </c>
      <c r="B1466">
        <v>45866</v>
      </c>
      <c r="C1466" t="s">
        <v>55</v>
      </c>
      <c r="D1466" t="s">
        <v>11</v>
      </c>
      <c r="E1466" t="s">
        <v>37</v>
      </c>
      <c r="F1466" t="s">
        <v>56</v>
      </c>
      <c r="G1466" t="s">
        <v>19</v>
      </c>
      <c r="H1466">
        <v>95985</v>
      </c>
      <c r="I1466">
        <v>102300</v>
      </c>
    </row>
    <row r="1467" spans="1:9" x14ac:dyDescent="0.3">
      <c r="A1467" t="s">
        <v>1499</v>
      </c>
      <c r="B1467">
        <v>45866</v>
      </c>
      <c r="C1467" t="s">
        <v>55</v>
      </c>
      <c r="D1467" t="s">
        <v>11</v>
      </c>
      <c r="E1467" t="s">
        <v>37</v>
      </c>
      <c r="F1467" t="s">
        <v>26</v>
      </c>
      <c r="G1467" t="s">
        <v>14</v>
      </c>
      <c r="H1467">
        <v>180534</v>
      </c>
      <c r="I1467">
        <v>170400</v>
      </c>
    </row>
    <row r="1468" spans="1:9" x14ac:dyDescent="0.3">
      <c r="A1468" t="s">
        <v>1500</v>
      </c>
      <c r="B1468">
        <v>45866</v>
      </c>
      <c r="C1468" t="s">
        <v>55</v>
      </c>
      <c r="D1468" t="s">
        <v>11</v>
      </c>
      <c r="E1468" t="s">
        <v>37</v>
      </c>
      <c r="F1468" t="s">
        <v>26</v>
      </c>
      <c r="G1468" t="s">
        <v>14</v>
      </c>
      <c r="H1468">
        <v>166427</v>
      </c>
      <c r="I1468">
        <v>168400</v>
      </c>
    </row>
    <row r="1469" spans="1:9" x14ac:dyDescent="0.3">
      <c r="A1469" t="s">
        <v>1501</v>
      </c>
      <c r="B1469">
        <v>45867</v>
      </c>
      <c r="C1469" t="s">
        <v>62</v>
      </c>
      <c r="D1469" t="s">
        <v>11</v>
      </c>
      <c r="E1469" t="s">
        <v>22</v>
      </c>
      <c r="F1469" t="s">
        <v>37</v>
      </c>
      <c r="G1469" t="s">
        <v>14</v>
      </c>
      <c r="H1469">
        <v>72251</v>
      </c>
      <c r="I1469">
        <v>72700</v>
      </c>
    </row>
    <row r="1470" spans="1:9" x14ac:dyDescent="0.3">
      <c r="A1470" t="s">
        <v>1502</v>
      </c>
      <c r="B1470">
        <v>45867</v>
      </c>
      <c r="C1470" t="s">
        <v>16</v>
      </c>
      <c r="D1470" t="s">
        <v>11</v>
      </c>
      <c r="E1470" t="s">
        <v>17</v>
      </c>
      <c r="F1470" t="s">
        <v>18</v>
      </c>
      <c r="G1470" t="s">
        <v>19</v>
      </c>
      <c r="H1470">
        <v>80311</v>
      </c>
      <c r="I1470">
        <v>79800</v>
      </c>
    </row>
    <row r="1471" spans="1:9" x14ac:dyDescent="0.3">
      <c r="A1471" t="s">
        <v>1503</v>
      </c>
      <c r="B1471">
        <v>45867</v>
      </c>
      <c r="C1471" t="s">
        <v>16</v>
      </c>
      <c r="D1471" t="s">
        <v>11</v>
      </c>
      <c r="E1471" t="s">
        <v>17</v>
      </c>
      <c r="F1471" t="s">
        <v>23</v>
      </c>
      <c r="G1471" t="s">
        <v>14</v>
      </c>
      <c r="H1471">
        <v>240025</v>
      </c>
      <c r="I1471">
        <v>243600</v>
      </c>
    </row>
    <row r="1472" spans="1:9" x14ac:dyDescent="0.3">
      <c r="A1472" t="s">
        <v>1504</v>
      </c>
      <c r="B1472">
        <v>45867</v>
      </c>
      <c r="C1472" t="s">
        <v>21</v>
      </c>
      <c r="D1472" t="s">
        <v>11</v>
      </c>
      <c r="E1472" t="s">
        <v>22</v>
      </c>
      <c r="F1472" t="s">
        <v>56</v>
      </c>
      <c r="G1472" t="s">
        <v>19</v>
      </c>
      <c r="H1472">
        <v>52866</v>
      </c>
      <c r="I1472">
        <v>54400</v>
      </c>
    </row>
    <row r="1473" spans="1:9" x14ac:dyDescent="0.3">
      <c r="A1473" t="s">
        <v>1505</v>
      </c>
      <c r="B1473">
        <v>45867</v>
      </c>
      <c r="C1473" t="s">
        <v>25</v>
      </c>
      <c r="D1473" t="s">
        <v>11</v>
      </c>
      <c r="E1473" t="s">
        <v>22</v>
      </c>
      <c r="F1473" t="s">
        <v>59</v>
      </c>
      <c r="G1473" t="s">
        <v>14</v>
      </c>
      <c r="H1473">
        <v>124114</v>
      </c>
      <c r="I1473">
        <v>129000</v>
      </c>
    </row>
    <row r="1474" spans="1:9" x14ac:dyDescent="0.3">
      <c r="A1474" t="s">
        <v>1506</v>
      </c>
      <c r="B1474">
        <v>45867</v>
      </c>
      <c r="C1474" t="s">
        <v>31</v>
      </c>
      <c r="D1474" t="s">
        <v>11</v>
      </c>
      <c r="E1474" t="s">
        <v>17</v>
      </c>
      <c r="F1474" t="s">
        <v>13</v>
      </c>
      <c r="G1474" t="s">
        <v>14</v>
      </c>
      <c r="H1474">
        <v>98610</v>
      </c>
      <c r="I1474">
        <v>104700</v>
      </c>
    </row>
    <row r="1475" spans="1:9" x14ac:dyDescent="0.3">
      <c r="A1475" t="s">
        <v>1507</v>
      </c>
      <c r="B1475">
        <v>45867</v>
      </c>
      <c r="C1475" t="s">
        <v>31</v>
      </c>
      <c r="D1475" t="s">
        <v>11</v>
      </c>
      <c r="E1475" t="s">
        <v>17</v>
      </c>
      <c r="F1475" t="s">
        <v>12</v>
      </c>
      <c r="G1475" t="s">
        <v>14</v>
      </c>
      <c r="H1475">
        <v>44639</v>
      </c>
      <c r="I1475">
        <v>42200</v>
      </c>
    </row>
    <row r="1476" spans="1:9" x14ac:dyDescent="0.3">
      <c r="A1476" t="s">
        <v>1508</v>
      </c>
      <c r="B1476">
        <v>45868</v>
      </c>
      <c r="C1476" t="s">
        <v>10</v>
      </c>
      <c r="D1476" t="s">
        <v>11</v>
      </c>
      <c r="E1476" t="s">
        <v>12</v>
      </c>
      <c r="F1476" t="s">
        <v>18</v>
      </c>
      <c r="G1476" t="s">
        <v>19</v>
      </c>
      <c r="H1476">
        <v>56974</v>
      </c>
      <c r="I1476">
        <v>52200</v>
      </c>
    </row>
    <row r="1477" spans="1:9" x14ac:dyDescent="0.3">
      <c r="A1477" t="s">
        <v>1509</v>
      </c>
      <c r="B1477">
        <v>45868</v>
      </c>
      <c r="C1477" t="s">
        <v>36</v>
      </c>
      <c r="D1477" t="s">
        <v>11</v>
      </c>
      <c r="E1477" t="s">
        <v>37</v>
      </c>
      <c r="F1477" t="s">
        <v>46</v>
      </c>
      <c r="G1477" t="s">
        <v>19</v>
      </c>
      <c r="H1477">
        <v>35104</v>
      </c>
      <c r="I1477">
        <v>35300</v>
      </c>
    </row>
    <row r="1478" spans="1:9" x14ac:dyDescent="0.3">
      <c r="A1478" t="s">
        <v>1510</v>
      </c>
      <c r="B1478">
        <v>45868</v>
      </c>
      <c r="C1478" t="s">
        <v>55</v>
      </c>
      <c r="D1478" t="s">
        <v>11</v>
      </c>
      <c r="E1478" t="s">
        <v>37</v>
      </c>
      <c r="F1478" t="s">
        <v>39</v>
      </c>
      <c r="G1478" t="s">
        <v>19</v>
      </c>
      <c r="H1478">
        <v>19910</v>
      </c>
      <c r="I1478">
        <v>19500</v>
      </c>
    </row>
    <row r="1479" spans="1:9" x14ac:dyDescent="0.3">
      <c r="A1479" t="s">
        <v>1511</v>
      </c>
      <c r="B1479">
        <v>45868</v>
      </c>
      <c r="C1479" t="s">
        <v>55</v>
      </c>
      <c r="D1479" t="s">
        <v>11</v>
      </c>
      <c r="E1479" t="s">
        <v>37</v>
      </c>
      <c r="F1479" t="s">
        <v>23</v>
      </c>
      <c r="G1479" t="s">
        <v>14</v>
      </c>
      <c r="H1479">
        <v>225082</v>
      </c>
      <c r="I1479">
        <v>206500</v>
      </c>
    </row>
    <row r="1480" spans="1:9" x14ac:dyDescent="0.3">
      <c r="A1480" t="s">
        <v>1512</v>
      </c>
      <c r="B1480">
        <v>45868</v>
      </c>
      <c r="C1480" t="s">
        <v>55</v>
      </c>
      <c r="D1480" t="s">
        <v>11</v>
      </c>
      <c r="E1480" t="s">
        <v>37</v>
      </c>
      <c r="F1480" t="s">
        <v>12</v>
      </c>
      <c r="G1480" t="s">
        <v>14</v>
      </c>
      <c r="H1480">
        <v>45321</v>
      </c>
      <c r="I1480">
        <v>42500</v>
      </c>
    </row>
    <row r="1481" spans="1:9" x14ac:dyDescent="0.3">
      <c r="A1481" t="s">
        <v>1513</v>
      </c>
      <c r="B1481">
        <v>45869</v>
      </c>
      <c r="C1481" t="s">
        <v>62</v>
      </c>
      <c r="D1481" t="s">
        <v>11</v>
      </c>
      <c r="E1481" t="s">
        <v>22</v>
      </c>
      <c r="F1481" t="s">
        <v>39</v>
      </c>
      <c r="G1481" t="s">
        <v>19</v>
      </c>
      <c r="H1481">
        <v>85577</v>
      </c>
      <c r="I1481">
        <v>88600</v>
      </c>
    </row>
    <row r="1482" spans="1:9" x14ac:dyDescent="0.3">
      <c r="A1482" t="s">
        <v>1514</v>
      </c>
      <c r="B1482">
        <v>45869</v>
      </c>
      <c r="C1482" t="s">
        <v>62</v>
      </c>
      <c r="D1482" t="s">
        <v>11</v>
      </c>
      <c r="E1482" t="s">
        <v>22</v>
      </c>
      <c r="F1482" t="s">
        <v>59</v>
      </c>
      <c r="G1482" t="s">
        <v>14</v>
      </c>
      <c r="H1482">
        <v>190450</v>
      </c>
      <c r="I1482">
        <v>187400</v>
      </c>
    </row>
    <row r="1483" spans="1:9" x14ac:dyDescent="0.3">
      <c r="A1483" t="s">
        <v>1515</v>
      </c>
      <c r="B1483">
        <v>45869</v>
      </c>
      <c r="C1483" t="s">
        <v>16</v>
      </c>
      <c r="D1483" t="s">
        <v>11</v>
      </c>
      <c r="E1483" t="s">
        <v>17</v>
      </c>
      <c r="F1483" t="s">
        <v>33</v>
      </c>
      <c r="G1483" t="s">
        <v>19</v>
      </c>
      <c r="H1483">
        <v>97588</v>
      </c>
      <c r="I1483">
        <v>106000</v>
      </c>
    </row>
    <row r="1484" spans="1:9" x14ac:dyDescent="0.3">
      <c r="A1484" t="s">
        <v>1516</v>
      </c>
      <c r="B1484">
        <v>45869</v>
      </c>
      <c r="C1484" t="s">
        <v>36</v>
      </c>
      <c r="D1484" t="s">
        <v>11</v>
      </c>
      <c r="E1484" t="s">
        <v>37</v>
      </c>
      <c r="F1484" t="s">
        <v>39</v>
      </c>
      <c r="G1484" t="s">
        <v>19</v>
      </c>
      <c r="H1484">
        <v>61585</v>
      </c>
      <c r="I1484">
        <v>69200</v>
      </c>
    </row>
    <row r="1485" spans="1:9" x14ac:dyDescent="0.3">
      <c r="A1485" t="s">
        <v>1517</v>
      </c>
      <c r="B1485">
        <v>45869</v>
      </c>
      <c r="C1485" t="s">
        <v>21</v>
      </c>
      <c r="D1485" t="s">
        <v>11</v>
      </c>
      <c r="E1485" t="s">
        <v>22</v>
      </c>
      <c r="F1485" t="s">
        <v>13</v>
      </c>
      <c r="G1485" t="s">
        <v>14</v>
      </c>
      <c r="H1485">
        <v>198538</v>
      </c>
      <c r="I1485">
        <v>188600</v>
      </c>
    </row>
    <row r="1486" spans="1:9" x14ac:dyDescent="0.3">
      <c r="A1486" t="s">
        <v>1518</v>
      </c>
      <c r="B1486">
        <v>45869</v>
      </c>
      <c r="C1486" t="s">
        <v>25</v>
      </c>
      <c r="D1486" t="s">
        <v>11</v>
      </c>
      <c r="E1486" t="s">
        <v>22</v>
      </c>
      <c r="F1486" t="s">
        <v>18</v>
      </c>
      <c r="G1486" t="s">
        <v>19</v>
      </c>
      <c r="H1486">
        <v>95919</v>
      </c>
      <c r="I1486">
        <v>94200</v>
      </c>
    </row>
    <row r="1487" spans="1:9" x14ac:dyDescent="0.3">
      <c r="A1487" t="s">
        <v>1519</v>
      </c>
      <c r="B1487">
        <v>45869</v>
      </c>
      <c r="C1487" t="s">
        <v>31</v>
      </c>
      <c r="D1487" t="s">
        <v>11</v>
      </c>
      <c r="E1487" t="s">
        <v>17</v>
      </c>
      <c r="F1487" t="s">
        <v>42</v>
      </c>
      <c r="G1487" t="s">
        <v>19</v>
      </c>
      <c r="H1487">
        <v>94284</v>
      </c>
      <c r="I1487">
        <v>87500</v>
      </c>
    </row>
    <row r="1488" spans="1:9" x14ac:dyDescent="0.3">
      <c r="A1488" t="s">
        <v>1520</v>
      </c>
      <c r="B1488">
        <v>45869</v>
      </c>
      <c r="C1488" t="s">
        <v>55</v>
      </c>
      <c r="D1488" t="s">
        <v>11</v>
      </c>
      <c r="E1488" t="s">
        <v>37</v>
      </c>
      <c r="F1488" t="s">
        <v>42</v>
      </c>
      <c r="G1488" t="s">
        <v>19</v>
      </c>
      <c r="H1488">
        <v>63889</v>
      </c>
      <c r="I1488">
        <v>69500</v>
      </c>
    </row>
    <row r="1489" spans="1:9" x14ac:dyDescent="0.3">
      <c r="A1489" t="s">
        <v>1521</v>
      </c>
      <c r="B1489">
        <v>45870</v>
      </c>
      <c r="C1489" t="s">
        <v>10</v>
      </c>
      <c r="D1489" t="s">
        <v>11</v>
      </c>
      <c r="E1489" t="s">
        <v>12</v>
      </c>
      <c r="F1489" t="s">
        <v>23</v>
      </c>
      <c r="G1489" t="s">
        <v>14</v>
      </c>
      <c r="H1489">
        <v>130298</v>
      </c>
      <c r="I1489">
        <v>138600</v>
      </c>
    </row>
    <row r="1490" spans="1:9" x14ac:dyDescent="0.3">
      <c r="A1490" t="s">
        <v>1522</v>
      </c>
      <c r="B1490">
        <v>45870</v>
      </c>
      <c r="C1490" t="s">
        <v>36</v>
      </c>
      <c r="D1490" t="s">
        <v>11</v>
      </c>
      <c r="E1490" t="s">
        <v>37</v>
      </c>
      <c r="F1490" t="s">
        <v>18</v>
      </c>
      <c r="G1490" t="s">
        <v>19</v>
      </c>
      <c r="H1490">
        <v>103880</v>
      </c>
      <c r="I1490">
        <v>89400</v>
      </c>
    </row>
    <row r="1491" spans="1:9" x14ac:dyDescent="0.3">
      <c r="A1491" t="s">
        <v>1523</v>
      </c>
      <c r="B1491">
        <v>45870</v>
      </c>
      <c r="C1491" t="s">
        <v>36</v>
      </c>
      <c r="D1491" t="s">
        <v>11</v>
      </c>
      <c r="E1491" t="s">
        <v>37</v>
      </c>
      <c r="F1491" t="s">
        <v>12</v>
      </c>
      <c r="G1491" t="s">
        <v>14</v>
      </c>
      <c r="H1491">
        <v>173492</v>
      </c>
      <c r="I1491">
        <v>189100</v>
      </c>
    </row>
    <row r="1492" spans="1:9" x14ac:dyDescent="0.3">
      <c r="A1492" t="s">
        <v>1524</v>
      </c>
      <c r="B1492">
        <v>45870</v>
      </c>
      <c r="C1492" t="s">
        <v>25</v>
      </c>
      <c r="D1492" t="s">
        <v>11</v>
      </c>
      <c r="E1492" t="s">
        <v>22</v>
      </c>
      <c r="F1492" t="s">
        <v>37</v>
      </c>
      <c r="G1492" t="s">
        <v>14</v>
      </c>
      <c r="H1492">
        <v>91832</v>
      </c>
      <c r="I1492">
        <v>83200</v>
      </c>
    </row>
    <row r="1493" spans="1:9" x14ac:dyDescent="0.3">
      <c r="A1493" t="s">
        <v>1525</v>
      </c>
      <c r="B1493">
        <v>45871</v>
      </c>
      <c r="C1493" t="s">
        <v>62</v>
      </c>
      <c r="D1493" t="s">
        <v>11</v>
      </c>
      <c r="E1493" t="s">
        <v>22</v>
      </c>
      <c r="F1493" t="s">
        <v>46</v>
      </c>
      <c r="G1493" t="s">
        <v>19</v>
      </c>
      <c r="H1493">
        <v>85186</v>
      </c>
      <c r="I1493">
        <v>73200</v>
      </c>
    </row>
    <row r="1494" spans="1:9" x14ac:dyDescent="0.3">
      <c r="A1494" t="s">
        <v>1526</v>
      </c>
      <c r="B1494">
        <v>45871</v>
      </c>
      <c r="C1494" t="s">
        <v>62</v>
      </c>
      <c r="D1494" t="s">
        <v>11</v>
      </c>
      <c r="E1494" t="s">
        <v>22</v>
      </c>
      <c r="F1494" t="s">
        <v>26</v>
      </c>
      <c r="G1494" t="s">
        <v>14</v>
      </c>
      <c r="H1494">
        <v>134039</v>
      </c>
      <c r="I1494">
        <v>141700</v>
      </c>
    </row>
    <row r="1495" spans="1:9" x14ac:dyDescent="0.3">
      <c r="A1495" t="s">
        <v>1527</v>
      </c>
      <c r="B1495">
        <v>45871</v>
      </c>
      <c r="C1495" t="s">
        <v>16</v>
      </c>
      <c r="D1495" t="s">
        <v>11</v>
      </c>
      <c r="E1495" t="s">
        <v>17</v>
      </c>
      <c r="F1495" t="s">
        <v>12</v>
      </c>
      <c r="G1495" t="s">
        <v>14</v>
      </c>
      <c r="H1495">
        <v>241345</v>
      </c>
      <c r="I1495">
        <v>234200</v>
      </c>
    </row>
    <row r="1496" spans="1:9" x14ac:dyDescent="0.3">
      <c r="A1496" t="s">
        <v>1528</v>
      </c>
      <c r="B1496">
        <v>45872</v>
      </c>
      <c r="C1496" t="s">
        <v>62</v>
      </c>
      <c r="D1496" t="s">
        <v>11</v>
      </c>
      <c r="E1496" t="s">
        <v>22</v>
      </c>
      <c r="F1496" t="s">
        <v>18</v>
      </c>
      <c r="G1496" t="s">
        <v>19</v>
      </c>
      <c r="H1496">
        <v>111307</v>
      </c>
      <c r="I1496">
        <v>109700</v>
      </c>
    </row>
    <row r="1497" spans="1:9" x14ac:dyDescent="0.3">
      <c r="A1497" t="s">
        <v>1529</v>
      </c>
      <c r="B1497">
        <v>45872</v>
      </c>
      <c r="C1497" t="s">
        <v>10</v>
      </c>
      <c r="D1497" t="s">
        <v>11</v>
      </c>
      <c r="E1497" t="s">
        <v>12</v>
      </c>
      <c r="F1497" t="s">
        <v>39</v>
      </c>
      <c r="G1497" t="s">
        <v>19</v>
      </c>
      <c r="H1497">
        <v>23644</v>
      </c>
      <c r="I1497">
        <v>28200</v>
      </c>
    </row>
    <row r="1498" spans="1:9" x14ac:dyDescent="0.3">
      <c r="A1498" t="s">
        <v>1530</v>
      </c>
      <c r="B1498">
        <v>45872</v>
      </c>
      <c r="C1498" t="s">
        <v>10</v>
      </c>
      <c r="D1498" t="s">
        <v>11</v>
      </c>
      <c r="E1498" t="s">
        <v>12</v>
      </c>
      <c r="F1498" t="s">
        <v>23</v>
      </c>
      <c r="G1498" t="s">
        <v>14</v>
      </c>
      <c r="H1498">
        <v>153272</v>
      </c>
      <c r="I1498">
        <v>142900</v>
      </c>
    </row>
    <row r="1499" spans="1:9" x14ac:dyDescent="0.3">
      <c r="A1499" t="s">
        <v>1531</v>
      </c>
      <c r="B1499">
        <v>45872</v>
      </c>
      <c r="C1499" t="s">
        <v>10</v>
      </c>
      <c r="D1499" t="s">
        <v>11</v>
      </c>
      <c r="E1499" t="s">
        <v>12</v>
      </c>
      <c r="F1499" t="s">
        <v>12</v>
      </c>
      <c r="G1499" t="s">
        <v>14</v>
      </c>
      <c r="H1499">
        <v>71580</v>
      </c>
      <c r="I1499">
        <v>75900</v>
      </c>
    </row>
    <row r="1500" spans="1:9" x14ac:dyDescent="0.3">
      <c r="A1500" t="s">
        <v>1532</v>
      </c>
      <c r="B1500">
        <v>45872</v>
      </c>
      <c r="C1500" t="s">
        <v>16</v>
      </c>
      <c r="D1500" t="s">
        <v>11</v>
      </c>
      <c r="E1500" t="s">
        <v>17</v>
      </c>
      <c r="F1500" t="s">
        <v>13</v>
      </c>
      <c r="G1500" t="s">
        <v>14</v>
      </c>
      <c r="H1500">
        <v>248636</v>
      </c>
      <c r="I1500">
        <v>244600</v>
      </c>
    </row>
    <row r="1501" spans="1:9" x14ac:dyDescent="0.3">
      <c r="A1501" t="s">
        <v>1533</v>
      </c>
      <c r="B1501">
        <v>45872</v>
      </c>
      <c r="C1501" t="s">
        <v>25</v>
      </c>
      <c r="D1501" t="s">
        <v>11</v>
      </c>
      <c r="E1501" t="s">
        <v>22</v>
      </c>
      <c r="F1501" t="s">
        <v>33</v>
      </c>
      <c r="G1501" t="s">
        <v>19</v>
      </c>
      <c r="H1501">
        <v>41879</v>
      </c>
      <c r="I1501">
        <v>41900</v>
      </c>
    </row>
    <row r="1502" spans="1:9" x14ac:dyDescent="0.3">
      <c r="A1502" t="s">
        <v>1534</v>
      </c>
      <c r="B1502">
        <v>45872</v>
      </c>
      <c r="C1502" t="s">
        <v>25</v>
      </c>
      <c r="D1502" t="s">
        <v>11</v>
      </c>
      <c r="E1502" t="s">
        <v>22</v>
      </c>
      <c r="F1502" t="s">
        <v>56</v>
      </c>
      <c r="G1502" t="s">
        <v>19</v>
      </c>
      <c r="H1502">
        <v>105514</v>
      </c>
      <c r="I1502">
        <v>122500</v>
      </c>
    </row>
    <row r="1503" spans="1:9" x14ac:dyDescent="0.3">
      <c r="A1503" t="s">
        <v>1535</v>
      </c>
      <c r="B1503">
        <v>45872</v>
      </c>
      <c r="C1503" t="s">
        <v>25</v>
      </c>
      <c r="D1503" t="s">
        <v>11</v>
      </c>
      <c r="E1503" t="s">
        <v>22</v>
      </c>
      <c r="F1503" t="s">
        <v>59</v>
      </c>
      <c r="G1503" t="s">
        <v>14</v>
      </c>
      <c r="H1503">
        <v>124085</v>
      </c>
      <c r="I1503">
        <v>123900</v>
      </c>
    </row>
    <row r="1504" spans="1:9" x14ac:dyDescent="0.3">
      <c r="A1504" t="s">
        <v>1536</v>
      </c>
      <c r="B1504">
        <v>45872</v>
      </c>
      <c r="C1504" t="s">
        <v>31</v>
      </c>
      <c r="D1504" t="s">
        <v>11</v>
      </c>
      <c r="E1504" t="s">
        <v>17</v>
      </c>
      <c r="F1504" t="s">
        <v>46</v>
      </c>
      <c r="G1504" t="s">
        <v>19</v>
      </c>
      <c r="H1504">
        <v>85195</v>
      </c>
      <c r="I1504">
        <v>91500</v>
      </c>
    </row>
    <row r="1505" spans="1:9" x14ac:dyDescent="0.3">
      <c r="A1505" t="s">
        <v>1537</v>
      </c>
      <c r="B1505">
        <v>45873</v>
      </c>
      <c r="C1505" t="s">
        <v>62</v>
      </c>
      <c r="D1505" t="s">
        <v>11</v>
      </c>
      <c r="E1505" t="s">
        <v>22</v>
      </c>
      <c r="F1505" t="s">
        <v>39</v>
      </c>
      <c r="G1505" t="s">
        <v>19</v>
      </c>
      <c r="H1505">
        <v>43668</v>
      </c>
      <c r="I1505">
        <v>41400</v>
      </c>
    </row>
    <row r="1506" spans="1:9" x14ac:dyDescent="0.3">
      <c r="A1506" t="s">
        <v>1538</v>
      </c>
      <c r="B1506">
        <v>45873</v>
      </c>
      <c r="C1506" t="s">
        <v>62</v>
      </c>
      <c r="D1506" t="s">
        <v>11</v>
      </c>
      <c r="E1506" t="s">
        <v>22</v>
      </c>
      <c r="F1506" t="s">
        <v>37</v>
      </c>
      <c r="G1506" t="s">
        <v>14</v>
      </c>
      <c r="H1506">
        <v>161606</v>
      </c>
      <c r="I1506">
        <v>177400</v>
      </c>
    </row>
    <row r="1507" spans="1:9" x14ac:dyDescent="0.3">
      <c r="A1507" t="s">
        <v>1539</v>
      </c>
      <c r="B1507">
        <v>45873</v>
      </c>
      <c r="C1507" t="s">
        <v>10</v>
      </c>
      <c r="D1507" t="s">
        <v>11</v>
      </c>
      <c r="E1507" t="s">
        <v>12</v>
      </c>
      <c r="F1507" t="s">
        <v>23</v>
      </c>
      <c r="G1507" t="s">
        <v>14</v>
      </c>
      <c r="H1507">
        <v>68598</v>
      </c>
      <c r="I1507">
        <v>69400</v>
      </c>
    </row>
    <row r="1508" spans="1:9" x14ac:dyDescent="0.3">
      <c r="A1508" t="s">
        <v>1540</v>
      </c>
      <c r="B1508">
        <v>45873</v>
      </c>
      <c r="C1508" t="s">
        <v>16</v>
      </c>
      <c r="D1508" t="s">
        <v>11</v>
      </c>
      <c r="E1508" t="s">
        <v>17</v>
      </c>
      <c r="F1508" t="s">
        <v>42</v>
      </c>
      <c r="G1508" t="s">
        <v>19</v>
      </c>
      <c r="H1508">
        <v>70913</v>
      </c>
      <c r="I1508">
        <v>70000</v>
      </c>
    </row>
    <row r="1509" spans="1:9" x14ac:dyDescent="0.3">
      <c r="A1509" t="s">
        <v>1541</v>
      </c>
      <c r="B1509">
        <v>45873</v>
      </c>
      <c r="C1509" t="s">
        <v>36</v>
      </c>
      <c r="D1509" t="s">
        <v>11</v>
      </c>
      <c r="E1509" t="s">
        <v>37</v>
      </c>
      <c r="F1509" t="s">
        <v>46</v>
      </c>
      <c r="G1509" t="s">
        <v>19</v>
      </c>
      <c r="H1509">
        <v>44464</v>
      </c>
      <c r="I1509">
        <v>45200</v>
      </c>
    </row>
    <row r="1510" spans="1:9" x14ac:dyDescent="0.3">
      <c r="A1510" t="s">
        <v>1542</v>
      </c>
      <c r="B1510">
        <v>45873</v>
      </c>
      <c r="C1510" t="s">
        <v>25</v>
      </c>
      <c r="D1510" t="s">
        <v>11</v>
      </c>
      <c r="E1510" t="s">
        <v>22</v>
      </c>
      <c r="F1510" t="s">
        <v>33</v>
      </c>
      <c r="G1510" t="s">
        <v>19</v>
      </c>
      <c r="H1510">
        <v>27214</v>
      </c>
      <c r="I1510">
        <v>29000</v>
      </c>
    </row>
    <row r="1511" spans="1:9" x14ac:dyDescent="0.3">
      <c r="A1511" t="s">
        <v>1543</v>
      </c>
      <c r="B1511">
        <v>45874</v>
      </c>
      <c r="C1511" t="s">
        <v>62</v>
      </c>
      <c r="D1511" t="s">
        <v>11</v>
      </c>
      <c r="E1511" t="s">
        <v>22</v>
      </c>
      <c r="F1511" t="s">
        <v>56</v>
      </c>
      <c r="G1511" t="s">
        <v>19</v>
      </c>
      <c r="H1511">
        <v>88697</v>
      </c>
      <c r="I1511">
        <v>80400</v>
      </c>
    </row>
    <row r="1512" spans="1:9" x14ac:dyDescent="0.3">
      <c r="A1512" t="s">
        <v>1544</v>
      </c>
      <c r="B1512">
        <v>45874</v>
      </c>
      <c r="C1512" t="s">
        <v>16</v>
      </c>
      <c r="D1512" t="s">
        <v>11</v>
      </c>
      <c r="E1512" t="s">
        <v>17</v>
      </c>
      <c r="F1512" t="s">
        <v>33</v>
      </c>
      <c r="G1512" t="s">
        <v>19</v>
      </c>
      <c r="H1512">
        <v>62382</v>
      </c>
      <c r="I1512">
        <v>65100</v>
      </c>
    </row>
    <row r="1513" spans="1:9" x14ac:dyDescent="0.3">
      <c r="A1513" t="s">
        <v>1545</v>
      </c>
      <c r="B1513">
        <v>45874</v>
      </c>
      <c r="C1513" t="s">
        <v>21</v>
      </c>
      <c r="D1513" t="s">
        <v>11</v>
      </c>
      <c r="E1513" t="s">
        <v>22</v>
      </c>
      <c r="F1513" t="s">
        <v>39</v>
      </c>
      <c r="G1513" t="s">
        <v>19</v>
      </c>
      <c r="H1513">
        <v>114484</v>
      </c>
      <c r="I1513">
        <v>117500</v>
      </c>
    </row>
    <row r="1514" spans="1:9" x14ac:dyDescent="0.3">
      <c r="A1514" t="s">
        <v>1546</v>
      </c>
      <c r="B1514">
        <v>45874</v>
      </c>
      <c r="C1514" t="s">
        <v>21</v>
      </c>
      <c r="D1514" t="s">
        <v>11</v>
      </c>
      <c r="E1514" t="s">
        <v>22</v>
      </c>
      <c r="F1514" t="s">
        <v>26</v>
      </c>
      <c r="G1514" t="s">
        <v>14</v>
      </c>
      <c r="H1514">
        <v>144370</v>
      </c>
      <c r="I1514">
        <v>163600</v>
      </c>
    </row>
    <row r="1515" spans="1:9" x14ac:dyDescent="0.3">
      <c r="A1515" t="s">
        <v>1547</v>
      </c>
      <c r="B1515">
        <v>45874</v>
      </c>
      <c r="C1515" t="s">
        <v>21</v>
      </c>
      <c r="D1515" t="s">
        <v>11</v>
      </c>
      <c r="E1515" t="s">
        <v>22</v>
      </c>
      <c r="F1515" t="s">
        <v>26</v>
      </c>
      <c r="G1515" t="s">
        <v>14</v>
      </c>
      <c r="H1515">
        <v>239507</v>
      </c>
      <c r="I1515">
        <v>247900</v>
      </c>
    </row>
    <row r="1516" spans="1:9" x14ac:dyDescent="0.3">
      <c r="A1516" t="s">
        <v>1548</v>
      </c>
      <c r="B1516">
        <v>45874</v>
      </c>
      <c r="C1516" t="s">
        <v>25</v>
      </c>
      <c r="D1516" t="s">
        <v>11</v>
      </c>
      <c r="E1516" t="s">
        <v>22</v>
      </c>
      <c r="F1516" t="s">
        <v>56</v>
      </c>
      <c r="G1516" t="s">
        <v>19</v>
      </c>
      <c r="H1516">
        <v>43974</v>
      </c>
      <c r="I1516">
        <v>36800</v>
      </c>
    </row>
    <row r="1517" spans="1:9" x14ac:dyDescent="0.3">
      <c r="A1517" t="s">
        <v>1549</v>
      </c>
      <c r="B1517">
        <v>45874</v>
      </c>
      <c r="C1517" t="s">
        <v>25</v>
      </c>
      <c r="D1517" t="s">
        <v>11</v>
      </c>
      <c r="E1517" t="s">
        <v>22</v>
      </c>
      <c r="F1517" t="s">
        <v>59</v>
      </c>
      <c r="G1517" t="s">
        <v>14</v>
      </c>
      <c r="H1517">
        <v>87307</v>
      </c>
      <c r="I1517">
        <v>87700</v>
      </c>
    </row>
    <row r="1518" spans="1:9" x14ac:dyDescent="0.3">
      <c r="A1518" t="s">
        <v>1550</v>
      </c>
      <c r="B1518">
        <v>45874</v>
      </c>
      <c r="C1518" t="s">
        <v>31</v>
      </c>
      <c r="D1518" t="s">
        <v>11</v>
      </c>
      <c r="E1518" t="s">
        <v>17</v>
      </c>
      <c r="F1518" t="s">
        <v>13</v>
      </c>
      <c r="G1518" t="s">
        <v>14</v>
      </c>
      <c r="H1518">
        <v>226990</v>
      </c>
      <c r="I1518">
        <v>193300</v>
      </c>
    </row>
    <row r="1519" spans="1:9" x14ac:dyDescent="0.3">
      <c r="A1519" t="s">
        <v>1551</v>
      </c>
      <c r="B1519">
        <v>45875</v>
      </c>
      <c r="C1519" t="s">
        <v>62</v>
      </c>
      <c r="D1519" t="s">
        <v>11</v>
      </c>
      <c r="E1519" t="s">
        <v>22</v>
      </c>
      <c r="F1519" t="s">
        <v>56</v>
      </c>
      <c r="G1519" t="s">
        <v>19</v>
      </c>
      <c r="H1519">
        <v>32154</v>
      </c>
      <c r="I1519">
        <v>28900</v>
      </c>
    </row>
    <row r="1520" spans="1:9" x14ac:dyDescent="0.3">
      <c r="A1520" t="s">
        <v>1552</v>
      </c>
      <c r="B1520">
        <v>45875</v>
      </c>
      <c r="C1520" t="s">
        <v>62</v>
      </c>
      <c r="D1520" t="s">
        <v>11</v>
      </c>
      <c r="E1520" t="s">
        <v>22</v>
      </c>
      <c r="F1520" t="s">
        <v>37</v>
      </c>
      <c r="G1520" t="s">
        <v>14</v>
      </c>
      <c r="H1520">
        <v>92224</v>
      </c>
      <c r="I1520">
        <v>81100</v>
      </c>
    </row>
    <row r="1521" spans="1:9" x14ac:dyDescent="0.3">
      <c r="A1521" t="s">
        <v>1553</v>
      </c>
      <c r="B1521">
        <v>45875</v>
      </c>
      <c r="C1521" t="s">
        <v>10</v>
      </c>
      <c r="D1521" t="s">
        <v>11</v>
      </c>
      <c r="E1521" t="s">
        <v>12</v>
      </c>
      <c r="F1521" t="s">
        <v>12</v>
      </c>
      <c r="G1521" t="s">
        <v>14</v>
      </c>
      <c r="H1521">
        <v>173349</v>
      </c>
      <c r="I1521">
        <v>189100</v>
      </c>
    </row>
    <row r="1522" spans="1:9" x14ac:dyDescent="0.3">
      <c r="A1522" t="s">
        <v>1554</v>
      </c>
      <c r="B1522">
        <v>45875</v>
      </c>
      <c r="C1522" t="s">
        <v>16</v>
      </c>
      <c r="D1522" t="s">
        <v>11</v>
      </c>
      <c r="E1522" t="s">
        <v>17</v>
      </c>
      <c r="F1522" t="s">
        <v>59</v>
      </c>
      <c r="G1522" t="s">
        <v>14</v>
      </c>
      <c r="H1522">
        <v>135489</v>
      </c>
      <c r="I1522">
        <v>113900</v>
      </c>
    </row>
    <row r="1523" spans="1:9" x14ac:dyDescent="0.3">
      <c r="A1523" t="s">
        <v>1555</v>
      </c>
      <c r="B1523">
        <v>45875</v>
      </c>
      <c r="C1523" t="s">
        <v>25</v>
      </c>
      <c r="D1523" t="s">
        <v>11</v>
      </c>
      <c r="E1523" t="s">
        <v>22</v>
      </c>
      <c r="F1523" t="s">
        <v>56</v>
      </c>
      <c r="G1523" t="s">
        <v>19</v>
      </c>
      <c r="H1523">
        <v>30594</v>
      </c>
      <c r="I1523">
        <v>33400</v>
      </c>
    </row>
    <row r="1524" spans="1:9" x14ac:dyDescent="0.3">
      <c r="A1524" t="s">
        <v>1556</v>
      </c>
      <c r="B1524">
        <v>45875</v>
      </c>
      <c r="C1524" t="s">
        <v>25</v>
      </c>
      <c r="D1524" t="s">
        <v>11</v>
      </c>
      <c r="E1524" t="s">
        <v>22</v>
      </c>
      <c r="F1524" t="s">
        <v>23</v>
      </c>
      <c r="G1524" t="s">
        <v>14</v>
      </c>
      <c r="H1524">
        <v>133765</v>
      </c>
      <c r="I1524">
        <v>131600</v>
      </c>
    </row>
    <row r="1525" spans="1:9" x14ac:dyDescent="0.3">
      <c r="A1525" t="s">
        <v>1557</v>
      </c>
      <c r="B1525">
        <v>45875</v>
      </c>
      <c r="C1525" t="s">
        <v>31</v>
      </c>
      <c r="D1525" t="s">
        <v>11</v>
      </c>
      <c r="E1525" t="s">
        <v>17</v>
      </c>
      <c r="F1525" t="s">
        <v>56</v>
      </c>
      <c r="G1525" t="s">
        <v>19</v>
      </c>
      <c r="H1525">
        <v>52272</v>
      </c>
      <c r="I1525">
        <v>50200</v>
      </c>
    </row>
    <row r="1526" spans="1:9" x14ac:dyDescent="0.3">
      <c r="A1526" t="s">
        <v>1558</v>
      </c>
      <c r="B1526">
        <v>45875</v>
      </c>
      <c r="C1526" t="s">
        <v>31</v>
      </c>
      <c r="D1526" t="s">
        <v>11</v>
      </c>
      <c r="E1526" t="s">
        <v>17</v>
      </c>
      <c r="F1526" t="s">
        <v>23</v>
      </c>
      <c r="G1526" t="s">
        <v>14</v>
      </c>
      <c r="H1526">
        <v>62329</v>
      </c>
      <c r="I1526">
        <v>68700</v>
      </c>
    </row>
    <row r="1527" spans="1:9" x14ac:dyDescent="0.3">
      <c r="A1527" t="s">
        <v>1559</v>
      </c>
      <c r="B1527">
        <v>45875</v>
      </c>
      <c r="C1527" t="s">
        <v>55</v>
      </c>
      <c r="D1527" t="s">
        <v>11</v>
      </c>
      <c r="E1527" t="s">
        <v>37</v>
      </c>
      <c r="F1527" t="s">
        <v>59</v>
      </c>
      <c r="G1527" t="s">
        <v>14</v>
      </c>
      <c r="H1527">
        <v>60317</v>
      </c>
      <c r="I1527">
        <v>59900</v>
      </c>
    </row>
    <row r="1528" spans="1:9" x14ac:dyDescent="0.3">
      <c r="A1528" t="s">
        <v>1560</v>
      </c>
      <c r="B1528">
        <v>45875</v>
      </c>
      <c r="C1528" t="s">
        <v>55</v>
      </c>
      <c r="D1528" t="s">
        <v>11</v>
      </c>
      <c r="E1528" t="s">
        <v>37</v>
      </c>
      <c r="F1528" t="s">
        <v>59</v>
      </c>
      <c r="G1528" t="s">
        <v>14</v>
      </c>
      <c r="H1528">
        <v>116195</v>
      </c>
      <c r="I1528">
        <v>114900</v>
      </c>
    </row>
    <row r="1529" spans="1:9" x14ac:dyDescent="0.3">
      <c r="A1529" t="s">
        <v>1561</v>
      </c>
      <c r="B1529">
        <v>45876</v>
      </c>
      <c r="C1529" t="s">
        <v>62</v>
      </c>
      <c r="D1529" t="s">
        <v>11</v>
      </c>
      <c r="E1529" t="s">
        <v>22</v>
      </c>
      <c r="F1529" t="s">
        <v>18</v>
      </c>
      <c r="G1529" t="s">
        <v>19</v>
      </c>
      <c r="H1529">
        <v>51122</v>
      </c>
      <c r="I1529">
        <v>49500</v>
      </c>
    </row>
    <row r="1530" spans="1:9" x14ac:dyDescent="0.3">
      <c r="A1530" t="s">
        <v>1562</v>
      </c>
      <c r="B1530">
        <v>45876</v>
      </c>
      <c r="C1530" t="s">
        <v>62</v>
      </c>
      <c r="D1530" t="s">
        <v>11</v>
      </c>
      <c r="E1530" t="s">
        <v>22</v>
      </c>
      <c r="F1530" t="s">
        <v>12</v>
      </c>
      <c r="G1530" t="s">
        <v>14</v>
      </c>
      <c r="H1530">
        <v>142126</v>
      </c>
      <c r="I1530">
        <v>139700</v>
      </c>
    </row>
    <row r="1531" spans="1:9" x14ac:dyDescent="0.3">
      <c r="A1531" t="s">
        <v>1563</v>
      </c>
      <c r="B1531">
        <v>45876</v>
      </c>
      <c r="C1531" t="s">
        <v>62</v>
      </c>
      <c r="D1531" t="s">
        <v>11</v>
      </c>
      <c r="E1531" t="s">
        <v>22</v>
      </c>
      <c r="F1531" t="s">
        <v>59</v>
      </c>
      <c r="G1531" t="s">
        <v>14</v>
      </c>
      <c r="H1531">
        <v>26173</v>
      </c>
      <c r="I1531">
        <v>26500</v>
      </c>
    </row>
    <row r="1532" spans="1:9" x14ac:dyDescent="0.3">
      <c r="A1532" t="s">
        <v>1564</v>
      </c>
      <c r="B1532">
        <v>45876</v>
      </c>
      <c r="C1532" t="s">
        <v>36</v>
      </c>
      <c r="D1532" t="s">
        <v>11</v>
      </c>
      <c r="E1532" t="s">
        <v>37</v>
      </c>
      <c r="F1532" t="s">
        <v>56</v>
      </c>
      <c r="G1532" t="s">
        <v>19</v>
      </c>
      <c r="H1532">
        <v>52040</v>
      </c>
      <c r="I1532">
        <v>48700</v>
      </c>
    </row>
    <row r="1533" spans="1:9" x14ac:dyDescent="0.3">
      <c r="A1533" t="s">
        <v>1565</v>
      </c>
      <c r="B1533">
        <v>45876</v>
      </c>
      <c r="C1533" t="s">
        <v>36</v>
      </c>
      <c r="D1533" t="s">
        <v>11</v>
      </c>
      <c r="E1533" t="s">
        <v>37</v>
      </c>
      <c r="F1533" t="s">
        <v>56</v>
      </c>
      <c r="G1533" t="s">
        <v>19</v>
      </c>
      <c r="H1533">
        <v>34143</v>
      </c>
      <c r="I1533">
        <v>34100</v>
      </c>
    </row>
    <row r="1534" spans="1:9" x14ac:dyDescent="0.3">
      <c r="A1534" t="s">
        <v>1566</v>
      </c>
      <c r="B1534">
        <v>45876</v>
      </c>
      <c r="C1534" t="s">
        <v>21</v>
      </c>
      <c r="D1534" t="s">
        <v>11</v>
      </c>
      <c r="E1534" t="s">
        <v>22</v>
      </c>
      <c r="F1534" t="s">
        <v>13</v>
      </c>
      <c r="G1534" t="s">
        <v>14</v>
      </c>
      <c r="H1534">
        <v>170421</v>
      </c>
      <c r="I1534">
        <v>174600</v>
      </c>
    </row>
    <row r="1535" spans="1:9" x14ac:dyDescent="0.3">
      <c r="A1535" t="s">
        <v>1567</v>
      </c>
      <c r="B1535">
        <v>45877</v>
      </c>
      <c r="C1535" t="s">
        <v>16</v>
      </c>
      <c r="D1535" t="s">
        <v>11</v>
      </c>
      <c r="E1535" t="s">
        <v>17</v>
      </c>
      <c r="F1535" t="s">
        <v>37</v>
      </c>
      <c r="G1535" t="s">
        <v>14</v>
      </c>
      <c r="H1535">
        <v>241477</v>
      </c>
      <c r="I1535">
        <v>255800</v>
      </c>
    </row>
    <row r="1536" spans="1:9" x14ac:dyDescent="0.3">
      <c r="A1536" t="s">
        <v>1568</v>
      </c>
      <c r="B1536">
        <v>45877</v>
      </c>
      <c r="C1536" t="s">
        <v>21</v>
      </c>
      <c r="D1536" t="s">
        <v>11</v>
      </c>
      <c r="E1536" t="s">
        <v>22</v>
      </c>
      <c r="F1536" t="s">
        <v>59</v>
      </c>
      <c r="G1536" t="s">
        <v>14</v>
      </c>
      <c r="H1536">
        <v>241885</v>
      </c>
      <c r="I1536">
        <v>225800</v>
      </c>
    </row>
    <row r="1537" spans="1:9" x14ac:dyDescent="0.3">
      <c r="A1537" t="s">
        <v>1569</v>
      </c>
      <c r="B1537">
        <v>45877</v>
      </c>
      <c r="C1537" t="s">
        <v>21</v>
      </c>
      <c r="D1537" t="s">
        <v>11</v>
      </c>
      <c r="E1537" t="s">
        <v>22</v>
      </c>
      <c r="F1537" t="s">
        <v>37</v>
      </c>
      <c r="G1537" t="s">
        <v>14</v>
      </c>
      <c r="H1537">
        <v>88584</v>
      </c>
      <c r="I1537">
        <v>87200</v>
      </c>
    </row>
    <row r="1538" spans="1:9" x14ac:dyDescent="0.3">
      <c r="A1538" t="s">
        <v>1570</v>
      </c>
      <c r="B1538">
        <v>45877</v>
      </c>
      <c r="C1538" t="s">
        <v>25</v>
      </c>
      <c r="D1538" t="s">
        <v>11</v>
      </c>
      <c r="E1538" t="s">
        <v>22</v>
      </c>
      <c r="F1538" t="s">
        <v>26</v>
      </c>
      <c r="G1538" t="s">
        <v>14</v>
      </c>
      <c r="H1538">
        <v>98492</v>
      </c>
      <c r="I1538">
        <v>94800</v>
      </c>
    </row>
    <row r="1539" spans="1:9" x14ac:dyDescent="0.3">
      <c r="A1539" t="s">
        <v>1571</v>
      </c>
      <c r="B1539">
        <v>45877</v>
      </c>
      <c r="C1539" t="s">
        <v>31</v>
      </c>
      <c r="D1539" t="s">
        <v>11</v>
      </c>
      <c r="E1539" t="s">
        <v>17</v>
      </c>
      <c r="F1539" t="s">
        <v>23</v>
      </c>
      <c r="G1539" t="s">
        <v>14</v>
      </c>
      <c r="H1539">
        <v>222802</v>
      </c>
      <c r="I1539">
        <v>211800</v>
      </c>
    </row>
    <row r="1540" spans="1:9" x14ac:dyDescent="0.3">
      <c r="A1540" t="s">
        <v>1572</v>
      </c>
      <c r="B1540">
        <v>45877</v>
      </c>
      <c r="C1540" t="s">
        <v>55</v>
      </c>
      <c r="D1540" t="s">
        <v>11</v>
      </c>
      <c r="E1540" t="s">
        <v>37</v>
      </c>
      <c r="F1540" t="s">
        <v>46</v>
      </c>
      <c r="G1540" t="s">
        <v>19</v>
      </c>
      <c r="H1540">
        <v>24424</v>
      </c>
      <c r="I1540">
        <v>24300</v>
      </c>
    </row>
    <row r="1541" spans="1:9" x14ac:dyDescent="0.3">
      <c r="A1541" t="s">
        <v>1573</v>
      </c>
      <c r="B1541">
        <v>45877</v>
      </c>
      <c r="C1541" t="s">
        <v>55</v>
      </c>
      <c r="D1541" t="s">
        <v>11</v>
      </c>
      <c r="E1541" t="s">
        <v>37</v>
      </c>
      <c r="F1541" t="s">
        <v>26</v>
      </c>
      <c r="G1541" t="s">
        <v>14</v>
      </c>
      <c r="H1541">
        <v>110813</v>
      </c>
      <c r="I1541">
        <v>105900</v>
      </c>
    </row>
    <row r="1542" spans="1:9" x14ac:dyDescent="0.3">
      <c r="A1542" t="s">
        <v>1574</v>
      </c>
      <c r="B1542">
        <v>45878</v>
      </c>
      <c r="C1542" t="s">
        <v>62</v>
      </c>
      <c r="D1542" t="s">
        <v>11</v>
      </c>
      <c r="E1542" t="s">
        <v>22</v>
      </c>
      <c r="F1542" t="s">
        <v>42</v>
      </c>
      <c r="G1542" t="s">
        <v>19</v>
      </c>
      <c r="H1542">
        <v>105629</v>
      </c>
      <c r="I1542">
        <v>109900</v>
      </c>
    </row>
    <row r="1543" spans="1:9" x14ac:dyDescent="0.3">
      <c r="A1543" t="s">
        <v>1575</v>
      </c>
      <c r="B1543">
        <v>45878</v>
      </c>
      <c r="C1543" t="s">
        <v>62</v>
      </c>
      <c r="D1543" t="s">
        <v>11</v>
      </c>
      <c r="E1543" t="s">
        <v>22</v>
      </c>
      <c r="F1543" t="s">
        <v>12</v>
      </c>
      <c r="G1543" t="s">
        <v>14</v>
      </c>
      <c r="H1543">
        <v>123195</v>
      </c>
      <c r="I1543">
        <v>114400</v>
      </c>
    </row>
    <row r="1544" spans="1:9" x14ac:dyDescent="0.3">
      <c r="A1544" t="s">
        <v>1576</v>
      </c>
      <c r="B1544">
        <v>45878</v>
      </c>
      <c r="C1544" t="s">
        <v>25</v>
      </c>
      <c r="D1544" t="s">
        <v>11</v>
      </c>
      <c r="E1544" t="s">
        <v>22</v>
      </c>
      <c r="F1544" t="s">
        <v>46</v>
      </c>
      <c r="G1544" t="s">
        <v>19</v>
      </c>
      <c r="H1544">
        <v>32033</v>
      </c>
      <c r="I1544">
        <v>31400</v>
      </c>
    </row>
    <row r="1545" spans="1:9" x14ac:dyDescent="0.3">
      <c r="A1545" t="s">
        <v>1577</v>
      </c>
      <c r="B1545">
        <v>45878</v>
      </c>
      <c r="C1545" t="s">
        <v>25</v>
      </c>
      <c r="D1545" t="s">
        <v>11</v>
      </c>
      <c r="E1545" t="s">
        <v>22</v>
      </c>
      <c r="F1545" t="s">
        <v>12</v>
      </c>
      <c r="G1545" t="s">
        <v>14</v>
      </c>
      <c r="H1545">
        <v>42428</v>
      </c>
      <c r="I1545">
        <v>36600</v>
      </c>
    </row>
    <row r="1546" spans="1:9" x14ac:dyDescent="0.3">
      <c r="A1546" t="s">
        <v>1578</v>
      </c>
      <c r="B1546">
        <v>45878</v>
      </c>
      <c r="C1546" t="s">
        <v>25</v>
      </c>
      <c r="D1546" t="s">
        <v>11</v>
      </c>
      <c r="E1546" t="s">
        <v>22</v>
      </c>
      <c r="F1546" t="s">
        <v>12</v>
      </c>
      <c r="G1546" t="s">
        <v>14</v>
      </c>
      <c r="H1546">
        <v>113393</v>
      </c>
      <c r="I1546">
        <v>111100</v>
      </c>
    </row>
    <row r="1547" spans="1:9" x14ac:dyDescent="0.3">
      <c r="A1547" t="s">
        <v>1579</v>
      </c>
      <c r="B1547">
        <v>45878</v>
      </c>
      <c r="C1547" t="s">
        <v>31</v>
      </c>
      <c r="D1547" t="s">
        <v>11</v>
      </c>
      <c r="E1547" t="s">
        <v>17</v>
      </c>
      <c r="F1547" t="s">
        <v>42</v>
      </c>
      <c r="G1547" t="s">
        <v>19</v>
      </c>
      <c r="H1547">
        <v>43942</v>
      </c>
      <c r="I1547">
        <v>48400</v>
      </c>
    </row>
    <row r="1548" spans="1:9" x14ac:dyDescent="0.3">
      <c r="A1548" t="s">
        <v>1580</v>
      </c>
      <c r="B1548">
        <v>45879</v>
      </c>
      <c r="C1548" t="s">
        <v>62</v>
      </c>
      <c r="D1548" t="s">
        <v>11</v>
      </c>
      <c r="E1548" t="s">
        <v>22</v>
      </c>
      <c r="F1548" t="s">
        <v>39</v>
      </c>
      <c r="G1548" t="s">
        <v>19</v>
      </c>
      <c r="H1548">
        <v>95023</v>
      </c>
      <c r="I1548">
        <v>101300</v>
      </c>
    </row>
    <row r="1549" spans="1:9" x14ac:dyDescent="0.3">
      <c r="A1549" t="s">
        <v>1581</v>
      </c>
      <c r="B1549">
        <v>45879</v>
      </c>
      <c r="C1549" t="s">
        <v>16</v>
      </c>
      <c r="D1549" t="s">
        <v>11</v>
      </c>
      <c r="E1549" t="s">
        <v>17</v>
      </c>
      <c r="F1549" t="s">
        <v>13</v>
      </c>
      <c r="G1549" t="s">
        <v>14</v>
      </c>
      <c r="H1549">
        <v>131074</v>
      </c>
      <c r="I1549">
        <v>125600</v>
      </c>
    </row>
    <row r="1550" spans="1:9" x14ac:dyDescent="0.3">
      <c r="A1550" t="s">
        <v>1582</v>
      </c>
      <c r="B1550">
        <v>45879</v>
      </c>
      <c r="C1550" t="s">
        <v>16</v>
      </c>
      <c r="D1550" t="s">
        <v>11</v>
      </c>
      <c r="E1550" t="s">
        <v>17</v>
      </c>
      <c r="F1550" t="s">
        <v>26</v>
      </c>
      <c r="G1550" t="s">
        <v>14</v>
      </c>
      <c r="H1550">
        <v>243889</v>
      </c>
      <c r="I1550">
        <v>220700</v>
      </c>
    </row>
    <row r="1551" spans="1:9" x14ac:dyDescent="0.3">
      <c r="A1551" t="s">
        <v>1583</v>
      </c>
      <c r="B1551">
        <v>45879</v>
      </c>
      <c r="C1551" t="s">
        <v>21</v>
      </c>
      <c r="D1551" t="s">
        <v>11</v>
      </c>
      <c r="E1551" t="s">
        <v>22</v>
      </c>
      <c r="F1551" t="s">
        <v>18</v>
      </c>
      <c r="G1551" t="s">
        <v>19</v>
      </c>
      <c r="H1551">
        <v>118178</v>
      </c>
      <c r="I1551">
        <v>114400</v>
      </c>
    </row>
    <row r="1552" spans="1:9" x14ac:dyDescent="0.3">
      <c r="A1552" t="s">
        <v>1584</v>
      </c>
      <c r="B1552">
        <v>45879</v>
      </c>
      <c r="C1552" t="s">
        <v>21</v>
      </c>
      <c r="D1552" t="s">
        <v>11</v>
      </c>
      <c r="E1552" t="s">
        <v>22</v>
      </c>
      <c r="F1552" t="s">
        <v>39</v>
      </c>
      <c r="G1552" t="s">
        <v>19</v>
      </c>
      <c r="H1552">
        <v>29987</v>
      </c>
      <c r="I1552">
        <v>32000</v>
      </c>
    </row>
    <row r="1553" spans="1:9" x14ac:dyDescent="0.3">
      <c r="A1553" t="s">
        <v>1585</v>
      </c>
      <c r="B1553">
        <v>45879</v>
      </c>
      <c r="C1553" t="s">
        <v>21</v>
      </c>
      <c r="D1553" t="s">
        <v>11</v>
      </c>
      <c r="E1553" t="s">
        <v>22</v>
      </c>
      <c r="F1553" t="s">
        <v>33</v>
      </c>
      <c r="G1553" t="s">
        <v>19</v>
      </c>
      <c r="H1553">
        <v>84942</v>
      </c>
      <c r="I1553">
        <v>83200</v>
      </c>
    </row>
    <row r="1554" spans="1:9" x14ac:dyDescent="0.3">
      <c r="A1554" t="s">
        <v>1586</v>
      </c>
      <c r="B1554">
        <v>45879</v>
      </c>
      <c r="C1554" t="s">
        <v>31</v>
      </c>
      <c r="D1554" t="s">
        <v>11</v>
      </c>
      <c r="E1554" t="s">
        <v>17</v>
      </c>
      <c r="F1554" t="s">
        <v>42</v>
      </c>
      <c r="G1554" t="s">
        <v>19</v>
      </c>
      <c r="H1554">
        <v>23592</v>
      </c>
      <c r="I1554">
        <v>21300</v>
      </c>
    </row>
    <row r="1555" spans="1:9" x14ac:dyDescent="0.3">
      <c r="A1555" t="s">
        <v>1587</v>
      </c>
      <c r="B1555">
        <v>45879</v>
      </c>
      <c r="C1555" t="s">
        <v>55</v>
      </c>
      <c r="D1555" t="s">
        <v>11</v>
      </c>
      <c r="E1555" t="s">
        <v>37</v>
      </c>
      <c r="F1555" t="s">
        <v>37</v>
      </c>
      <c r="G1555" t="s">
        <v>14</v>
      </c>
      <c r="H1555">
        <v>207876</v>
      </c>
      <c r="I1555">
        <v>184600</v>
      </c>
    </row>
    <row r="1556" spans="1:9" x14ac:dyDescent="0.3">
      <c r="A1556" t="s">
        <v>1588</v>
      </c>
      <c r="B1556">
        <v>45880</v>
      </c>
      <c r="C1556" t="s">
        <v>62</v>
      </c>
      <c r="D1556" t="s">
        <v>11</v>
      </c>
      <c r="E1556" t="s">
        <v>22</v>
      </c>
      <c r="F1556" t="s">
        <v>56</v>
      </c>
      <c r="G1556" t="s">
        <v>19</v>
      </c>
      <c r="H1556">
        <v>38320</v>
      </c>
      <c r="I1556">
        <v>35400</v>
      </c>
    </row>
    <row r="1557" spans="1:9" x14ac:dyDescent="0.3">
      <c r="A1557" t="s">
        <v>1589</v>
      </c>
      <c r="B1557">
        <v>45880</v>
      </c>
      <c r="C1557" t="s">
        <v>62</v>
      </c>
      <c r="D1557" t="s">
        <v>11</v>
      </c>
      <c r="E1557" t="s">
        <v>22</v>
      </c>
      <c r="F1557" t="s">
        <v>12</v>
      </c>
      <c r="G1557" t="s">
        <v>14</v>
      </c>
      <c r="H1557">
        <v>245153</v>
      </c>
      <c r="I1557">
        <v>276200</v>
      </c>
    </row>
    <row r="1558" spans="1:9" x14ac:dyDescent="0.3">
      <c r="A1558" t="s">
        <v>1590</v>
      </c>
      <c r="B1558">
        <v>45880</v>
      </c>
      <c r="C1558" t="s">
        <v>62</v>
      </c>
      <c r="D1558" t="s">
        <v>11</v>
      </c>
      <c r="E1558" t="s">
        <v>22</v>
      </c>
      <c r="F1558" t="s">
        <v>59</v>
      </c>
      <c r="G1558" t="s">
        <v>14</v>
      </c>
      <c r="H1558">
        <v>61882</v>
      </c>
      <c r="I1558">
        <v>61800</v>
      </c>
    </row>
    <row r="1559" spans="1:9" x14ac:dyDescent="0.3">
      <c r="A1559" t="s">
        <v>1591</v>
      </c>
      <c r="B1559">
        <v>45880</v>
      </c>
      <c r="C1559" t="s">
        <v>10</v>
      </c>
      <c r="D1559" t="s">
        <v>11</v>
      </c>
      <c r="E1559" t="s">
        <v>12</v>
      </c>
      <c r="F1559" t="s">
        <v>39</v>
      </c>
      <c r="G1559" t="s">
        <v>19</v>
      </c>
      <c r="H1559">
        <v>107146</v>
      </c>
      <c r="I1559">
        <v>107900</v>
      </c>
    </row>
    <row r="1560" spans="1:9" x14ac:dyDescent="0.3">
      <c r="A1560" t="s">
        <v>1592</v>
      </c>
      <c r="B1560">
        <v>45880</v>
      </c>
      <c r="C1560" t="s">
        <v>16</v>
      </c>
      <c r="D1560" t="s">
        <v>11</v>
      </c>
      <c r="E1560" t="s">
        <v>17</v>
      </c>
      <c r="F1560" t="s">
        <v>59</v>
      </c>
      <c r="G1560" t="s">
        <v>14</v>
      </c>
      <c r="H1560">
        <v>79568</v>
      </c>
      <c r="I1560">
        <v>91900</v>
      </c>
    </row>
    <row r="1561" spans="1:9" x14ac:dyDescent="0.3">
      <c r="A1561" t="s">
        <v>1593</v>
      </c>
      <c r="B1561">
        <v>45880</v>
      </c>
      <c r="C1561" t="s">
        <v>16</v>
      </c>
      <c r="D1561" t="s">
        <v>11</v>
      </c>
      <c r="E1561" t="s">
        <v>17</v>
      </c>
      <c r="F1561" t="s">
        <v>13</v>
      </c>
      <c r="G1561" t="s">
        <v>14</v>
      </c>
      <c r="H1561">
        <v>103659</v>
      </c>
      <c r="I1561">
        <v>87700</v>
      </c>
    </row>
    <row r="1562" spans="1:9" x14ac:dyDescent="0.3">
      <c r="A1562" t="s">
        <v>1594</v>
      </c>
      <c r="B1562">
        <v>45880</v>
      </c>
      <c r="C1562" t="s">
        <v>36</v>
      </c>
      <c r="D1562" t="s">
        <v>11</v>
      </c>
      <c r="E1562" t="s">
        <v>37</v>
      </c>
      <c r="F1562" t="s">
        <v>37</v>
      </c>
      <c r="G1562" t="s">
        <v>14</v>
      </c>
      <c r="H1562">
        <v>58680</v>
      </c>
      <c r="I1562">
        <v>54400</v>
      </c>
    </row>
    <row r="1563" spans="1:9" x14ac:dyDescent="0.3">
      <c r="A1563" t="s">
        <v>1595</v>
      </c>
      <c r="B1563">
        <v>45880</v>
      </c>
      <c r="C1563" t="s">
        <v>36</v>
      </c>
      <c r="D1563" t="s">
        <v>11</v>
      </c>
      <c r="E1563" t="s">
        <v>37</v>
      </c>
      <c r="F1563" t="s">
        <v>13</v>
      </c>
      <c r="G1563" t="s">
        <v>14</v>
      </c>
      <c r="H1563">
        <v>233959</v>
      </c>
      <c r="I1563">
        <v>245000</v>
      </c>
    </row>
    <row r="1564" spans="1:9" x14ac:dyDescent="0.3">
      <c r="A1564" t="s">
        <v>1596</v>
      </c>
      <c r="B1564">
        <v>45880</v>
      </c>
      <c r="C1564" t="s">
        <v>25</v>
      </c>
      <c r="D1564" t="s">
        <v>11</v>
      </c>
      <c r="E1564" t="s">
        <v>22</v>
      </c>
      <c r="F1564" t="s">
        <v>18</v>
      </c>
      <c r="G1564" t="s">
        <v>19</v>
      </c>
      <c r="H1564">
        <v>112643</v>
      </c>
      <c r="I1564">
        <v>109900</v>
      </c>
    </row>
    <row r="1565" spans="1:9" x14ac:dyDescent="0.3">
      <c r="A1565" t="s">
        <v>1597</v>
      </c>
      <c r="B1565">
        <v>45880</v>
      </c>
      <c r="C1565" t="s">
        <v>31</v>
      </c>
      <c r="D1565" t="s">
        <v>11</v>
      </c>
      <c r="E1565" t="s">
        <v>17</v>
      </c>
      <c r="F1565" t="s">
        <v>13</v>
      </c>
      <c r="G1565" t="s">
        <v>14</v>
      </c>
      <c r="H1565">
        <v>217888</v>
      </c>
      <c r="I1565">
        <v>230400</v>
      </c>
    </row>
    <row r="1566" spans="1:9" x14ac:dyDescent="0.3">
      <c r="A1566" t="s">
        <v>1598</v>
      </c>
      <c r="B1566">
        <v>45880</v>
      </c>
      <c r="C1566" t="s">
        <v>55</v>
      </c>
      <c r="D1566" t="s">
        <v>11</v>
      </c>
      <c r="E1566" t="s">
        <v>37</v>
      </c>
      <c r="F1566" t="s">
        <v>42</v>
      </c>
      <c r="G1566" t="s">
        <v>19</v>
      </c>
      <c r="H1566">
        <v>107862</v>
      </c>
      <c r="I1566">
        <v>103900</v>
      </c>
    </row>
    <row r="1567" spans="1:9" x14ac:dyDescent="0.3">
      <c r="A1567" t="s">
        <v>1599</v>
      </c>
      <c r="B1567">
        <v>45881</v>
      </c>
      <c r="C1567" t="s">
        <v>62</v>
      </c>
      <c r="D1567" t="s">
        <v>11</v>
      </c>
      <c r="E1567" t="s">
        <v>22</v>
      </c>
      <c r="F1567" t="s">
        <v>18</v>
      </c>
      <c r="G1567" t="s">
        <v>19</v>
      </c>
      <c r="H1567">
        <v>35923</v>
      </c>
      <c r="I1567">
        <v>34700</v>
      </c>
    </row>
    <row r="1568" spans="1:9" x14ac:dyDescent="0.3">
      <c r="A1568" t="s">
        <v>1600</v>
      </c>
      <c r="B1568">
        <v>45881</v>
      </c>
      <c r="C1568" t="s">
        <v>16</v>
      </c>
      <c r="D1568" t="s">
        <v>11</v>
      </c>
      <c r="E1568" t="s">
        <v>17</v>
      </c>
      <c r="F1568" t="s">
        <v>18</v>
      </c>
      <c r="G1568" t="s">
        <v>19</v>
      </c>
      <c r="H1568">
        <v>65916</v>
      </c>
      <c r="I1568">
        <v>73300</v>
      </c>
    </row>
    <row r="1569" spans="1:9" x14ac:dyDescent="0.3">
      <c r="A1569" t="s">
        <v>1601</v>
      </c>
      <c r="B1569">
        <v>45881</v>
      </c>
      <c r="C1569" t="s">
        <v>36</v>
      </c>
      <c r="D1569" t="s">
        <v>11</v>
      </c>
      <c r="E1569" t="s">
        <v>37</v>
      </c>
      <c r="F1569" t="s">
        <v>23</v>
      </c>
      <c r="G1569" t="s">
        <v>14</v>
      </c>
      <c r="H1569">
        <v>172106</v>
      </c>
      <c r="I1569">
        <v>180700</v>
      </c>
    </row>
    <row r="1570" spans="1:9" x14ac:dyDescent="0.3">
      <c r="A1570" t="s">
        <v>1602</v>
      </c>
      <c r="B1570">
        <v>45881</v>
      </c>
      <c r="C1570" t="s">
        <v>21</v>
      </c>
      <c r="D1570" t="s">
        <v>11</v>
      </c>
      <c r="E1570" t="s">
        <v>22</v>
      </c>
      <c r="F1570" t="s">
        <v>39</v>
      </c>
      <c r="G1570" t="s">
        <v>19</v>
      </c>
      <c r="H1570">
        <v>54320</v>
      </c>
      <c r="I1570">
        <v>48300</v>
      </c>
    </row>
    <row r="1571" spans="1:9" x14ac:dyDescent="0.3">
      <c r="A1571" t="s">
        <v>1603</v>
      </c>
      <c r="B1571">
        <v>45881</v>
      </c>
      <c r="C1571" t="s">
        <v>21</v>
      </c>
      <c r="D1571" t="s">
        <v>11</v>
      </c>
      <c r="E1571" t="s">
        <v>22</v>
      </c>
      <c r="F1571" t="s">
        <v>33</v>
      </c>
      <c r="G1571" t="s">
        <v>19</v>
      </c>
      <c r="H1571">
        <v>107158</v>
      </c>
      <c r="I1571">
        <v>98000</v>
      </c>
    </row>
    <row r="1572" spans="1:9" x14ac:dyDescent="0.3">
      <c r="A1572" t="s">
        <v>1604</v>
      </c>
      <c r="B1572">
        <v>45881</v>
      </c>
      <c r="C1572" t="s">
        <v>21</v>
      </c>
      <c r="D1572" t="s">
        <v>11</v>
      </c>
      <c r="E1572" t="s">
        <v>22</v>
      </c>
      <c r="F1572" t="s">
        <v>26</v>
      </c>
      <c r="G1572" t="s">
        <v>14</v>
      </c>
      <c r="H1572">
        <v>193417</v>
      </c>
      <c r="I1572">
        <v>164400</v>
      </c>
    </row>
    <row r="1573" spans="1:9" x14ac:dyDescent="0.3">
      <c r="A1573" t="s">
        <v>1605</v>
      </c>
      <c r="B1573">
        <v>45881</v>
      </c>
      <c r="C1573" t="s">
        <v>21</v>
      </c>
      <c r="D1573" t="s">
        <v>11</v>
      </c>
      <c r="E1573" t="s">
        <v>22</v>
      </c>
      <c r="F1573" t="s">
        <v>13</v>
      </c>
      <c r="G1573" t="s">
        <v>14</v>
      </c>
      <c r="H1573">
        <v>94988</v>
      </c>
      <c r="I1573">
        <v>96800</v>
      </c>
    </row>
    <row r="1574" spans="1:9" x14ac:dyDescent="0.3">
      <c r="A1574" t="s">
        <v>1606</v>
      </c>
      <c r="B1574">
        <v>45881</v>
      </c>
      <c r="C1574" t="s">
        <v>21</v>
      </c>
      <c r="D1574" t="s">
        <v>11</v>
      </c>
      <c r="E1574" t="s">
        <v>22</v>
      </c>
      <c r="F1574" t="s">
        <v>26</v>
      </c>
      <c r="G1574" t="s">
        <v>14</v>
      </c>
      <c r="H1574">
        <v>114628</v>
      </c>
      <c r="I1574">
        <v>124300</v>
      </c>
    </row>
    <row r="1575" spans="1:9" x14ac:dyDescent="0.3">
      <c r="A1575" t="s">
        <v>1607</v>
      </c>
      <c r="B1575">
        <v>45881</v>
      </c>
      <c r="C1575" t="s">
        <v>25</v>
      </c>
      <c r="D1575" t="s">
        <v>11</v>
      </c>
      <c r="E1575" t="s">
        <v>22</v>
      </c>
      <c r="F1575" t="s">
        <v>37</v>
      </c>
      <c r="G1575" t="s">
        <v>14</v>
      </c>
      <c r="H1575">
        <v>237388</v>
      </c>
      <c r="I1575">
        <v>193200</v>
      </c>
    </row>
    <row r="1576" spans="1:9" x14ac:dyDescent="0.3">
      <c r="A1576" t="s">
        <v>1608</v>
      </c>
      <c r="B1576">
        <v>45881</v>
      </c>
      <c r="C1576" t="s">
        <v>25</v>
      </c>
      <c r="D1576" t="s">
        <v>11</v>
      </c>
      <c r="E1576" t="s">
        <v>22</v>
      </c>
      <c r="F1576" t="s">
        <v>59</v>
      </c>
      <c r="G1576" t="s">
        <v>14</v>
      </c>
      <c r="H1576">
        <v>80262</v>
      </c>
      <c r="I1576">
        <v>76100</v>
      </c>
    </row>
    <row r="1577" spans="1:9" x14ac:dyDescent="0.3">
      <c r="A1577" t="s">
        <v>1609</v>
      </c>
      <c r="B1577">
        <v>45882</v>
      </c>
      <c r="C1577" t="s">
        <v>62</v>
      </c>
      <c r="D1577" t="s">
        <v>11</v>
      </c>
      <c r="E1577" t="s">
        <v>22</v>
      </c>
      <c r="F1577" t="s">
        <v>46</v>
      </c>
      <c r="G1577" t="s">
        <v>19</v>
      </c>
      <c r="H1577">
        <v>15448</v>
      </c>
      <c r="I1577">
        <v>15800</v>
      </c>
    </row>
    <row r="1578" spans="1:9" x14ac:dyDescent="0.3">
      <c r="A1578" t="s">
        <v>1610</v>
      </c>
      <c r="B1578">
        <v>45882</v>
      </c>
      <c r="C1578" t="s">
        <v>62</v>
      </c>
      <c r="D1578" t="s">
        <v>11</v>
      </c>
      <c r="E1578" t="s">
        <v>22</v>
      </c>
      <c r="F1578" t="s">
        <v>13</v>
      </c>
      <c r="G1578" t="s">
        <v>14</v>
      </c>
      <c r="H1578">
        <v>41545</v>
      </c>
      <c r="I1578">
        <v>40600</v>
      </c>
    </row>
    <row r="1579" spans="1:9" x14ac:dyDescent="0.3">
      <c r="A1579" t="s">
        <v>1611</v>
      </c>
      <c r="B1579">
        <v>45882</v>
      </c>
      <c r="C1579" t="s">
        <v>36</v>
      </c>
      <c r="D1579" t="s">
        <v>11</v>
      </c>
      <c r="E1579" t="s">
        <v>37</v>
      </c>
      <c r="F1579" t="s">
        <v>39</v>
      </c>
      <c r="G1579" t="s">
        <v>19</v>
      </c>
      <c r="H1579">
        <v>96940</v>
      </c>
      <c r="I1579">
        <v>95400</v>
      </c>
    </row>
    <row r="1580" spans="1:9" x14ac:dyDescent="0.3">
      <c r="A1580" t="s">
        <v>1612</v>
      </c>
      <c r="B1580">
        <v>45882</v>
      </c>
      <c r="C1580" t="s">
        <v>36</v>
      </c>
      <c r="D1580" t="s">
        <v>11</v>
      </c>
      <c r="E1580" t="s">
        <v>37</v>
      </c>
      <c r="F1580" t="s">
        <v>33</v>
      </c>
      <c r="G1580" t="s">
        <v>19</v>
      </c>
      <c r="H1580">
        <v>119129</v>
      </c>
      <c r="I1580">
        <v>138400</v>
      </c>
    </row>
    <row r="1581" spans="1:9" x14ac:dyDescent="0.3">
      <c r="A1581" t="s">
        <v>1613</v>
      </c>
      <c r="B1581">
        <v>45882</v>
      </c>
      <c r="C1581" t="s">
        <v>21</v>
      </c>
      <c r="D1581" t="s">
        <v>11</v>
      </c>
      <c r="E1581" t="s">
        <v>22</v>
      </c>
      <c r="F1581" t="s">
        <v>59</v>
      </c>
      <c r="G1581" t="s">
        <v>14</v>
      </c>
      <c r="H1581">
        <v>169632</v>
      </c>
      <c r="I1581">
        <v>175000</v>
      </c>
    </row>
    <row r="1582" spans="1:9" x14ac:dyDescent="0.3">
      <c r="A1582" t="s">
        <v>1614</v>
      </c>
      <c r="B1582">
        <v>45882</v>
      </c>
      <c r="C1582" t="s">
        <v>25</v>
      </c>
      <c r="D1582" t="s">
        <v>11</v>
      </c>
      <c r="E1582" t="s">
        <v>22</v>
      </c>
      <c r="F1582" t="s">
        <v>46</v>
      </c>
      <c r="G1582" t="s">
        <v>19</v>
      </c>
      <c r="H1582">
        <v>96090</v>
      </c>
      <c r="I1582">
        <v>106600</v>
      </c>
    </row>
    <row r="1583" spans="1:9" x14ac:dyDescent="0.3">
      <c r="A1583" t="s">
        <v>1615</v>
      </c>
      <c r="B1583">
        <v>45882</v>
      </c>
      <c r="C1583" t="s">
        <v>25</v>
      </c>
      <c r="D1583" t="s">
        <v>11</v>
      </c>
      <c r="E1583" t="s">
        <v>22</v>
      </c>
      <c r="F1583" t="s">
        <v>59</v>
      </c>
      <c r="G1583" t="s">
        <v>14</v>
      </c>
      <c r="H1583">
        <v>235584</v>
      </c>
      <c r="I1583">
        <v>250600</v>
      </c>
    </row>
    <row r="1584" spans="1:9" x14ac:dyDescent="0.3">
      <c r="A1584" t="s">
        <v>1616</v>
      </c>
      <c r="B1584">
        <v>45882</v>
      </c>
      <c r="C1584" t="s">
        <v>55</v>
      </c>
      <c r="D1584" t="s">
        <v>11</v>
      </c>
      <c r="E1584" t="s">
        <v>37</v>
      </c>
      <c r="F1584" t="s">
        <v>26</v>
      </c>
      <c r="G1584" t="s">
        <v>14</v>
      </c>
      <c r="H1584">
        <v>88843</v>
      </c>
      <c r="I1584">
        <v>95900</v>
      </c>
    </row>
    <row r="1585" spans="1:9" x14ac:dyDescent="0.3">
      <c r="A1585" t="s">
        <v>1617</v>
      </c>
      <c r="B1585">
        <v>45883</v>
      </c>
      <c r="C1585" t="s">
        <v>62</v>
      </c>
      <c r="D1585" t="s">
        <v>11</v>
      </c>
      <c r="E1585" t="s">
        <v>22</v>
      </c>
      <c r="F1585" t="s">
        <v>13</v>
      </c>
      <c r="G1585" t="s">
        <v>14</v>
      </c>
      <c r="H1585">
        <v>48206</v>
      </c>
      <c r="I1585">
        <v>48900</v>
      </c>
    </row>
    <row r="1586" spans="1:9" x14ac:dyDescent="0.3">
      <c r="A1586" t="s">
        <v>1618</v>
      </c>
      <c r="B1586">
        <v>45883</v>
      </c>
      <c r="C1586" t="s">
        <v>10</v>
      </c>
      <c r="D1586" t="s">
        <v>11</v>
      </c>
      <c r="E1586" t="s">
        <v>12</v>
      </c>
      <c r="F1586" t="s">
        <v>33</v>
      </c>
      <c r="G1586" t="s">
        <v>19</v>
      </c>
      <c r="H1586">
        <v>24536</v>
      </c>
      <c r="I1586">
        <v>25400</v>
      </c>
    </row>
    <row r="1587" spans="1:9" x14ac:dyDescent="0.3">
      <c r="A1587" t="s">
        <v>1619</v>
      </c>
      <c r="B1587">
        <v>45883</v>
      </c>
      <c r="C1587" t="s">
        <v>16</v>
      </c>
      <c r="D1587" t="s">
        <v>11</v>
      </c>
      <c r="E1587" t="s">
        <v>17</v>
      </c>
      <c r="F1587" t="s">
        <v>42</v>
      </c>
      <c r="G1587" t="s">
        <v>19</v>
      </c>
      <c r="H1587">
        <v>94684</v>
      </c>
      <c r="I1587">
        <v>110100</v>
      </c>
    </row>
    <row r="1588" spans="1:9" x14ac:dyDescent="0.3">
      <c r="A1588" t="s">
        <v>1620</v>
      </c>
      <c r="B1588">
        <v>45883</v>
      </c>
      <c r="C1588" t="s">
        <v>16</v>
      </c>
      <c r="D1588" t="s">
        <v>11</v>
      </c>
      <c r="E1588" t="s">
        <v>17</v>
      </c>
      <c r="F1588" t="s">
        <v>12</v>
      </c>
      <c r="G1588" t="s">
        <v>14</v>
      </c>
      <c r="H1588">
        <v>103695</v>
      </c>
      <c r="I1588">
        <v>120600</v>
      </c>
    </row>
    <row r="1589" spans="1:9" x14ac:dyDescent="0.3">
      <c r="A1589" t="s">
        <v>1621</v>
      </c>
      <c r="B1589">
        <v>45883</v>
      </c>
      <c r="C1589" t="s">
        <v>36</v>
      </c>
      <c r="D1589" t="s">
        <v>11</v>
      </c>
      <c r="E1589" t="s">
        <v>37</v>
      </c>
      <c r="F1589" t="s">
        <v>56</v>
      </c>
      <c r="G1589" t="s">
        <v>19</v>
      </c>
      <c r="H1589">
        <v>74331</v>
      </c>
      <c r="I1589">
        <v>80000</v>
      </c>
    </row>
    <row r="1590" spans="1:9" x14ac:dyDescent="0.3">
      <c r="A1590" t="s">
        <v>1622</v>
      </c>
      <c r="B1590">
        <v>45883</v>
      </c>
      <c r="C1590" t="s">
        <v>21</v>
      </c>
      <c r="D1590" t="s">
        <v>11</v>
      </c>
      <c r="E1590" t="s">
        <v>22</v>
      </c>
      <c r="F1590" t="s">
        <v>39</v>
      </c>
      <c r="G1590" t="s">
        <v>19</v>
      </c>
      <c r="H1590">
        <v>110716</v>
      </c>
      <c r="I1590">
        <v>84800</v>
      </c>
    </row>
    <row r="1591" spans="1:9" x14ac:dyDescent="0.3">
      <c r="A1591" t="s">
        <v>1623</v>
      </c>
      <c r="B1591">
        <v>45883</v>
      </c>
      <c r="C1591" t="s">
        <v>55</v>
      </c>
      <c r="D1591" t="s">
        <v>11</v>
      </c>
      <c r="E1591" t="s">
        <v>37</v>
      </c>
      <c r="F1591" t="s">
        <v>33</v>
      </c>
      <c r="G1591" t="s">
        <v>19</v>
      </c>
      <c r="H1591">
        <v>58380</v>
      </c>
      <c r="I1591">
        <v>59600</v>
      </c>
    </row>
    <row r="1592" spans="1:9" x14ac:dyDescent="0.3">
      <c r="A1592" t="s">
        <v>1624</v>
      </c>
      <c r="B1592">
        <v>45883</v>
      </c>
      <c r="C1592" t="s">
        <v>55</v>
      </c>
      <c r="D1592" t="s">
        <v>11</v>
      </c>
      <c r="E1592" t="s">
        <v>37</v>
      </c>
      <c r="F1592" t="s">
        <v>23</v>
      </c>
      <c r="G1592" t="s">
        <v>14</v>
      </c>
      <c r="H1592">
        <v>94368</v>
      </c>
      <c r="I1592">
        <v>93900</v>
      </c>
    </row>
    <row r="1593" spans="1:9" x14ac:dyDescent="0.3">
      <c r="A1593" t="s">
        <v>1625</v>
      </c>
      <c r="B1593">
        <v>45883</v>
      </c>
      <c r="C1593" t="s">
        <v>55</v>
      </c>
      <c r="D1593" t="s">
        <v>11</v>
      </c>
      <c r="E1593" t="s">
        <v>37</v>
      </c>
      <c r="F1593" t="s">
        <v>23</v>
      </c>
      <c r="G1593" t="s">
        <v>14</v>
      </c>
      <c r="H1593">
        <v>90981</v>
      </c>
      <c r="I1593">
        <v>108900</v>
      </c>
    </row>
    <row r="1594" spans="1:9" x14ac:dyDescent="0.3">
      <c r="A1594" t="s">
        <v>1626</v>
      </c>
      <c r="B1594">
        <v>45884</v>
      </c>
      <c r="C1594" t="s">
        <v>62</v>
      </c>
      <c r="D1594" t="s">
        <v>11</v>
      </c>
      <c r="E1594" t="s">
        <v>22</v>
      </c>
      <c r="F1594" t="s">
        <v>26</v>
      </c>
      <c r="G1594" t="s">
        <v>14</v>
      </c>
      <c r="H1594">
        <v>49954</v>
      </c>
      <c r="I1594">
        <v>45000</v>
      </c>
    </row>
    <row r="1595" spans="1:9" x14ac:dyDescent="0.3">
      <c r="A1595" t="s">
        <v>1627</v>
      </c>
      <c r="B1595">
        <v>45884</v>
      </c>
      <c r="C1595" t="s">
        <v>16</v>
      </c>
      <c r="D1595" t="s">
        <v>11</v>
      </c>
      <c r="E1595" t="s">
        <v>17</v>
      </c>
      <c r="F1595" t="s">
        <v>42</v>
      </c>
      <c r="G1595" t="s">
        <v>19</v>
      </c>
      <c r="H1595">
        <v>54090</v>
      </c>
      <c r="I1595">
        <v>62200</v>
      </c>
    </row>
    <row r="1596" spans="1:9" x14ac:dyDescent="0.3">
      <c r="A1596" t="s">
        <v>1628</v>
      </c>
      <c r="B1596">
        <v>45884</v>
      </c>
      <c r="C1596" t="s">
        <v>36</v>
      </c>
      <c r="D1596" t="s">
        <v>11</v>
      </c>
      <c r="E1596" t="s">
        <v>37</v>
      </c>
      <c r="F1596" t="s">
        <v>46</v>
      </c>
      <c r="G1596" t="s">
        <v>19</v>
      </c>
      <c r="H1596">
        <v>117968</v>
      </c>
      <c r="I1596">
        <v>124800</v>
      </c>
    </row>
    <row r="1597" spans="1:9" x14ac:dyDescent="0.3">
      <c r="A1597" t="s">
        <v>1629</v>
      </c>
      <c r="B1597">
        <v>45884</v>
      </c>
      <c r="C1597" t="s">
        <v>36</v>
      </c>
      <c r="D1597" t="s">
        <v>11</v>
      </c>
      <c r="E1597" t="s">
        <v>37</v>
      </c>
      <c r="F1597" t="s">
        <v>26</v>
      </c>
      <c r="G1597" t="s">
        <v>14</v>
      </c>
      <c r="H1597">
        <v>32521</v>
      </c>
      <c r="I1597">
        <v>33000</v>
      </c>
    </row>
    <row r="1598" spans="1:9" x14ac:dyDescent="0.3">
      <c r="A1598" t="s">
        <v>1630</v>
      </c>
      <c r="B1598">
        <v>45884</v>
      </c>
      <c r="C1598" t="s">
        <v>21</v>
      </c>
      <c r="D1598" t="s">
        <v>11</v>
      </c>
      <c r="E1598" t="s">
        <v>22</v>
      </c>
      <c r="F1598" t="s">
        <v>13</v>
      </c>
      <c r="G1598" t="s">
        <v>14</v>
      </c>
      <c r="H1598">
        <v>249213</v>
      </c>
      <c r="I1598">
        <v>236700</v>
      </c>
    </row>
    <row r="1599" spans="1:9" x14ac:dyDescent="0.3">
      <c r="A1599" t="s">
        <v>1631</v>
      </c>
      <c r="B1599">
        <v>45884</v>
      </c>
      <c r="C1599" t="s">
        <v>21</v>
      </c>
      <c r="D1599" t="s">
        <v>11</v>
      </c>
      <c r="E1599" t="s">
        <v>22</v>
      </c>
      <c r="F1599" t="s">
        <v>23</v>
      </c>
      <c r="G1599" t="s">
        <v>14</v>
      </c>
      <c r="H1599">
        <v>237870</v>
      </c>
      <c r="I1599">
        <v>225200</v>
      </c>
    </row>
    <row r="1600" spans="1:9" x14ac:dyDescent="0.3">
      <c r="A1600" t="s">
        <v>1632</v>
      </c>
      <c r="B1600">
        <v>45884</v>
      </c>
      <c r="C1600" t="s">
        <v>55</v>
      </c>
      <c r="D1600" t="s">
        <v>11</v>
      </c>
      <c r="E1600" t="s">
        <v>37</v>
      </c>
      <c r="F1600" t="s">
        <v>26</v>
      </c>
      <c r="G1600" t="s">
        <v>14</v>
      </c>
      <c r="H1600">
        <v>237208</v>
      </c>
      <c r="I1600">
        <v>216400</v>
      </c>
    </row>
    <row r="1601" spans="1:9" x14ac:dyDescent="0.3">
      <c r="A1601" t="s">
        <v>1633</v>
      </c>
      <c r="B1601">
        <v>45884</v>
      </c>
      <c r="C1601" t="s">
        <v>55</v>
      </c>
      <c r="D1601" t="s">
        <v>11</v>
      </c>
      <c r="E1601" t="s">
        <v>37</v>
      </c>
      <c r="F1601" t="s">
        <v>13</v>
      </c>
      <c r="G1601" t="s">
        <v>14</v>
      </c>
      <c r="H1601">
        <v>235622</v>
      </c>
      <c r="I1601">
        <v>181800</v>
      </c>
    </row>
    <row r="1602" spans="1:9" x14ac:dyDescent="0.3">
      <c r="A1602" t="s">
        <v>1634</v>
      </c>
      <c r="B1602">
        <v>45885</v>
      </c>
      <c r="C1602" t="s">
        <v>36</v>
      </c>
      <c r="D1602" t="s">
        <v>11</v>
      </c>
      <c r="E1602" t="s">
        <v>37</v>
      </c>
      <c r="F1602" t="s">
        <v>42</v>
      </c>
      <c r="G1602" t="s">
        <v>19</v>
      </c>
      <c r="H1602">
        <v>34991</v>
      </c>
      <c r="I1602">
        <v>35000</v>
      </c>
    </row>
    <row r="1603" spans="1:9" x14ac:dyDescent="0.3">
      <c r="A1603" t="s">
        <v>1635</v>
      </c>
      <c r="B1603">
        <v>45885</v>
      </c>
      <c r="C1603" t="s">
        <v>36</v>
      </c>
      <c r="D1603" t="s">
        <v>11</v>
      </c>
      <c r="E1603" t="s">
        <v>37</v>
      </c>
      <c r="F1603" t="s">
        <v>12</v>
      </c>
      <c r="G1603" t="s">
        <v>14</v>
      </c>
      <c r="H1603">
        <v>82689</v>
      </c>
      <c r="I1603">
        <v>82500</v>
      </c>
    </row>
    <row r="1604" spans="1:9" x14ac:dyDescent="0.3">
      <c r="A1604" t="s">
        <v>1636</v>
      </c>
      <c r="B1604">
        <v>45885</v>
      </c>
      <c r="C1604" t="s">
        <v>25</v>
      </c>
      <c r="D1604" t="s">
        <v>11</v>
      </c>
      <c r="E1604" t="s">
        <v>22</v>
      </c>
      <c r="F1604" t="s">
        <v>59</v>
      </c>
      <c r="G1604" t="s">
        <v>14</v>
      </c>
      <c r="H1604">
        <v>240646</v>
      </c>
      <c r="I1604">
        <v>244200</v>
      </c>
    </row>
    <row r="1605" spans="1:9" x14ac:dyDescent="0.3">
      <c r="A1605" t="s">
        <v>1637</v>
      </c>
      <c r="B1605">
        <v>45885</v>
      </c>
      <c r="C1605" t="s">
        <v>25</v>
      </c>
      <c r="D1605" t="s">
        <v>11</v>
      </c>
      <c r="E1605" t="s">
        <v>22</v>
      </c>
      <c r="F1605" t="s">
        <v>59</v>
      </c>
      <c r="G1605" t="s">
        <v>14</v>
      </c>
      <c r="H1605">
        <v>68210</v>
      </c>
      <c r="I1605">
        <v>68400</v>
      </c>
    </row>
    <row r="1606" spans="1:9" x14ac:dyDescent="0.3">
      <c r="A1606" t="s">
        <v>1638</v>
      </c>
      <c r="B1606">
        <v>45885</v>
      </c>
      <c r="C1606" t="s">
        <v>55</v>
      </c>
      <c r="D1606" t="s">
        <v>11</v>
      </c>
      <c r="E1606" t="s">
        <v>37</v>
      </c>
      <c r="F1606" t="s">
        <v>23</v>
      </c>
      <c r="G1606" t="s">
        <v>14</v>
      </c>
      <c r="H1606">
        <v>92492</v>
      </c>
      <c r="I1606">
        <v>81800</v>
      </c>
    </row>
    <row r="1607" spans="1:9" x14ac:dyDescent="0.3">
      <c r="A1607" t="s">
        <v>1639</v>
      </c>
      <c r="B1607">
        <v>45886</v>
      </c>
      <c r="C1607" t="s">
        <v>16</v>
      </c>
      <c r="D1607" t="s">
        <v>11</v>
      </c>
      <c r="E1607" t="s">
        <v>17</v>
      </c>
      <c r="F1607" t="s">
        <v>23</v>
      </c>
      <c r="G1607" t="s">
        <v>14</v>
      </c>
      <c r="H1607">
        <v>49551</v>
      </c>
      <c r="I1607">
        <v>40000</v>
      </c>
    </row>
    <row r="1608" spans="1:9" x14ac:dyDescent="0.3">
      <c r="A1608" t="s">
        <v>1640</v>
      </c>
      <c r="B1608">
        <v>45886</v>
      </c>
      <c r="C1608" t="s">
        <v>36</v>
      </c>
      <c r="D1608" t="s">
        <v>11</v>
      </c>
      <c r="E1608" t="s">
        <v>37</v>
      </c>
      <c r="F1608" t="s">
        <v>23</v>
      </c>
      <c r="G1608" t="s">
        <v>14</v>
      </c>
      <c r="H1608">
        <v>62546</v>
      </c>
      <c r="I1608">
        <v>57900</v>
      </c>
    </row>
    <row r="1609" spans="1:9" x14ac:dyDescent="0.3">
      <c r="A1609" t="s">
        <v>1641</v>
      </c>
      <c r="B1609">
        <v>45886</v>
      </c>
      <c r="C1609" t="s">
        <v>21</v>
      </c>
      <c r="D1609" t="s">
        <v>11</v>
      </c>
      <c r="E1609" t="s">
        <v>22</v>
      </c>
      <c r="F1609" t="s">
        <v>39</v>
      </c>
      <c r="G1609" t="s">
        <v>19</v>
      </c>
      <c r="H1609">
        <v>38268</v>
      </c>
      <c r="I1609">
        <v>37900</v>
      </c>
    </row>
    <row r="1610" spans="1:9" x14ac:dyDescent="0.3">
      <c r="A1610" t="s">
        <v>1642</v>
      </c>
      <c r="B1610">
        <v>45886</v>
      </c>
      <c r="C1610" t="s">
        <v>21</v>
      </c>
      <c r="D1610" t="s">
        <v>11</v>
      </c>
      <c r="E1610" t="s">
        <v>22</v>
      </c>
      <c r="F1610" t="s">
        <v>42</v>
      </c>
      <c r="G1610" t="s">
        <v>19</v>
      </c>
      <c r="H1610">
        <v>102825</v>
      </c>
      <c r="I1610">
        <v>101900</v>
      </c>
    </row>
    <row r="1611" spans="1:9" x14ac:dyDescent="0.3">
      <c r="A1611" t="s">
        <v>1643</v>
      </c>
      <c r="B1611">
        <v>45886</v>
      </c>
      <c r="C1611" t="s">
        <v>25</v>
      </c>
      <c r="D1611" t="s">
        <v>11</v>
      </c>
      <c r="E1611" t="s">
        <v>22</v>
      </c>
      <c r="F1611" t="s">
        <v>33</v>
      </c>
      <c r="G1611" t="s">
        <v>19</v>
      </c>
      <c r="H1611">
        <v>45215</v>
      </c>
      <c r="I1611">
        <v>47400</v>
      </c>
    </row>
    <row r="1612" spans="1:9" x14ac:dyDescent="0.3">
      <c r="A1612" t="s">
        <v>1644</v>
      </c>
      <c r="B1612">
        <v>45886</v>
      </c>
      <c r="C1612" t="s">
        <v>31</v>
      </c>
      <c r="D1612" t="s">
        <v>11</v>
      </c>
      <c r="E1612" t="s">
        <v>17</v>
      </c>
      <c r="F1612" t="s">
        <v>46</v>
      </c>
      <c r="G1612" t="s">
        <v>19</v>
      </c>
      <c r="H1612">
        <v>73551</v>
      </c>
      <c r="I1612">
        <v>70300</v>
      </c>
    </row>
    <row r="1613" spans="1:9" x14ac:dyDescent="0.3">
      <c r="A1613" t="s">
        <v>1645</v>
      </c>
      <c r="B1613">
        <v>45886</v>
      </c>
      <c r="C1613" t="s">
        <v>55</v>
      </c>
      <c r="D1613" t="s">
        <v>11</v>
      </c>
      <c r="E1613" t="s">
        <v>37</v>
      </c>
      <c r="F1613" t="s">
        <v>46</v>
      </c>
      <c r="G1613" t="s">
        <v>19</v>
      </c>
      <c r="H1613">
        <v>88591</v>
      </c>
      <c r="I1613">
        <v>87900</v>
      </c>
    </row>
    <row r="1614" spans="1:9" x14ac:dyDescent="0.3">
      <c r="A1614" t="s">
        <v>1646</v>
      </c>
      <c r="B1614">
        <v>45887</v>
      </c>
      <c r="C1614" t="s">
        <v>62</v>
      </c>
      <c r="D1614" t="s">
        <v>11</v>
      </c>
      <c r="E1614" t="s">
        <v>22</v>
      </c>
      <c r="F1614" t="s">
        <v>39</v>
      </c>
      <c r="G1614" t="s">
        <v>19</v>
      </c>
      <c r="H1614">
        <v>55319</v>
      </c>
      <c r="I1614">
        <v>52900</v>
      </c>
    </row>
    <row r="1615" spans="1:9" x14ac:dyDescent="0.3">
      <c r="A1615" t="s">
        <v>1647</v>
      </c>
      <c r="B1615">
        <v>45887</v>
      </c>
      <c r="C1615" t="s">
        <v>25</v>
      </c>
      <c r="D1615" t="s">
        <v>11</v>
      </c>
      <c r="E1615" t="s">
        <v>22</v>
      </c>
      <c r="F1615" t="s">
        <v>23</v>
      </c>
      <c r="G1615" t="s">
        <v>14</v>
      </c>
      <c r="H1615">
        <v>29244</v>
      </c>
      <c r="I1615">
        <v>32800</v>
      </c>
    </row>
    <row r="1616" spans="1:9" x14ac:dyDescent="0.3">
      <c r="A1616" t="s">
        <v>1648</v>
      </c>
      <c r="B1616">
        <v>45888</v>
      </c>
      <c r="C1616" t="s">
        <v>36</v>
      </c>
      <c r="D1616" t="s">
        <v>11</v>
      </c>
      <c r="E1616" t="s">
        <v>37</v>
      </c>
      <c r="F1616" t="s">
        <v>23</v>
      </c>
      <c r="G1616" t="s">
        <v>14</v>
      </c>
      <c r="H1616">
        <v>63782</v>
      </c>
      <c r="I1616">
        <v>63400</v>
      </c>
    </row>
    <row r="1617" spans="1:9" x14ac:dyDescent="0.3">
      <c r="A1617" t="s">
        <v>1649</v>
      </c>
      <c r="B1617">
        <v>45888</v>
      </c>
      <c r="C1617" t="s">
        <v>21</v>
      </c>
      <c r="D1617" t="s">
        <v>11</v>
      </c>
      <c r="E1617" t="s">
        <v>22</v>
      </c>
      <c r="F1617" t="s">
        <v>33</v>
      </c>
      <c r="G1617" t="s">
        <v>19</v>
      </c>
      <c r="H1617">
        <v>113273</v>
      </c>
      <c r="I1617">
        <v>115700</v>
      </c>
    </row>
    <row r="1618" spans="1:9" x14ac:dyDescent="0.3">
      <c r="A1618" t="s">
        <v>1650</v>
      </c>
      <c r="B1618">
        <v>45888</v>
      </c>
      <c r="C1618" t="s">
        <v>31</v>
      </c>
      <c r="D1618" t="s">
        <v>11</v>
      </c>
      <c r="E1618" t="s">
        <v>17</v>
      </c>
      <c r="F1618" t="s">
        <v>26</v>
      </c>
      <c r="G1618" t="s">
        <v>14</v>
      </c>
      <c r="H1618">
        <v>154819</v>
      </c>
      <c r="I1618">
        <v>181100</v>
      </c>
    </row>
    <row r="1619" spans="1:9" x14ac:dyDescent="0.3">
      <c r="A1619" t="s">
        <v>1651</v>
      </c>
      <c r="B1619">
        <v>45889</v>
      </c>
      <c r="C1619" t="s">
        <v>10</v>
      </c>
      <c r="D1619" t="s">
        <v>11</v>
      </c>
      <c r="E1619" t="s">
        <v>12</v>
      </c>
      <c r="F1619" t="s">
        <v>59</v>
      </c>
      <c r="G1619" t="s">
        <v>14</v>
      </c>
      <c r="H1619">
        <v>213350</v>
      </c>
      <c r="I1619">
        <v>222400</v>
      </c>
    </row>
    <row r="1620" spans="1:9" x14ac:dyDescent="0.3">
      <c r="A1620" t="s">
        <v>1652</v>
      </c>
      <c r="B1620">
        <v>45889</v>
      </c>
      <c r="C1620" t="s">
        <v>31</v>
      </c>
      <c r="D1620" t="s">
        <v>11</v>
      </c>
      <c r="E1620" t="s">
        <v>17</v>
      </c>
      <c r="F1620" t="s">
        <v>42</v>
      </c>
      <c r="G1620" t="s">
        <v>19</v>
      </c>
      <c r="H1620">
        <v>68324</v>
      </c>
      <c r="I1620">
        <v>70100</v>
      </c>
    </row>
    <row r="1621" spans="1:9" x14ac:dyDescent="0.3">
      <c r="A1621" t="s">
        <v>1653</v>
      </c>
      <c r="B1621">
        <v>45889</v>
      </c>
      <c r="C1621" t="s">
        <v>31</v>
      </c>
      <c r="D1621" t="s">
        <v>11</v>
      </c>
      <c r="E1621" t="s">
        <v>17</v>
      </c>
      <c r="F1621" t="s">
        <v>59</v>
      </c>
      <c r="G1621" t="s">
        <v>14</v>
      </c>
      <c r="H1621">
        <v>137975</v>
      </c>
      <c r="I1621">
        <v>135000</v>
      </c>
    </row>
    <row r="1622" spans="1:9" x14ac:dyDescent="0.3">
      <c r="A1622" t="s">
        <v>1654</v>
      </c>
      <c r="B1622">
        <v>45890</v>
      </c>
      <c r="C1622" t="s">
        <v>62</v>
      </c>
      <c r="D1622" t="s">
        <v>11</v>
      </c>
      <c r="E1622" t="s">
        <v>22</v>
      </c>
      <c r="F1622" t="s">
        <v>13</v>
      </c>
      <c r="G1622" t="s">
        <v>14</v>
      </c>
      <c r="H1622">
        <v>205596</v>
      </c>
      <c r="I1622">
        <v>239600</v>
      </c>
    </row>
    <row r="1623" spans="1:9" x14ac:dyDescent="0.3">
      <c r="A1623" t="s">
        <v>1655</v>
      </c>
      <c r="B1623">
        <v>45890</v>
      </c>
      <c r="C1623" t="s">
        <v>16</v>
      </c>
      <c r="D1623" t="s">
        <v>11</v>
      </c>
      <c r="E1623" t="s">
        <v>17</v>
      </c>
      <c r="F1623" t="s">
        <v>18</v>
      </c>
      <c r="G1623" t="s">
        <v>19</v>
      </c>
      <c r="H1623">
        <v>79335</v>
      </c>
      <c r="I1623">
        <v>88700</v>
      </c>
    </row>
    <row r="1624" spans="1:9" x14ac:dyDescent="0.3">
      <c r="A1624" t="s">
        <v>1656</v>
      </c>
      <c r="B1624">
        <v>45890</v>
      </c>
      <c r="C1624" t="s">
        <v>16</v>
      </c>
      <c r="D1624" t="s">
        <v>11</v>
      </c>
      <c r="E1624" t="s">
        <v>17</v>
      </c>
      <c r="F1624" t="s">
        <v>42</v>
      </c>
      <c r="G1624" t="s">
        <v>19</v>
      </c>
      <c r="H1624">
        <v>66531</v>
      </c>
      <c r="I1624">
        <v>65800</v>
      </c>
    </row>
    <row r="1625" spans="1:9" x14ac:dyDescent="0.3">
      <c r="A1625" t="s">
        <v>1657</v>
      </c>
      <c r="B1625">
        <v>45891</v>
      </c>
      <c r="C1625" t="s">
        <v>62</v>
      </c>
      <c r="D1625" t="s">
        <v>11</v>
      </c>
      <c r="E1625" t="s">
        <v>22</v>
      </c>
      <c r="F1625" t="s">
        <v>46</v>
      </c>
      <c r="G1625" t="s">
        <v>19</v>
      </c>
      <c r="H1625">
        <v>21410</v>
      </c>
      <c r="I1625">
        <v>18800</v>
      </c>
    </row>
    <row r="1626" spans="1:9" x14ac:dyDescent="0.3">
      <c r="A1626" t="s">
        <v>1658</v>
      </c>
      <c r="B1626">
        <v>45891</v>
      </c>
      <c r="C1626" t="s">
        <v>10</v>
      </c>
      <c r="D1626" t="s">
        <v>11</v>
      </c>
      <c r="E1626" t="s">
        <v>12</v>
      </c>
      <c r="F1626" t="s">
        <v>26</v>
      </c>
      <c r="G1626" t="s">
        <v>14</v>
      </c>
      <c r="H1626">
        <v>161710</v>
      </c>
      <c r="I1626">
        <v>156300</v>
      </c>
    </row>
    <row r="1627" spans="1:9" x14ac:dyDescent="0.3">
      <c r="A1627" t="s">
        <v>1659</v>
      </c>
      <c r="B1627">
        <v>45891</v>
      </c>
      <c r="C1627" t="s">
        <v>16</v>
      </c>
      <c r="D1627" t="s">
        <v>11</v>
      </c>
      <c r="E1627" t="s">
        <v>17</v>
      </c>
      <c r="F1627" t="s">
        <v>56</v>
      </c>
      <c r="G1627" t="s">
        <v>19</v>
      </c>
      <c r="H1627">
        <v>30109</v>
      </c>
      <c r="I1627">
        <v>28200</v>
      </c>
    </row>
    <row r="1628" spans="1:9" x14ac:dyDescent="0.3">
      <c r="A1628" t="s">
        <v>1660</v>
      </c>
      <c r="B1628">
        <v>45891</v>
      </c>
      <c r="C1628" t="s">
        <v>21</v>
      </c>
      <c r="D1628" t="s">
        <v>11</v>
      </c>
      <c r="E1628" t="s">
        <v>22</v>
      </c>
      <c r="F1628" t="s">
        <v>39</v>
      </c>
      <c r="G1628" t="s">
        <v>19</v>
      </c>
      <c r="H1628">
        <v>75025</v>
      </c>
      <c r="I1628">
        <v>65600</v>
      </c>
    </row>
    <row r="1629" spans="1:9" x14ac:dyDescent="0.3">
      <c r="A1629" t="s">
        <v>1661</v>
      </c>
      <c r="B1629">
        <v>45891</v>
      </c>
      <c r="C1629" t="s">
        <v>25</v>
      </c>
      <c r="D1629" t="s">
        <v>11</v>
      </c>
      <c r="E1629" t="s">
        <v>22</v>
      </c>
      <c r="F1629" t="s">
        <v>18</v>
      </c>
      <c r="G1629" t="s">
        <v>19</v>
      </c>
      <c r="H1629">
        <v>116514</v>
      </c>
      <c r="I1629">
        <v>124000</v>
      </c>
    </row>
    <row r="1630" spans="1:9" x14ac:dyDescent="0.3">
      <c r="A1630" t="s">
        <v>1662</v>
      </c>
      <c r="B1630">
        <v>45891</v>
      </c>
      <c r="C1630" t="s">
        <v>25</v>
      </c>
      <c r="D1630" t="s">
        <v>11</v>
      </c>
      <c r="E1630" t="s">
        <v>22</v>
      </c>
      <c r="F1630" t="s">
        <v>37</v>
      </c>
      <c r="G1630" t="s">
        <v>14</v>
      </c>
      <c r="H1630">
        <v>33662</v>
      </c>
      <c r="I1630">
        <v>36800</v>
      </c>
    </row>
    <row r="1631" spans="1:9" x14ac:dyDescent="0.3">
      <c r="A1631" t="s">
        <v>1663</v>
      </c>
      <c r="B1631">
        <v>45891</v>
      </c>
      <c r="C1631" t="s">
        <v>31</v>
      </c>
      <c r="D1631" t="s">
        <v>11</v>
      </c>
      <c r="E1631" t="s">
        <v>17</v>
      </c>
      <c r="F1631" t="s">
        <v>56</v>
      </c>
      <c r="G1631" t="s">
        <v>19</v>
      </c>
      <c r="H1631">
        <v>105427</v>
      </c>
      <c r="I1631">
        <v>113400</v>
      </c>
    </row>
    <row r="1632" spans="1:9" x14ac:dyDescent="0.3">
      <c r="A1632" t="s">
        <v>1664</v>
      </c>
      <c r="B1632">
        <v>45891</v>
      </c>
      <c r="C1632" t="s">
        <v>55</v>
      </c>
      <c r="D1632" t="s">
        <v>11</v>
      </c>
      <c r="E1632" t="s">
        <v>37</v>
      </c>
      <c r="F1632" t="s">
        <v>33</v>
      </c>
      <c r="G1632" t="s">
        <v>19</v>
      </c>
      <c r="H1632">
        <v>68278</v>
      </c>
      <c r="I1632">
        <v>69000</v>
      </c>
    </row>
    <row r="1633" spans="1:9" x14ac:dyDescent="0.3">
      <c r="A1633" t="s">
        <v>1665</v>
      </c>
      <c r="B1633">
        <v>45891</v>
      </c>
      <c r="C1633" t="s">
        <v>55</v>
      </c>
      <c r="D1633" t="s">
        <v>11</v>
      </c>
      <c r="E1633" t="s">
        <v>37</v>
      </c>
      <c r="F1633" t="s">
        <v>23</v>
      </c>
      <c r="G1633" t="s">
        <v>14</v>
      </c>
      <c r="H1633">
        <v>182316</v>
      </c>
      <c r="I1633">
        <v>192900</v>
      </c>
    </row>
    <row r="1634" spans="1:9" x14ac:dyDescent="0.3">
      <c r="A1634" t="s">
        <v>1666</v>
      </c>
      <c r="B1634">
        <v>45892</v>
      </c>
      <c r="C1634" t="s">
        <v>16</v>
      </c>
      <c r="D1634" t="s">
        <v>11</v>
      </c>
      <c r="E1634" t="s">
        <v>17</v>
      </c>
      <c r="F1634" t="s">
        <v>46</v>
      </c>
      <c r="G1634" t="s">
        <v>19</v>
      </c>
      <c r="H1634">
        <v>75033</v>
      </c>
      <c r="I1634">
        <v>76500</v>
      </c>
    </row>
    <row r="1635" spans="1:9" x14ac:dyDescent="0.3">
      <c r="A1635" t="s">
        <v>1667</v>
      </c>
      <c r="B1635">
        <v>45892</v>
      </c>
      <c r="C1635" t="s">
        <v>16</v>
      </c>
      <c r="D1635" t="s">
        <v>11</v>
      </c>
      <c r="E1635" t="s">
        <v>17</v>
      </c>
      <c r="F1635" t="s">
        <v>37</v>
      </c>
      <c r="G1635" t="s">
        <v>14</v>
      </c>
      <c r="H1635">
        <v>244326</v>
      </c>
      <c r="I1635">
        <v>224000</v>
      </c>
    </row>
    <row r="1636" spans="1:9" x14ac:dyDescent="0.3">
      <c r="A1636" t="s">
        <v>1668</v>
      </c>
      <c r="B1636">
        <v>45892</v>
      </c>
      <c r="C1636" t="s">
        <v>36</v>
      </c>
      <c r="D1636" t="s">
        <v>11</v>
      </c>
      <c r="E1636" t="s">
        <v>37</v>
      </c>
      <c r="F1636" t="s">
        <v>33</v>
      </c>
      <c r="G1636" t="s">
        <v>19</v>
      </c>
      <c r="H1636">
        <v>56403</v>
      </c>
      <c r="I1636">
        <v>53600</v>
      </c>
    </row>
    <row r="1637" spans="1:9" x14ac:dyDescent="0.3">
      <c r="A1637" t="s">
        <v>1669</v>
      </c>
      <c r="B1637">
        <v>45892</v>
      </c>
      <c r="C1637" t="s">
        <v>21</v>
      </c>
      <c r="D1637" t="s">
        <v>11</v>
      </c>
      <c r="E1637" t="s">
        <v>22</v>
      </c>
      <c r="F1637" t="s">
        <v>56</v>
      </c>
      <c r="G1637" t="s">
        <v>19</v>
      </c>
      <c r="H1637">
        <v>44219</v>
      </c>
      <c r="I1637">
        <v>43100</v>
      </c>
    </row>
    <row r="1638" spans="1:9" x14ac:dyDescent="0.3">
      <c r="A1638" t="s">
        <v>1670</v>
      </c>
      <c r="B1638">
        <v>45892</v>
      </c>
      <c r="C1638" t="s">
        <v>21</v>
      </c>
      <c r="D1638" t="s">
        <v>11</v>
      </c>
      <c r="E1638" t="s">
        <v>22</v>
      </c>
      <c r="F1638" t="s">
        <v>46</v>
      </c>
      <c r="G1638" t="s">
        <v>19</v>
      </c>
      <c r="H1638">
        <v>48455</v>
      </c>
      <c r="I1638">
        <v>57600</v>
      </c>
    </row>
    <row r="1639" spans="1:9" x14ac:dyDescent="0.3">
      <c r="A1639" t="s">
        <v>1671</v>
      </c>
      <c r="B1639">
        <v>45892</v>
      </c>
      <c r="C1639" t="s">
        <v>25</v>
      </c>
      <c r="D1639" t="s">
        <v>11</v>
      </c>
      <c r="E1639" t="s">
        <v>22</v>
      </c>
      <c r="F1639" t="s">
        <v>13</v>
      </c>
      <c r="G1639" t="s">
        <v>14</v>
      </c>
      <c r="H1639">
        <v>245050</v>
      </c>
      <c r="I1639">
        <v>256700</v>
      </c>
    </row>
    <row r="1640" spans="1:9" x14ac:dyDescent="0.3">
      <c r="A1640" t="s">
        <v>1672</v>
      </c>
      <c r="B1640">
        <v>45892</v>
      </c>
      <c r="C1640" t="s">
        <v>31</v>
      </c>
      <c r="D1640" t="s">
        <v>11</v>
      </c>
      <c r="E1640" t="s">
        <v>17</v>
      </c>
      <c r="F1640" t="s">
        <v>42</v>
      </c>
      <c r="G1640" t="s">
        <v>19</v>
      </c>
      <c r="H1640">
        <v>83942</v>
      </c>
      <c r="I1640">
        <v>72200</v>
      </c>
    </row>
    <row r="1641" spans="1:9" x14ac:dyDescent="0.3">
      <c r="A1641" t="s">
        <v>1673</v>
      </c>
      <c r="B1641">
        <v>45893</v>
      </c>
      <c r="C1641" t="s">
        <v>62</v>
      </c>
      <c r="D1641" t="s">
        <v>11</v>
      </c>
      <c r="E1641" t="s">
        <v>22</v>
      </c>
      <c r="F1641" t="s">
        <v>46</v>
      </c>
      <c r="G1641" t="s">
        <v>19</v>
      </c>
      <c r="H1641">
        <v>102709</v>
      </c>
      <c r="I1641">
        <v>107400</v>
      </c>
    </row>
    <row r="1642" spans="1:9" x14ac:dyDescent="0.3">
      <c r="A1642" t="s">
        <v>1674</v>
      </c>
      <c r="B1642">
        <v>45893</v>
      </c>
      <c r="C1642" t="s">
        <v>10</v>
      </c>
      <c r="D1642" t="s">
        <v>11</v>
      </c>
      <c r="E1642" t="s">
        <v>12</v>
      </c>
      <c r="F1642" t="s">
        <v>46</v>
      </c>
      <c r="G1642" t="s">
        <v>19</v>
      </c>
      <c r="H1642">
        <v>55672</v>
      </c>
      <c r="I1642">
        <v>60000</v>
      </c>
    </row>
    <row r="1643" spans="1:9" x14ac:dyDescent="0.3">
      <c r="A1643" t="s">
        <v>1675</v>
      </c>
      <c r="B1643">
        <v>45893</v>
      </c>
      <c r="C1643" t="s">
        <v>25</v>
      </c>
      <c r="D1643" t="s">
        <v>11</v>
      </c>
      <c r="E1643" t="s">
        <v>22</v>
      </c>
      <c r="F1643" t="s">
        <v>59</v>
      </c>
      <c r="G1643" t="s">
        <v>14</v>
      </c>
      <c r="H1643">
        <v>54275</v>
      </c>
      <c r="I1643">
        <v>56800</v>
      </c>
    </row>
    <row r="1644" spans="1:9" x14ac:dyDescent="0.3">
      <c r="A1644" t="s">
        <v>1676</v>
      </c>
      <c r="B1644">
        <v>45893</v>
      </c>
      <c r="C1644" t="s">
        <v>31</v>
      </c>
      <c r="D1644" t="s">
        <v>11</v>
      </c>
      <c r="E1644" t="s">
        <v>17</v>
      </c>
      <c r="F1644" t="s">
        <v>12</v>
      </c>
      <c r="G1644" t="s">
        <v>14</v>
      </c>
      <c r="H1644">
        <v>159716</v>
      </c>
      <c r="I1644">
        <v>167600</v>
      </c>
    </row>
    <row r="1645" spans="1:9" x14ac:dyDescent="0.3">
      <c r="A1645" t="s">
        <v>1677</v>
      </c>
      <c r="B1645">
        <v>45893</v>
      </c>
      <c r="C1645" t="s">
        <v>55</v>
      </c>
      <c r="D1645" t="s">
        <v>11</v>
      </c>
      <c r="E1645" t="s">
        <v>37</v>
      </c>
      <c r="F1645" t="s">
        <v>42</v>
      </c>
      <c r="G1645" t="s">
        <v>19</v>
      </c>
      <c r="H1645">
        <v>87295</v>
      </c>
      <c r="I1645">
        <v>83000</v>
      </c>
    </row>
    <row r="1646" spans="1:9" x14ac:dyDescent="0.3">
      <c r="A1646" t="s">
        <v>1678</v>
      </c>
      <c r="B1646">
        <v>45894</v>
      </c>
      <c r="C1646" t="s">
        <v>62</v>
      </c>
      <c r="D1646" t="s">
        <v>11</v>
      </c>
      <c r="E1646" t="s">
        <v>22</v>
      </c>
      <c r="F1646" t="s">
        <v>42</v>
      </c>
      <c r="G1646" t="s">
        <v>19</v>
      </c>
      <c r="H1646">
        <v>50511</v>
      </c>
      <c r="I1646">
        <v>52000</v>
      </c>
    </row>
    <row r="1647" spans="1:9" x14ac:dyDescent="0.3">
      <c r="A1647" t="s">
        <v>1679</v>
      </c>
      <c r="B1647">
        <v>45894</v>
      </c>
      <c r="C1647" t="s">
        <v>10</v>
      </c>
      <c r="D1647" t="s">
        <v>11</v>
      </c>
      <c r="E1647" t="s">
        <v>12</v>
      </c>
      <c r="F1647" t="s">
        <v>33</v>
      </c>
      <c r="G1647" t="s">
        <v>19</v>
      </c>
      <c r="H1647">
        <v>110159</v>
      </c>
      <c r="I1647">
        <v>115600</v>
      </c>
    </row>
    <row r="1648" spans="1:9" x14ac:dyDescent="0.3">
      <c r="A1648" t="s">
        <v>1680</v>
      </c>
      <c r="B1648">
        <v>45894</v>
      </c>
      <c r="C1648" t="s">
        <v>10</v>
      </c>
      <c r="D1648" t="s">
        <v>11</v>
      </c>
      <c r="E1648" t="s">
        <v>12</v>
      </c>
      <c r="F1648" t="s">
        <v>42</v>
      </c>
      <c r="G1648" t="s">
        <v>19</v>
      </c>
      <c r="H1648">
        <v>93751</v>
      </c>
      <c r="I1648">
        <v>102600</v>
      </c>
    </row>
    <row r="1649" spans="1:9" x14ac:dyDescent="0.3">
      <c r="A1649" t="s">
        <v>1681</v>
      </c>
      <c r="B1649">
        <v>45894</v>
      </c>
      <c r="C1649" t="s">
        <v>10</v>
      </c>
      <c r="D1649" t="s">
        <v>11</v>
      </c>
      <c r="E1649" t="s">
        <v>12</v>
      </c>
      <c r="F1649" t="s">
        <v>26</v>
      </c>
      <c r="G1649" t="s">
        <v>14</v>
      </c>
      <c r="H1649">
        <v>238607</v>
      </c>
      <c r="I1649">
        <v>257900</v>
      </c>
    </row>
    <row r="1650" spans="1:9" x14ac:dyDescent="0.3">
      <c r="A1650" t="s">
        <v>1682</v>
      </c>
      <c r="B1650">
        <v>45894</v>
      </c>
      <c r="C1650" t="s">
        <v>36</v>
      </c>
      <c r="D1650" t="s">
        <v>11</v>
      </c>
      <c r="E1650" t="s">
        <v>37</v>
      </c>
      <c r="F1650" t="s">
        <v>37</v>
      </c>
      <c r="G1650" t="s">
        <v>14</v>
      </c>
      <c r="H1650">
        <v>228383</v>
      </c>
      <c r="I1650">
        <v>237900</v>
      </c>
    </row>
    <row r="1651" spans="1:9" x14ac:dyDescent="0.3">
      <c r="A1651" t="s">
        <v>1683</v>
      </c>
      <c r="B1651">
        <v>45894</v>
      </c>
      <c r="C1651" t="s">
        <v>21</v>
      </c>
      <c r="D1651" t="s">
        <v>11</v>
      </c>
      <c r="E1651" t="s">
        <v>22</v>
      </c>
      <c r="F1651" t="s">
        <v>37</v>
      </c>
      <c r="G1651" t="s">
        <v>14</v>
      </c>
      <c r="H1651">
        <v>67208</v>
      </c>
      <c r="I1651">
        <v>64600</v>
      </c>
    </row>
    <row r="1652" spans="1:9" x14ac:dyDescent="0.3">
      <c r="A1652" t="s">
        <v>1684</v>
      </c>
      <c r="B1652">
        <v>45894</v>
      </c>
      <c r="C1652" t="s">
        <v>25</v>
      </c>
      <c r="D1652" t="s">
        <v>11</v>
      </c>
      <c r="E1652" t="s">
        <v>22</v>
      </c>
      <c r="F1652" t="s">
        <v>46</v>
      </c>
      <c r="G1652" t="s">
        <v>19</v>
      </c>
      <c r="H1652">
        <v>33652</v>
      </c>
      <c r="I1652">
        <v>36900</v>
      </c>
    </row>
    <row r="1653" spans="1:9" x14ac:dyDescent="0.3">
      <c r="A1653" t="s">
        <v>1685</v>
      </c>
      <c r="B1653">
        <v>45894</v>
      </c>
      <c r="C1653" t="s">
        <v>31</v>
      </c>
      <c r="D1653" t="s">
        <v>11</v>
      </c>
      <c r="E1653" t="s">
        <v>17</v>
      </c>
      <c r="F1653" t="s">
        <v>56</v>
      </c>
      <c r="G1653" t="s">
        <v>19</v>
      </c>
      <c r="H1653">
        <v>97942</v>
      </c>
      <c r="I1653">
        <v>85600</v>
      </c>
    </row>
    <row r="1654" spans="1:9" x14ac:dyDescent="0.3">
      <c r="A1654" t="s">
        <v>1686</v>
      </c>
      <c r="B1654">
        <v>45895</v>
      </c>
      <c r="C1654" t="s">
        <v>62</v>
      </c>
      <c r="D1654" t="s">
        <v>11</v>
      </c>
      <c r="E1654" t="s">
        <v>22</v>
      </c>
      <c r="F1654" t="s">
        <v>56</v>
      </c>
      <c r="G1654" t="s">
        <v>19</v>
      </c>
      <c r="H1654">
        <v>52060</v>
      </c>
      <c r="I1654">
        <v>60900</v>
      </c>
    </row>
    <row r="1655" spans="1:9" x14ac:dyDescent="0.3">
      <c r="A1655" t="s">
        <v>1687</v>
      </c>
      <c r="B1655">
        <v>45895</v>
      </c>
      <c r="C1655" t="s">
        <v>16</v>
      </c>
      <c r="D1655" t="s">
        <v>11</v>
      </c>
      <c r="E1655" t="s">
        <v>17</v>
      </c>
      <c r="F1655" t="s">
        <v>12</v>
      </c>
      <c r="G1655" t="s">
        <v>14</v>
      </c>
      <c r="H1655">
        <v>158449</v>
      </c>
      <c r="I1655">
        <v>173300</v>
      </c>
    </row>
    <row r="1656" spans="1:9" x14ac:dyDescent="0.3">
      <c r="A1656" t="s">
        <v>1688</v>
      </c>
      <c r="B1656">
        <v>45895</v>
      </c>
      <c r="C1656" t="s">
        <v>36</v>
      </c>
      <c r="D1656" t="s">
        <v>11</v>
      </c>
      <c r="E1656" t="s">
        <v>37</v>
      </c>
      <c r="F1656" t="s">
        <v>56</v>
      </c>
      <c r="G1656" t="s">
        <v>19</v>
      </c>
      <c r="H1656">
        <v>60073</v>
      </c>
      <c r="I1656">
        <v>52700</v>
      </c>
    </row>
    <row r="1657" spans="1:9" x14ac:dyDescent="0.3">
      <c r="A1657" t="s">
        <v>1689</v>
      </c>
      <c r="B1657">
        <v>45895</v>
      </c>
      <c r="C1657" t="s">
        <v>36</v>
      </c>
      <c r="D1657" t="s">
        <v>11</v>
      </c>
      <c r="E1657" t="s">
        <v>37</v>
      </c>
      <c r="F1657" t="s">
        <v>13</v>
      </c>
      <c r="G1657" t="s">
        <v>14</v>
      </c>
      <c r="H1657">
        <v>229292</v>
      </c>
      <c r="I1657">
        <v>194500</v>
      </c>
    </row>
    <row r="1658" spans="1:9" x14ac:dyDescent="0.3">
      <c r="A1658" t="s">
        <v>1690</v>
      </c>
      <c r="B1658">
        <v>45895</v>
      </c>
      <c r="C1658" t="s">
        <v>36</v>
      </c>
      <c r="D1658" t="s">
        <v>11</v>
      </c>
      <c r="E1658" t="s">
        <v>37</v>
      </c>
      <c r="F1658" t="s">
        <v>37</v>
      </c>
      <c r="G1658" t="s">
        <v>14</v>
      </c>
      <c r="H1658">
        <v>58755</v>
      </c>
      <c r="I1658">
        <v>53700</v>
      </c>
    </row>
    <row r="1659" spans="1:9" x14ac:dyDescent="0.3">
      <c r="A1659" t="s">
        <v>1691</v>
      </c>
      <c r="B1659">
        <v>45895</v>
      </c>
      <c r="C1659" t="s">
        <v>21</v>
      </c>
      <c r="D1659" t="s">
        <v>11</v>
      </c>
      <c r="E1659" t="s">
        <v>22</v>
      </c>
      <c r="F1659" t="s">
        <v>39</v>
      </c>
      <c r="G1659" t="s">
        <v>19</v>
      </c>
      <c r="H1659">
        <v>40159</v>
      </c>
      <c r="I1659">
        <v>44800</v>
      </c>
    </row>
    <row r="1660" spans="1:9" x14ac:dyDescent="0.3">
      <c r="A1660" t="s">
        <v>1692</v>
      </c>
      <c r="B1660">
        <v>45895</v>
      </c>
      <c r="C1660" t="s">
        <v>25</v>
      </c>
      <c r="D1660" t="s">
        <v>11</v>
      </c>
      <c r="E1660" t="s">
        <v>22</v>
      </c>
      <c r="F1660" t="s">
        <v>12</v>
      </c>
      <c r="G1660" t="s">
        <v>14</v>
      </c>
      <c r="H1660">
        <v>125713</v>
      </c>
      <c r="I1660">
        <v>112800</v>
      </c>
    </row>
    <row r="1661" spans="1:9" x14ac:dyDescent="0.3">
      <c r="A1661" t="s">
        <v>1693</v>
      </c>
      <c r="B1661">
        <v>45895</v>
      </c>
      <c r="C1661" t="s">
        <v>25</v>
      </c>
      <c r="D1661" t="s">
        <v>11</v>
      </c>
      <c r="E1661" t="s">
        <v>22</v>
      </c>
      <c r="F1661" t="s">
        <v>37</v>
      </c>
      <c r="G1661" t="s">
        <v>14</v>
      </c>
      <c r="H1661">
        <v>41178</v>
      </c>
      <c r="I1661">
        <v>44300</v>
      </c>
    </row>
    <row r="1662" spans="1:9" x14ac:dyDescent="0.3">
      <c r="A1662" t="s">
        <v>1694</v>
      </c>
      <c r="B1662">
        <v>45896</v>
      </c>
      <c r="C1662" t="s">
        <v>25</v>
      </c>
      <c r="D1662" t="s">
        <v>11</v>
      </c>
      <c r="E1662" t="s">
        <v>22</v>
      </c>
      <c r="F1662" t="s">
        <v>18</v>
      </c>
      <c r="G1662" t="s">
        <v>19</v>
      </c>
      <c r="H1662">
        <v>100689</v>
      </c>
      <c r="I1662">
        <v>89900</v>
      </c>
    </row>
    <row r="1663" spans="1:9" x14ac:dyDescent="0.3">
      <c r="A1663" t="s">
        <v>1695</v>
      </c>
      <c r="B1663">
        <v>45896</v>
      </c>
      <c r="C1663" t="s">
        <v>25</v>
      </c>
      <c r="D1663" t="s">
        <v>11</v>
      </c>
      <c r="E1663" t="s">
        <v>22</v>
      </c>
      <c r="F1663" t="s">
        <v>18</v>
      </c>
      <c r="G1663" t="s">
        <v>19</v>
      </c>
      <c r="H1663">
        <v>53279</v>
      </c>
      <c r="I1663">
        <v>61100</v>
      </c>
    </row>
    <row r="1664" spans="1:9" x14ac:dyDescent="0.3">
      <c r="A1664" t="s">
        <v>1696</v>
      </c>
      <c r="B1664">
        <v>45896</v>
      </c>
      <c r="C1664" t="s">
        <v>25</v>
      </c>
      <c r="D1664" t="s">
        <v>11</v>
      </c>
      <c r="E1664" t="s">
        <v>22</v>
      </c>
      <c r="F1664" t="s">
        <v>23</v>
      </c>
      <c r="G1664" t="s">
        <v>14</v>
      </c>
      <c r="H1664">
        <v>213749</v>
      </c>
      <c r="I1664">
        <v>249400</v>
      </c>
    </row>
    <row r="1665" spans="1:9" x14ac:dyDescent="0.3">
      <c r="A1665" t="s">
        <v>1697</v>
      </c>
      <c r="B1665">
        <v>45896</v>
      </c>
      <c r="C1665" t="s">
        <v>25</v>
      </c>
      <c r="D1665" t="s">
        <v>11</v>
      </c>
      <c r="E1665" t="s">
        <v>22</v>
      </c>
      <c r="F1665" t="s">
        <v>12</v>
      </c>
      <c r="G1665" t="s">
        <v>14</v>
      </c>
      <c r="H1665">
        <v>143645</v>
      </c>
      <c r="I1665">
        <v>143900</v>
      </c>
    </row>
    <row r="1666" spans="1:9" x14ac:dyDescent="0.3">
      <c r="A1666" t="s">
        <v>1698</v>
      </c>
      <c r="B1666">
        <v>45896</v>
      </c>
      <c r="C1666" t="s">
        <v>31</v>
      </c>
      <c r="D1666" t="s">
        <v>11</v>
      </c>
      <c r="E1666" t="s">
        <v>17</v>
      </c>
      <c r="F1666" t="s">
        <v>26</v>
      </c>
      <c r="G1666" t="s">
        <v>14</v>
      </c>
      <c r="H1666">
        <v>104074</v>
      </c>
      <c r="I1666">
        <v>112700</v>
      </c>
    </row>
    <row r="1667" spans="1:9" x14ac:dyDescent="0.3">
      <c r="A1667" t="s">
        <v>1699</v>
      </c>
      <c r="B1667">
        <v>45897</v>
      </c>
      <c r="C1667" t="s">
        <v>62</v>
      </c>
      <c r="D1667" t="s">
        <v>11</v>
      </c>
      <c r="E1667" t="s">
        <v>22</v>
      </c>
      <c r="F1667" t="s">
        <v>56</v>
      </c>
      <c r="G1667" t="s">
        <v>19</v>
      </c>
      <c r="H1667">
        <v>42918</v>
      </c>
      <c r="I1667">
        <v>42200</v>
      </c>
    </row>
    <row r="1668" spans="1:9" x14ac:dyDescent="0.3">
      <c r="A1668" t="s">
        <v>1700</v>
      </c>
      <c r="B1668">
        <v>45897</v>
      </c>
      <c r="C1668" t="s">
        <v>62</v>
      </c>
      <c r="D1668" t="s">
        <v>11</v>
      </c>
      <c r="E1668" t="s">
        <v>22</v>
      </c>
      <c r="F1668" t="s">
        <v>37</v>
      </c>
      <c r="G1668" t="s">
        <v>14</v>
      </c>
      <c r="H1668">
        <v>59766</v>
      </c>
      <c r="I1668">
        <v>57200</v>
      </c>
    </row>
    <row r="1669" spans="1:9" x14ac:dyDescent="0.3">
      <c r="A1669" t="s">
        <v>1701</v>
      </c>
      <c r="B1669">
        <v>45897</v>
      </c>
      <c r="C1669" t="s">
        <v>10</v>
      </c>
      <c r="D1669" t="s">
        <v>11</v>
      </c>
      <c r="E1669" t="s">
        <v>12</v>
      </c>
      <c r="F1669" t="s">
        <v>13</v>
      </c>
      <c r="G1669" t="s">
        <v>14</v>
      </c>
      <c r="H1669">
        <v>125990</v>
      </c>
      <c r="I1669">
        <v>123000</v>
      </c>
    </row>
    <row r="1670" spans="1:9" x14ac:dyDescent="0.3">
      <c r="A1670" t="s">
        <v>1702</v>
      </c>
      <c r="B1670">
        <v>45897</v>
      </c>
      <c r="C1670" t="s">
        <v>10</v>
      </c>
      <c r="D1670" t="s">
        <v>11</v>
      </c>
      <c r="E1670" t="s">
        <v>12</v>
      </c>
      <c r="F1670" t="s">
        <v>37</v>
      </c>
      <c r="G1670" t="s">
        <v>14</v>
      </c>
      <c r="H1670">
        <v>117673</v>
      </c>
      <c r="I1670">
        <v>110400</v>
      </c>
    </row>
    <row r="1671" spans="1:9" x14ac:dyDescent="0.3">
      <c r="A1671" t="s">
        <v>1703</v>
      </c>
      <c r="B1671">
        <v>45897</v>
      </c>
      <c r="C1671" t="s">
        <v>36</v>
      </c>
      <c r="D1671" t="s">
        <v>11</v>
      </c>
      <c r="E1671" t="s">
        <v>37</v>
      </c>
      <c r="F1671" t="s">
        <v>33</v>
      </c>
      <c r="G1671" t="s">
        <v>19</v>
      </c>
      <c r="H1671">
        <v>109868</v>
      </c>
      <c r="I1671">
        <v>116700</v>
      </c>
    </row>
    <row r="1672" spans="1:9" x14ac:dyDescent="0.3">
      <c r="A1672" t="s">
        <v>1704</v>
      </c>
      <c r="B1672">
        <v>45897</v>
      </c>
      <c r="C1672" t="s">
        <v>21</v>
      </c>
      <c r="D1672" t="s">
        <v>11</v>
      </c>
      <c r="E1672" t="s">
        <v>22</v>
      </c>
      <c r="F1672" t="s">
        <v>33</v>
      </c>
      <c r="G1672" t="s">
        <v>19</v>
      </c>
      <c r="H1672">
        <v>21369</v>
      </c>
      <c r="I1672">
        <v>20900</v>
      </c>
    </row>
    <row r="1673" spans="1:9" x14ac:dyDescent="0.3">
      <c r="A1673" t="s">
        <v>1705</v>
      </c>
      <c r="B1673">
        <v>45897</v>
      </c>
      <c r="C1673" t="s">
        <v>21</v>
      </c>
      <c r="D1673" t="s">
        <v>11</v>
      </c>
      <c r="E1673" t="s">
        <v>22</v>
      </c>
      <c r="F1673" t="s">
        <v>13</v>
      </c>
      <c r="G1673" t="s">
        <v>14</v>
      </c>
      <c r="H1673">
        <v>188745</v>
      </c>
      <c r="I1673">
        <v>208800</v>
      </c>
    </row>
    <row r="1674" spans="1:9" x14ac:dyDescent="0.3">
      <c r="A1674" t="s">
        <v>1706</v>
      </c>
      <c r="B1674">
        <v>45897</v>
      </c>
      <c r="C1674" t="s">
        <v>25</v>
      </c>
      <c r="D1674" t="s">
        <v>11</v>
      </c>
      <c r="E1674" t="s">
        <v>22</v>
      </c>
      <c r="F1674" t="s">
        <v>12</v>
      </c>
      <c r="G1674" t="s">
        <v>14</v>
      </c>
      <c r="H1674">
        <v>55448</v>
      </c>
      <c r="I1674">
        <v>58700</v>
      </c>
    </row>
    <row r="1675" spans="1:9" x14ac:dyDescent="0.3">
      <c r="A1675" t="s">
        <v>1707</v>
      </c>
      <c r="B1675">
        <v>45898</v>
      </c>
      <c r="C1675" t="s">
        <v>62</v>
      </c>
      <c r="D1675" t="s">
        <v>11</v>
      </c>
      <c r="E1675" t="s">
        <v>22</v>
      </c>
      <c r="F1675" t="s">
        <v>56</v>
      </c>
      <c r="G1675" t="s">
        <v>19</v>
      </c>
      <c r="H1675">
        <v>86061</v>
      </c>
      <c r="I1675">
        <v>99100</v>
      </c>
    </row>
    <row r="1676" spans="1:9" x14ac:dyDescent="0.3">
      <c r="A1676" t="s">
        <v>1708</v>
      </c>
      <c r="B1676">
        <v>45898</v>
      </c>
      <c r="C1676" t="s">
        <v>62</v>
      </c>
      <c r="D1676" t="s">
        <v>11</v>
      </c>
      <c r="E1676" t="s">
        <v>22</v>
      </c>
      <c r="F1676" t="s">
        <v>26</v>
      </c>
      <c r="G1676" t="s">
        <v>14</v>
      </c>
      <c r="H1676">
        <v>176855</v>
      </c>
      <c r="I1676">
        <v>174800</v>
      </c>
    </row>
    <row r="1677" spans="1:9" x14ac:dyDescent="0.3">
      <c r="A1677" t="s">
        <v>1709</v>
      </c>
      <c r="B1677">
        <v>45898</v>
      </c>
      <c r="C1677" t="s">
        <v>10</v>
      </c>
      <c r="D1677" t="s">
        <v>11</v>
      </c>
      <c r="E1677" t="s">
        <v>12</v>
      </c>
      <c r="F1677" t="s">
        <v>46</v>
      </c>
      <c r="G1677" t="s">
        <v>19</v>
      </c>
      <c r="H1677">
        <v>32656</v>
      </c>
      <c r="I1677">
        <v>31300</v>
      </c>
    </row>
    <row r="1678" spans="1:9" x14ac:dyDescent="0.3">
      <c r="A1678" t="s">
        <v>1710</v>
      </c>
      <c r="B1678">
        <v>45898</v>
      </c>
      <c r="C1678" t="s">
        <v>16</v>
      </c>
      <c r="D1678" t="s">
        <v>11</v>
      </c>
      <c r="E1678" t="s">
        <v>17</v>
      </c>
      <c r="F1678" t="s">
        <v>46</v>
      </c>
      <c r="G1678" t="s">
        <v>19</v>
      </c>
      <c r="H1678">
        <v>26119</v>
      </c>
      <c r="I1678">
        <v>23000</v>
      </c>
    </row>
    <row r="1679" spans="1:9" x14ac:dyDescent="0.3">
      <c r="A1679" t="s">
        <v>1711</v>
      </c>
      <c r="B1679">
        <v>45898</v>
      </c>
      <c r="C1679" t="s">
        <v>16</v>
      </c>
      <c r="D1679" t="s">
        <v>11</v>
      </c>
      <c r="E1679" t="s">
        <v>17</v>
      </c>
      <c r="F1679" t="s">
        <v>42</v>
      </c>
      <c r="G1679" t="s">
        <v>19</v>
      </c>
      <c r="H1679">
        <v>82828</v>
      </c>
      <c r="I1679">
        <v>88700</v>
      </c>
    </row>
    <row r="1680" spans="1:9" x14ac:dyDescent="0.3">
      <c r="A1680" t="s">
        <v>1712</v>
      </c>
      <c r="B1680">
        <v>45898</v>
      </c>
      <c r="C1680" t="s">
        <v>16</v>
      </c>
      <c r="D1680" t="s">
        <v>11</v>
      </c>
      <c r="E1680" t="s">
        <v>17</v>
      </c>
      <c r="F1680" t="s">
        <v>46</v>
      </c>
      <c r="G1680" t="s">
        <v>19</v>
      </c>
      <c r="H1680">
        <v>92365</v>
      </c>
      <c r="I1680">
        <v>95800</v>
      </c>
    </row>
    <row r="1681" spans="1:9" x14ac:dyDescent="0.3">
      <c r="A1681" t="s">
        <v>1713</v>
      </c>
      <c r="B1681">
        <v>45898</v>
      </c>
      <c r="C1681" t="s">
        <v>36</v>
      </c>
      <c r="D1681" t="s">
        <v>11</v>
      </c>
      <c r="E1681" t="s">
        <v>37</v>
      </c>
      <c r="F1681" t="s">
        <v>46</v>
      </c>
      <c r="G1681" t="s">
        <v>19</v>
      </c>
      <c r="H1681">
        <v>20306</v>
      </c>
      <c r="I1681">
        <v>19700</v>
      </c>
    </row>
    <row r="1682" spans="1:9" x14ac:dyDescent="0.3">
      <c r="A1682" t="s">
        <v>1714</v>
      </c>
      <c r="B1682">
        <v>45898</v>
      </c>
      <c r="C1682" t="s">
        <v>36</v>
      </c>
      <c r="D1682" t="s">
        <v>11</v>
      </c>
      <c r="E1682" t="s">
        <v>37</v>
      </c>
      <c r="F1682" t="s">
        <v>59</v>
      </c>
      <c r="G1682" t="s">
        <v>14</v>
      </c>
      <c r="H1682">
        <v>225235</v>
      </c>
      <c r="I1682">
        <v>250500</v>
      </c>
    </row>
    <row r="1683" spans="1:9" x14ac:dyDescent="0.3">
      <c r="A1683" t="s">
        <v>1715</v>
      </c>
      <c r="B1683">
        <v>45898</v>
      </c>
      <c r="C1683" t="s">
        <v>36</v>
      </c>
      <c r="D1683" t="s">
        <v>11</v>
      </c>
      <c r="E1683" t="s">
        <v>37</v>
      </c>
      <c r="F1683" t="s">
        <v>26</v>
      </c>
      <c r="G1683" t="s">
        <v>14</v>
      </c>
      <c r="H1683">
        <v>68266</v>
      </c>
      <c r="I1683">
        <v>63300</v>
      </c>
    </row>
    <row r="1684" spans="1:9" x14ac:dyDescent="0.3">
      <c r="A1684" t="s">
        <v>1716</v>
      </c>
      <c r="B1684">
        <v>45898</v>
      </c>
      <c r="C1684" t="s">
        <v>21</v>
      </c>
      <c r="D1684" t="s">
        <v>11</v>
      </c>
      <c r="E1684" t="s">
        <v>22</v>
      </c>
      <c r="F1684" t="s">
        <v>26</v>
      </c>
      <c r="G1684" t="s">
        <v>14</v>
      </c>
      <c r="H1684">
        <v>194335</v>
      </c>
      <c r="I1684">
        <v>186700</v>
      </c>
    </row>
    <row r="1685" spans="1:9" x14ac:dyDescent="0.3">
      <c r="A1685" t="s">
        <v>1717</v>
      </c>
      <c r="B1685">
        <v>45898</v>
      </c>
      <c r="C1685" t="s">
        <v>25</v>
      </c>
      <c r="D1685" t="s">
        <v>11</v>
      </c>
      <c r="E1685" t="s">
        <v>22</v>
      </c>
      <c r="F1685" t="s">
        <v>39</v>
      </c>
      <c r="G1685" t="s">
        <v>19</v>
      </c>
      <c r="H1685">
        <v>87884</v>
      </c>
      <c r="I1685">
        <v>83400</v>
      </c>
    </row>
    <row r="1686" spans="1:9" x14ac:dyDescent="0.3">
      <c r="A1686" t="s">
        <v>1718</v>
      </c>
      <c r="B1686">
        <v>45899</v>
      </c>
      <c r="C1686" t="s">
        <v>10</v>
      </c>
      <c r="D1686" t="s">
        <v>11</v>
      </c>
      <c r="E1686" t="s">
        <v>12</v>
      </c>
      <c r="F1686" t="s">
        <v>18</v>
      </c>
      <c r="G1686" t="s">
        <v>19</v>
      </c>
      <c r="H1686">
        <v>33262</v>
      </c>
      <c r="I1686">
        <v>35700</v>
      </c>
    </row>
    <row r="1687" spans="1:9" x14ac:dyDescent="0.3">
      <c r="A1687" t="s">
        <v>1719</v>
      </c>
      <c r="B1687">
        <v>45899</v>
      </c>
      <c r="C1687" t="s">
        <v>25</v>
      </c>
      <c r="D1687" t="s">
        <v>11</v>
      </c>
      <c r="E1687" t="s">
        <v>22</v>
      </c>
      <c r="F1687" t="s">
        <v>12</v>
      </c>
      <c r="G1687" t="s">
        <v>14</v>
      </c>
      <c r="H1687">
        <v>156039</v>
      </c>
      <c r="I1687">
        <v>156700</v>
      </c>
    </row>
    <row r="1688" spans="1:9" x14ac:dyDescent="0.3">
      <c r="A1688" t="s">
        <v>1720</v>
      </c>
      <c r="B1688">
        <v>45900</v>
      </c>
      <c r="C1688" t="s">
        <v>21</v>
      </c>
      <c r="D1688" t="s">
        <v>11</v>
      </c>
      <c r="E1688" t="s">
        <v>22</v>
      </c>
      <c r="F1688" t="s">
        <v>18</v>
      </c>
      <c r="G1688" t="s">
        <v>19</v>
      </c>
      <c r="H1688">
        <v>102713</v>
      </c>
      <c r="I1688">
        <v>101200</v>
      </c>
    </row>
    <row r="1689" spans="1:9" x14ac:dyDescent="0.3">
      <c r="A1689" t="s">
        <v>1721</v>
      </c>
      <c r="B1689">
        <v>45900</v>
      </c>
      <c r="C1689" t="s">
        <v>21</v>
      </c>
      <c r="D1689" t="s">
        <v>11</v>
      </c>
      <c r="E1689" t="s">
        <v>22</v>
      </c>
      <c r="F1689" t="s">
        <v>37</v>
      </c>
      <c r="G1689" t="s">
        <v>14</v>
      </c>
      <c r="H1689">
        <v>139099</v>
      </c>
      <c r="I1689">
        <v>133900</v>
      </c>
    </row>
    <row r="1690" spans="1:9" x14ac:dyDescent="0.3">
      <c r="A1690" t="s">
        <v>1722</v>
      </c>
      <c r="B1690">
        <v>45900</v>
      </c>
      <c r="C1690" t="s">
        <v>25</v>
      </c>
      <c r="D1690" t="s">
        <v>11</v>
      </c>
      <c r="E1690" t="s">
        <v>22</v>
      </c>
      <c r="F1690" t="s">
        <v>56</v>
      </c>
      <c r="G1690" t="s">
        <v>19</v>
      </c>
      <c r="H1690">
        <v>46250</v>
      </c>
      <c r="I1690">
        <v>41900</v>
      </c>
    </row>
    <row r="1691" spans="1:9" x14ac:dyDescent="0.3">
      <c r="A1691" t="s">
        <v>1723</v>
      </c>
      <c r="B1691">
        <v>45900</v>
      </c>
      <c r="C1691" t="s">
        <v>25</v>
      </c>
      <c r="D1691" t="s">
        <v>11</v>
      </c>
      <c r="E1691" t="s">
        <v>22</v>
      </c>
      <c r="F1691" t="s">
        <v>39</v>
      </c>
      <c r="G1691" t="s">
        <v>19</v>
      </c>
      <c r="H1691">
        <v>63030</v>
      </c>
      <c r="I1691">
        <v>52200</v>
      </c>
    </row>
    <row r="1692" spans="1:9" x14ac:dyDescent="0.3">
      <c r="A1692" t="s">
        <v>1724</v>
      </c>
      <c r="B1692">
        <v>45900</v>
      </c>
      <c r="C1692" t="s">
        <v>25</v>
      </c>
      <c r="D1692" t="s">
        <v>11</v>
      </c>
      <c r="E1692" t="s">
        <v>22</v>
      </c>
      <c r="F1692" t="s">
        <v>12</v>
      </c>
      <c r="G1692" t="s">
        <v>14</v>
      </c>
      <c r="H1692">
        <v>203279</v>
      </c>
      <c r="I1692">
        <v>179900</v>
      </c>
    </row>
    <row r="1693" spans="1:9" x14ac:dyDescent="0.3">
      <c r="A1693" t="s">
        <v>1725</v>
      </c>
      <c r="B1693">
        <v>45901</v>
      </c>
      <c r="C1693" t="s">
        <v>62</v>
      </c>
      <c r="D1693" t="s">
        <v>11</v>
      </c>
      <c r="E1693" t="s">
        <v>22</v>
      </c>
      <c r="F1693" t="s">
        <v>42</v>
      </c>
      <c r="G1693" t="s">
        <v>19</v>
      </c>
      <c r="H1693">
        <v>72988</v>
      </c>
      <c r="I1693">
        <v>77800</v>
      </c>
    </row>
    <row r="1694" spans="1:9" x14ac:dyDescent="0.3">
      <c r="A1694" t="s">
        <v>1726</v>
      </c>
      <c r="B1694">
        <v>45901</v>
      </c>
      <c r="C1694" t="s">
        <v>62</v>
      </c>
      <c r="D1694" t="s">
        <v>11</v>
      </c>
      <c r="E1694" t="s">
        <v>22</v>
      </c>
      <c r="F1694" t="s">
        <v>39</v>
      </c>
      <c r="G1694" t="s">
        <v>19</v>
      </c>
      <c r="H1694">
        <v>29353</v>
      </c>
      <c r="I1694">
        <v>25600</v>
      </c>
    </row>
    <row r="1695" spans="1:9" x14ac:dyDescent="0.3">
      <c r="A1695" t="s">
        <v>1727</v>
      </c>
      <c r="B1695">
        <v>45901</v>
      </c>
      <c r="C1695" t="s">
        <v>10</v>
      </c>
      <c r="D1695" t="s">
        <v>11</v>
      </c>
      <c r="E1695" t="s">
        <v>12</v>
      </c>
      <c r="F1695" t="s">
        <v>59</v>
      </c>
      <c r="G1695" t="s">
        <v>14</v>
      </c>
      <c r="H1695">
        <v>104652</v>
      </c>
      <c r="I1695">
        <v>95000</v>
      </c>
    </row>
    <row r="1696" spans="1:9" x14ac:dyDescent="0.3">
      <c r="A1696" t="s">
        <v>1728</v>
      </c>
      <c r="B1696">
        <v>45901</v>
      </c>
      <c r="C1696" t="s">
        <v>16</v>
      </c>
      <c r="D1696" t="s">
        <v>11</v>
      </c>
      <c r="E1696" t="s">
        <v>17</v>
      </c>
      <c r="F1696" t="s">
        <v>13</v>
      </c>
      <c r="G1696" t="s">
        <v>14</v>
      </c>
      <c r="H1696">
        <v>165143</v>
      </c>
      <c r="I1696">
        <v>142600</v>
      </c>
    </row>
    <row r="1697" spans="1:9" x14ac:dyDescent="0.3">
      <c r="A1697" t="s">
        <v>1729</v>
      </c>
      <c r="B1697">
        <v>45901</v>
      </c>
      <c r="C1697" t="s">
        <v>36</v>
      </c>
      <c r="D1697" t="s">
        <v>11</v>
      </c>
      <c r="E1697" t="s">
        <v>37</v>
      </c>
      <c r="F1697" t="s">
        <v>12</v>
      </c>
      <c r="G1697" t="s">
        <v>14</v>
      </c>
      <c r="H1697">
        <v>102193</v>
      </c>
      <c r="I1697">
        <v>102800</v>
      </c>
    </row>
    <row r="1698" spans="1:9" x14ac:dyDescent="0.3">
      <c r="A1698" t="s">
        <v>1730</v>
      </c>
      <c r="B1698">
        <v>45901</v>
      </c>
      <c r="C1698" t="s">
        <v>21</v>
      </c>
      <c r="D1698" t="s">
        <v>11</v>
      </c>
      <c r="E1698" t="s">
        <v>22</v>
      </c>
      <c r="F1698" t="s">
        <v>12</v>
      </c>
      <c r="G1698" t="s">
        <v>14</v>
      </c>
      <c r="H1698">
        <v>97594</v>
      </c>
      <c r="I1698">
        <v>98000</v>
      </c>
    </row>
    <row r="1699" spans="1:9" x14ac:dyDescent="0.3">
      <c r="A1699" t="s">
        <v>1731</v>
      </c>
      <c r="B1699">
        <v>45901</v>
      </c>
      <c r="C1699" t="s">
        <v>55</v>
      </c>
      <c r="D1699" t="s">
        <v>11</v>
      </c>
      <c r="E1699" t="s">
        <v>37</v>
      </c>
      <c r="F1699" t="s">
        <v>59</v>
      </c>
      <c r="G1699" t="s">
        <v>14</v>
      </c>
      <c r="H1699">
        <v>246519</v>
      </c>
      <c r="I1699">
        <v>254700</v>
      </c>
    </row>
    <row r="1700" spans="1:9" x14ac:dyDescent="0.3">
      <c r="A1700" t="s">
        <v>1732</v>
      </c>
      <c r="B1700">
        <v>45902</v>
      </c>
      <c r="C1700" t="s">
        <v>21</v>
      </c>
      <c r="D1700" t="s">
        <v>11</v>
      </c>
      <c r="E1700" t="s">
        <v>22</v>
      </c>
      <c r="F1700" t="s">
        <v>26</v>
      </c>
      <c r="G1700" t="s">
        <v>14</v>
      </c>
      <c r="H1700">
        <v>110676</v>
      </c>
      <c r="I1700">
        <v>108800</v>
      </c>
    </row>
    <row r="1701" spans="1:9" x14ac:dyDescent="0.3">
      <c r="A1701" t="s">
        <v>1733</v>
      </c>
      <c r="B1701">
        <v>45902</v>
      </c>
      <c r="C1701" t="s">
        <v>55</v>
      </c>
      <c r="D1701" t="s">
        <v>11</v>
      </c>
      <c r="E1701" t="s">
        <v>37</v>
      </c>
      <c r="F1701" t="s">
        <v>26</v>
      </c>
      <c r="G1701" t="s">
        <v>14</v>
      </c>
      <c r="H1701">
        <v>33744</v>
      </c>
      <c r="I1701">
        <v>34000</v>
      </c>
    </row>
    <row r="1702" spans="1:9" x14ac:dyDescent="0.3">
      <c r="A1702" t="s">
        <v>1734</v>
      </c>
      <c r="B1702">
        <v>45903</v>
      </c>
      <c r="C1702" t="s">
        <v>62</v>
      </c>
      <c r="D1702" t="s">
        <v>11</v>
      </c>
      <c r="E1702" t="s">
        <v>22</v>
      </c>
      <c r="F1702" t="s">
        <v>59</v>
      </c>
      <c r="G1702" t="s">
        <v>14</v>
      </c>
      <c r="H1702">
        <v>221509</v>
      </c>
      <c r="I1702">
        <v>217700</v>
      </c>
    </row>
    <row r="1703" spans="1:9" x14ac:dyDescent="0.3">
      <c r="A1703" t="s">
        <v>1735</v>
      </c>
      <c r="B1703">
        <v>45903</v>
      </c>
      <c r="C1703" t="s">
        <v>16</v>
      </c>
      <c r="D1703" t="s">
        <v>11</v>
      </c>
      <c r="E1703" t="s">
        <v>17</v>
      </c>
      <c r="F1703" t="s">
        <v>42</v>
      </c>
      <c r="G1703" t="s">
        <v>19</v>
      </c>
      <c r="H1703">
        <v>37056</v>
      </c>
      <c r="I1703">
        <v>36500</v>
      </c>
    </row>
    <row r="1704" spans="1:9" x14ac:dyDescent="0.3">
      <c r="A1704" t="s">
        <v>1736</v>
      </c>
      <c r="B1704">
        <v>45903</v>
      </c>
      <c r="C1704" t="s">
        <v>36</v>
      </c>
      <c r="D1704" t="s">
        <v>11</v>
      </c>
      <c r="E1704" t="s">
        <v>37</v>
      </c>
      <c r="F1704" t="s">
        <v>46</v>
      </c>
      <c r="G1704" t="s">
        <v>19</v>
      </c>
      <c r="H1704">
        <v>67151</v>
      </c>
      <c r="I1704">
        <v>62200</v>
      </c>
    </row>
    <row r="1705" spans="1:9" x14ac:dyDescent="0.3">
      <c r="A1705" t="s">
        <v>1737</v>
      </c>
      <c r="B1705">
        <v>45903</v>
      </c>
      <c r="C1705" t="s">
        <v>21</v>
      </c>
      <c r="D1705" t="s">
        <v>11</v>
      </c>
      <c r="E1705" t="s">
        <v>22</v>
      </c>
      <c r="F1705" t="s">
        <v>13</v>
      </c>
      <c r="G1705" t="s">
        <v>14</v>
      </c>
      <c r="H1705">
        <v>176475</v>
      </c>
      <c r="I1705">
        <v>159100</v>
      </c>
    </row>
    <row r="1706" spans="1:9" x14ac:dyDescent="0.3">
      <c r="A1706" t="s">
        <v>1738</v>
      </c>
      <c r="B1706">
        <v>45903</v>
      </c>
      <c r="C1706" t="s">
        <v>25</v>
      </c>
      <c r="D1706" t="s">
        <v>11</v>
      </c>
      <c r="E1706" t="s">
        <v>22</v>
      </c>
      <c r="F1706" t="s">
        <v>39</v>
      </c>
      <c r="G1706" t="s">
        <v>19</v>
      </c>
      <c r="H1706">
        <v>76251</v>
      </c>
      <c r="I1706">
        <v>84500</v>
      </c>
    </row>
    <row r="1707" spans="1:9" x14ac:dyDescent="0.3">
      <c r="A1707" t="s">
        <v>1739</v>
      </c>
      <c r="B1707">
        <v>45903</v>
      </c>
      <c r="C1707" t="s">
        <v>25</v>
      </c>
      <c r="D1707" t="s">
        <v>11</v>
      </c>
      <c r="E1707" t="s">
        <v>22</v>
      </c>
      <c r="F1707" t="s">
        <v>42</v>
      </c>
      <c r="G1707" t="s">
        <v>19</v>
      </c>
      <c r="H1707">
        <v>86521</v>
      </c>
      <c r="I1707">
        <v>97700</v>
      </c>
    </row>
    <row r="1708" spans="1:9" x14ac:dyDescent="0.3">
      <c r="A1708" t="s">
        <v>1740</v>
      </c>
      <c r="B1708">
        <v>45903</v>
      </c>
      <c r="C1708" t="s">
        <v>25</v>
      </c>
      <c r="D1708" t="s">
        <v>11</v>
      </c>
      <c r="E1708" t="s">
        <v>22</v>
      </c>
      <c r="F1708" t="s">
        <v>23</v>
      </c>
      <c r="G1708" t="s">
        <v>14</v>
      </c>
      <c r="H1708">
        <v>100006</v>
      </c>
      <c r="I1708">
        <v>83500</v>
      </c>
    </row>
    <row r="1709" spans="1:9" x14ac:dyDescent="0.3">
      <c r="A1709" t="s">
        <v>1741</v>
      </c>
      <c r="B1709">
        <v>45903</v>
      </c>
      <c r="C1709" t="s">
        <v>31</v>
      </c>
      <c r="D1709" t="s">
        <v>11</v>
      </c>
      <c r="E1709" t="s">
        <v>17</v>
      </c>
      <c r="F1709" t="s">
        <v>39</v>
      </c>
      <c r="G1709" t="s">
        <v>19</v>
      </c>
      <c r="H1709">
        <v>16618</v>
      </c>
      <c r="I1709">
        <v>13300</v>
      </c>
    </row>
    <row r="1710" spans="1:9" x14ac:dyDescent="0.3">
      <c r="A1710" t="s">
        <v>1742</v>
      </c>
      <c r="B1710">
        <v>45903</v>
      </c>
      <c r="C1710" t="s">
        <v>31</v>
      </c>
      <c r="D1710" t="s">
        <v>11</v>
      </c>
      <c r="E1710" t="s">
        <v>17</v>
      </c>
      <c r="F1710" t="s">
        <v>18</v>
      </c>
      <c r="G1710" t="s">
        <v>19</v>
      </c>
      <c r="H1710">
        <v>109804</v>
      </c>
      <c r="I1710">
        <v>120900</v>
      </c>
    </row>
    <row r="1711" spans="1:9" x14ac:dyDescent="0.3">
      <c r="A1711" t="s">
        <v>1743</v>
      </c>
      <c r="B1711">
        <v>45903</v>
      </c>
      <c r="C1711" t="s">
        <v>31</v>
      </c>
      <c r="D1711" t="s">
        <v>11</v>
      </c>
      <c r="E1711" t="s">
        <v>17</v>
      </c>
      <c r="F1711" t="s">
        <v>18</v>
      </c>
      <c r="G1711" t="s">
        <v>19</v>
      </c>
      <c r="H1711">
        <v>116659</v>
      </c>
      <c r="I1711">
        <v>91100</v>
      </c>
    </row>
    <row r="1712" spans="1:9" x14ac:dyDescent="0.3">
      <c r="A1712" t="s">
        <v>1744</v>
      </c>
      <c r="B1712">
        <v>45904</v>
      </c>
      <c r="C1712" t="s">
        <v>62</v>
      </c>
      <c r="D1712" t="s">
        <v>11</v>
      </c>
      <c r="E1712" t="s">
        <v>22</v>
      </c>
      <c r="F1712" t="s">
        <v>33</v>
      </c>
      <c r="G1712" t="s">
        <v>19</v>
      </c>
      <c r="H1712">
        <v>102578</v>
      </c>
      <c r="I1712">
        <v>105200</v>
      </c>
    </row>
    <row r="1713" spans="1:9" x14ac:dyDescent="0.3">
      <c r="A1713" t="s">
        <v>1745</v>
      </c>
      <c r="B1713">
        <v>45904</v>
      </c>
      <c r="C1713" t="s">
        <v>10</v>
      </c>
      <c r="D1713" t="s">
        <v>11</v>
      </c>
      <c r="E1713" t="s">
        <v>12</v>
      </c>
      <c r="F1713" t="s">
        <v>37</v>
      </c>
      <c r="G1713" t="s">
        <v>14</v>
      </c>
      <c r="H1713">
        <v>236942</v>
      </c>
      <c r="I1713">
        <v>243300</v>
      </c>
    </row>
    <row r="1714" spans="1:9" x14ac:dyDescent="0.3">
      <c r="A1714" t="s">
        <v>1746</v>
      </c>
      <c r="B1714">
        <v>45904</v>
      </c>
      <c r="C1714" t="s">
        <v>16</v>
      </c>
      <c r="D1714" t="s">
        <v>11</v>
      </c>
      <c r="E1714" t="s">
        <v>17</v>
      </c>
      <c r="F1714" t="s">
        <v>23</v>
      </c>
      <c r="G1714" t="s">
        <v>14</v>
      </c>
      <c r="H1714">
        <v>164622</v>
      </c>
      <c r="I1714">
        <v>173000</v>
      </c>
    </row>
    <row r="1715" spans="1:9" x14ac:dyDescent="0.3">
      <c r="A1715" t="s">
        <v>1747</v>
      </c>
      <c r="B1715">
        <v>45904</v>
      </c>
      <c r="C1715" t="s">
        <v>36</v>
      </c>
      <c r="D1715" t="s">
        <v>11</v>
      </c>
      <c r="E1715" t="s">
        <v>37</v>
      </c>
      <c r="F1715" t="s">
        <v>56</v>
      </c>
      <c r="G1715" t="s">
        <v>19</v>
      </c>
      <c r="H1715">
        <v>49569</v>
      </c>
      <c r="I1715">
        <v>55300</v>
      </c>
    </row>
    <row r="1716" spans="1:9" x14ac:dyDescent="0.3">
      <c r="A1716" t="s">
        <v>1748</v>
      </c>
      <c r="B1716">
        <v>45904</v>
      </c>
      <c r="C1716" t="s">
        <v>21</v>
      </c>
      <c r="D1716" t="s">
        <v>11</v>
      </c>
      <c r="E1716" t="s">
        <v>22</v>
      </c>
      <c r="F1716" t="s">
        <v>33</v>
      </c>
      <c r="G1716" t="s">
        <v>19</v>
      </c>
      <c r="H1716">
        <v>74199</v>
      </c>
      <c r="I1716">
        <v>92100</v>
      </c>
    </row>
    <row r="1717" spans="1:9" x14ac:dyDescent="0.3">
      <c r="A1717" t="s">
        <v>1749</v>
      </c>
      <c r="B1717">
        <v>45904</v>
      </c>
      <c r="C1717" t="s">
        <v>21</v>
      </c>
      <c r="D1717" t="s">
        <v>11</v>
      </c>
      <c r="E1717" t="s">
        <v>22</v>
      </c>
      <c r="F1717" t="s">
        <v>33</v>
      </c>
      <c r="G1717" t="s">
        <v>19</v>
      </c>
      <c r="H1717">
        <v>14821</v>
      </c>
      <c r="I1717">
        <v>17100</v>
      </c>
    </row>
    <row r="1718" spans="1:9" x14ac:dyDescent="0.3">
      <c r="A1718" t="s">
        <v>1750</v>
      </c>
      <c r="B1718">
        <v>45904</v>
      </c>
      <c r="C1718" t="s">
        <v>21</v>
      </c>
      <c r="D1718" t="s">
        <v>11</v>
      </c>
      <c r="E1718" t="s">
        <v>22</v>
      </c>
      <c r="F1718" t="s">
        <v>12</v>
      </c>
      <c r="G1718" t="s">
        <v>14</v>
      </c>
      <c r="H1718">
        <v>109931</v>
      </c>
      <c r="I1718">
        <v>103200</v>
      </c>
    </row>
    <row r="1719" spans="1:9" x14ac:dyDescent="0.3">
      <c r="A1719" t="s">
        <v>1751</v>
      </c>
      <c r="B1719">
        <v>45904</v>
      </c>
      <c r="C1719" t="s">
        <v>31</v>
      </c>
      <c r="D1719" t="s">
        <v>11</v>
      </c>
      <c r="E1719" t="s">
        <v>17</v>
      </c>
      <c r="F1719" t="s">
        <v>23</v>
      </c>
      <c r="G1719" t="s">
        <v>14</v>
      </c>
      <c r="H1719">
        <v>40594</v>
      </c>
      <c r="I1719">
        <v>36300</v>
      </c>
    </row>
    <row r="1720" spans="1:9" x14ac:dyDescent="0.3">
      <c r="A1720" t="s">
        <v>1752</v>
      </c>
      <c r="B1720">
        <v>45904</v>
      </c>
      <c r="C1720" t="s">
        <v>31</v>
      </c>
      <c r="D1720" t="s">
        <v>11</v>
      </c>
      <c r="E1720" t="s">
        <v>17</v>
      </c>
      <c r="F1720" t="s">
        <v>59</v>
      </c>
      <c r="G1720" t="s">
        <v>14</v>
      </c>
      <c r="H1720">
        <v>33451</v>
      </c>
      <c r="I1720">
        <v>34100</v>
      </c>
    </row>
    <row r="1721" spans="1:9" x14ac:dyDescent="0.3">
      <c r="A1721" t="s">
        <v>1753</v>
      </c>
      <c r="B1721">
        <v>45905</v>
      </c>
      <c r="C1721" t="s">
        <v>62</v>
      </c>
      <c r="D1721" t="s">
        <v>11</v>
      </c>
      <c r="E1721" t="s">
        <v>22</v>
      </c>
      <c r="F1721" t="s">
        <v>59</v>
      </c>
      <c r="G1721" t="s">
        <v>14</v>
      </c>
      <c r="H1721">
        <v>90959</v>
      </c>
      <c r="I1721">
        <v>95200</v>
      </c>
    </row>
    <row r="1722" spans="1:9" x14ac:dyDescent="0.3">
      <c r="A1722" t="s">
        <v>1754</v>
      </c>
      <c r="B1722">
        <v>45905</v>
      </c>
      <c r="C1722" t="s">
        <v>62</v>
      </c>
      <c r="D1722" t="s">
        <v>11</v>
      </c>
      <c r="E1722" t="s">
        <v>22</v>
      </c>
      <c r="F1722" t="s">
        <v>23</v>
      </c>
      <c r="G1722" t="s">
        <v>14</v>
      </c>
      <c r="H1722">
        <v>44625</v>
      </c>
      <c r="I1722">
        <v>50700</v>
      </c>
    </row>
    <row r="1723" spans="1:9" x14ac:dyDescent="0.3">
      <c r="A1723" t="s">
        <v>1755</v>
      </c>
      <c r="B1723">
        <v>45905</v>
      </c>
      <c r="C1723" t="s">
        <v>10</v>
      </c>
      <c r="D1723" t="s">
        <v>11</v>
      </c>
      <c r="E1723" t="s">
        <v>12</v>
      </c>
      <c r="F1723" t="s">
        <v>33</v>
      </c>
      <c r="G1723" t="s">
        <v>19</v>
      </c>
      <c r="H1723">
        <v>68828</v>
      </c>
      <c r="I1723">
        <v>71700</v>
      </c>
    </row>
    <row r="1724" spans="1:9" x14ac:dyDescent="0.3">
      <c r="A1724" t="s">
        <v>1756</v>
      </c>
      <c r="B1724">
        <v>45905</v>
      </c>
      <c r="C1724" t="s">
        <v>36</v>
      </c>
      <c r="D1724" t="s">
        <v>11</v>
      </c>
      <c r="E1724" t="s">
        <v>37</v>
      </c>
      <c r="F1724" t="s">
        <v>37</v>
      </c>
      <c r="G1724" t="s">
        <v>14</v>
      </c>
      <c r="H1724">
        <v>41989</v>
      </c>
      <c r="I1724">
        <v>42300</v>
      </c>
    </row>
    <row r="1725" spans="1:9" x14ac:dyDescent="0.3">
      <c r="A1725" t="s">
        <v>1757</v>
      </c>
      <c r="B1725">
        <v>45905</v>
      </c>
      <c r="C1725" t="s">
        <v>36</v>
      </c>
      <c r="D1725" t="s">
        <v>11</v>
      </c>
      <c r="E1725" t="s">
        <v>37</v>
      </c>
      <c r="F1725" t="s">
        <v>23</v>
      </c>
      <c r="G1725" t="s">
        <v>14</v>
      </c>
      <c r="H1725">
        <v>33356</v>
      </c>
      <c r="I1725">
        <v>34300</v>
      </c>
    </row>
    <row r="1726" spans="1:9" x14ac:dyDescent="0.3">
      <c r="A1726" t="s">
        <v>1758</v>
      </c>
      <c r="B1726">
        <v>45905</v>
      </c>
      <c r="C1726" t="s">
        <v>21</v>
      </c>
      <c r="D1726" t="s">
        <v>11</v>
      </c>
      <c r="E1726" t="s">
        <v>22</v>
      </c>
      <c r="F1726" t="s">
        <v>33</v>
      </c>
      <c r="G1726" t="s">
        <v>19</v>
      </c>
      <c r="H1726">
        <v>108719</v>
      </c>
      <c r="I1726">
        <v>114300</v>
      </c>
    </row>
    <row r="1727" spans="1:9" x14ac:dyDescent="0.3">
      <c r="A1727" t="s">
        <v>1759</v>
      </c>
      <c r="B1727">
        <v>45905</v>
      </c>
      <c r="C1727" t="s">
        <v>25</v>
      </c>
      <c r="D1727" t="s">
        <v>11</v>
      </c>
      <c r="E1727" t="s">
        <v>22</v>
      </c>
      <c r="F1727" t="s">
        <v>23</v>
      </c>
      <c r="G1727" t="s">
        <v>14</v>
      </c>
      <c r="H1727">
        <v>122633</v>
      </c>
      <c r="I1727">
        <v>115700</v>
      </c>
    </row>
    <row r="1728" spans="1:9" x14ac:dyDescent="0.3">
      <c r="A1728" t="s">
        <v>1760</v>
      </c>
      <c r="B1728">
        <v>45905</v>
      </c>
      <c r="C1728" t="s">
        <v>25</v>
      </c>
      <c r="D1728" t="s">
        <v>11</v>
      </c>
      <c r="E1728" t="s">
        <v>22</v>
      </c>
      <c r="F1728" t="s">
        <v>12</v>
      </c>
      <c r="G1728" t="s">
        <v>14</v>
      </c>
      <c r="H1728">
        <v>232828</v>
      </c>
      <c r="I1728">
        <v>205300</v>
      </c>
    </row>
    <row r="1729" spans="1:9" x14ac:dyDescent="0.3">
      <c r="A1729" t="s">
        <v>1761</v>
      </c>
      <c r="B1729">
        <v>45905</v>
      </c>
      <c r="C1729" t="s">
        <v>31</v>
      </c>
      <c r="D1729" t="s">
        <v>11</v>
      </c>
      <c r="E1729" t="s">
        <v>17</v>
      </c>
      <c r="F1729" t="s">
        <v>42</v>
      </c>
      <c r="G1729" t="s">
        <v>19</v>
      </c>
      <c r="H1729">
        <v>87395</v>
      </c>
      <c r="I1729">
        <v>88100</v>
      </c>
    </row>
    <row r="1730" spans="1:9" x14ac:dyDescent="0.3">
      <c r="A1730" t="s">
        <v>1762</v>
      </c>
      <c r="B1730">
        <v>45905</v>
      </c>
      <c r="C1730" t="s">
        <v>55</v>
      </c>
      <c r="D1730" t="s">
        <v>11</v>
      </c>
      <c r="E1730" t="s">
        <v>37</v>
      </c>
      <c r="F1730" t="s">
        <v>12</v>
      </c>
      <c r="G1730" t="s">
        <v>14</v>
      </c>
      <c r="H1730">
        <v>155059</v>
      </c>
      <c r="I1730">
        <v>146400</v>
      </c>
    </row>
    <row r="1731" spans="1:9" x14ac:dyDescent="0.3">
      <c r="A1731" t="s">
        <v>1763</v>
      </c>
      <c r="B1731">
        <v>45906</v>
      </c>
      <c r="C1731" t="s">
        <v>62</v>
      </c>
      <c r="D1731" t="s">
        <v>11</v>
      </c>
      <c r="E1731" t="s">
        <v>22</v>
      </c>
      <c r="F1731" t="s">
        <v>46</v>
      </c>
      <c r="G1731" t="s">
        <v>19</v>
      </c>
      <c r="H1731">
        <v>67150</v>
      </c>
      <c r="I1731">
        <v>73600</v>
      </c>
    </row>
    <row r="1732" spans="1:9" x14ac:dyDescent="0.3">
      <c r="A1732" t="s">
        <v>1764</v>
      </c>
      <c r="B1732">
        <v>45906</v>
      </c>
      <c r="C1732" t="s">
        <v>62</v>
      </c>
      <c r="D1732" t="s">
        <v>11</v>
      </c>
      <c r="E1732" t="s">
        <v>22</v>
      </c>
      <c r="F1732" t="s">
        <v>23</v>
      </c>
      <c r="G1732" t="s">
        <v>14</v>
      </c>
      <c r="H1732">
        <v>91790</v>
      </c>
      <c r="I1732">
        <v>91900</v>
      </c>
    </row>
    <row r="1733" spans="1:9" x14ac:dyDescent="0.3">
      <c r="A1733" t="s">
        <v>1765</v>
      </c>
      <c r="B1733">
        <v>45906</v>
      </c>
      <c r="C1733" t="s">
        <v>16</v>
      </c>
      <c r="D1733" t="s">
        <v>11</v>
      </c>
      <c r="E1733" t="s">
        <v>17</v>
      </c>
      <c r="F1733" t="s">
        <v>26</v>
      </c>
      <c r="G1733" t="s">
        <v>14</v>
      </c>
      <c r="H1733">
        <v>237921</v>
      </c>
      <c r="I1733">
        <v>259500</v>
      </c>
    </row>
    <row r="1734" spans="1:9" x14ac:dyDescent="0.3">
      <c r="A1734" t="s">
        <v>1766</v>
      </c>
      <c r="B1734">
        <v>45906</v>
      </c>
      <c r="C1734" t="s">
        <v>36</v>
      </c>
      <c r="D1734" t="s">
        <v>11</v>
      </c>
      <c r="E1734" t="s">
        <v>37</v>
      </c>
      <c r="F1734" t="s">
        <v>42</v>
      </c>
      <c r="G1734" t="s">
        <v>19</v>
      </c>
      <c r="H1734">
        <v>52991</v>
      </c>
      <c r="I1734">
        <v>57600</v>
      </c>
    </row>
    <row r="1735" spans="1:9" x14ac:dyDescent="0.3">
      <c r="A1735" t="s">
        <v>1767</v>
      </c>
      <c r="B1735">
        <v>45906</v>
      </c>
      <c r="C1735" t="s">
        <v>36</v>
      </c>
      <c r="D1735" t="s">
        <v>11</v>
      </c>
      <c r="E1735" t="s">
        <v>37</v>
      </c>
      <c r="F1735" t="s">
        <v>37</v>
      </c>
      <c r="G1735" t="s">
        <v>14</v>
      </c>
      <c r="H1735">
        <v>96971</v>
      </c>
      <c r="I1735">
        <v>98100</v>
      </c>
    </row>
    <row r="1736" spans="1:9" x14ac:dyDescent="0.3">
      <c r="A1736" t="s">
        <v>1768</v>
      </c>
      <c r="B1736">
        <v>45906</v>
      </c>
      <c r="C1736" t="s">
        <v>25</v>
      </c>
      <c r="D1736" t="s">
        <v>11</v>
      </c>
      <c r="E1736" t="s">
        <v>22</v>
      </c>
      <c r="F1736" t="s">
        <v>42</v>
      </c>
      <c r="G1736" t="s">
        <v>19</v>
      </c>
      <c r="H1736">
        <v>82352</v>
      </c>
      <c r="I1736">
        <v>80200</v>
      </c>
    </row>
    <row r="1737" spans="1:9" x14ac:dyDescent="0.3">
      <c r="A1737" t="s">
        <v>1769</v>
      </c>
      <c r="B1737">
        <v>45906</v>
      </c>
      <c r="C1737" t="s">
        <v>25</v>
      </c>
      <c r="D1737" t="s">
        <v>11</v>
      </c>
      <c r="E1737" t="s">
        <v>22</v>
      </c>
      <c r="F1737" t="s">
        <v>23</v>
      </c>
      <c r="G1737" t="s">
        <v>14</v>
      </c>
      <c r="H1737">
        <v>219597</v>
      </c>
      <c r="I1737">
        <v>212900</v>
      </c>
    </row>
    <row r="1738" spans="1:9" x14ac:dyDescent="0.3">
      <c r="A1738" t="s">
        <v>1770</v>
      </c>
      <c r="B1738">
        <v>45907</v>
      </c>
      <c r="C1738" t="s">
        <v>62</v>
      </c>
      <c r="D1738" t="s">
        <v>11</v>
      </c>
      <c r="E1738" t="s">
        <v>22</v>
      </c>
      <c r="F1738" t="s">
        <v>12</v>
      </c>
      <c r="G1738" t="s">
        <v>14</v>
      </c>
      <c r="H1738">
        <v>102326</v>
      </c>
      <c r="I1738">
        <v>100200</v>
      </c>
    </row>
    <row r="1739" spans="1:9" x14ac:dyDescent="0.3">
      <c r="A1739" t="s">
        <v>1771</v>
      </c>
      <c r="B1739">
        <v>45907</v>
      </c>
      <c r="C1739" t="s">
        <v>16</v>
      </c>
      <c r="D1739" t="s">
        <v>11</v>
      </c>
      <c r="E1739" t="s">
        <v>17</v>
      </c>
      <c r="F1739" t="s">
        <v>37</v>
      </c>
      <c r="G1739" t="s">
        <v>14</v>
      </c>
      <c r="H1739">
        <v>160815</v>
      </c>
      <c r="I1739">
        <v>178200</v>
      </c>
    </row>
    <row r="1740" spans="1:9" x14ac:dyDescent="0.3">
      <c r="A1740" t="s">
        <v>1772</v>
      </c>
      <c r="B1740">
        <v>45907</v>
      </c>
      <c r="C1740" t="s">
        <v>16</v>
      </c>
      <c r="D1740" t="s">
        <v>11</v>
      </c>
      <c r="E1740" t="s">
        <v>17</v>
      </c>
      <c r="F1740" t="s">
        <v>37</v>
      </c>
      <c r="G1740" t="s">
        <v>14</v>
      </c>
      <c r="H1740">
        <v>221042</v>
      </c>
      <c r="I1740">
        <v>180700</v>
      </c>
    </row>
    <row r="1741" spans="1:9" x14ac:dyDescent="0.3">
      <c r="A1741" t="s">
        <v>1773</v>
      </c>
      <c r="B1741">
        <v>45907</v>
      </c>
      <c r="C1741" t="s">
        <v>21</v>
      </c>
      <c r="D1741" t="s">
        <v>11</v>
      </c>
      <c r="E1741" t="s">
        <v>22</v>
      </c>
      <c r="F1741" t="s">
        <v>37</v>
      </c>
      <c r="G1741" t="s">
        <v>14</v>
      </c>
      <c r="H1741">
        <v>34172</v>
      </c>
      <c r="I1741">
        <v>33900</v>
      </c>
    </row>
    <row r="1742" spans="1:9" x14ac:dyDescent="0.3">
      <c r="A1742" t="s">
        <v>1774</v>
      </c>
      <c r="B1742">
        <v>45907</v>
      </c>
      <c r="C1742" t="s">
        <v>55</v>
      </c>
      <c r="D1742" t="s">
        <v>11</v>
      </c>
      <c r="E1742" t="s">
        <v>37</v>
      </c>
      <c r="F1742" t="s">
        <v>46</v>
      </c>
      <c r="G1742" t="s">
        <v>19</v>
      </c>
      <c r="H1742">
        <v>91099</v>
      </c>
      <c r="I1742">
        <v>109000</v>
      </c>
    </row>
    <row r="1743" spans="1:9" x14ac:dyDescent="0.3">
      <c r="A1743" t="s">
        <v>1775</v>
      </c>
      <c r="B1743">
        <v>45907</v>
      </c>
      <c r="C1743" t="s">
        <v>55</v>
      </c>
      <c r="D1743" t="s">
        <v>11</v>
      </c>
      <c r="E1743" t="s">
        <v>37</v>
      </c>
      <c r="F1743" t="s">
        <v>33</v>
      </c>
      <c r="G1743" t="s">
        <v>19</v>
      </c>
      <c r="H1743">
        <v>87751</v>
      </c>
      <c r="I1743">
        <v>88700</v>
      </c>
    </row>
    <row r="1744" spans="1:9" x14ac:dyDescent="0.3">
      <c r="A1744" t="s">
        <v>1776</v>
      </c>
      <c r="B1744">
        <v>45907</v>
      </c>
      <c r="C1744" t="s">
        <v>55</v>
      </c>
      <c r="D1744" t="s">
        <v>11</v>
      </c>
      <c r="E1744" t="s">
        <v>37</v>
      </c>
      <c r="F1744" t="s">
        <v>33</v>
      </c>
      <c r="G1744" t="s">
        <v>19</v>
      </c>
      <c r="H1744">
        <v>31978</v>
      </c>
      <c r="I1744">
        <v>29200</v>
      </c>
    </row>
    <row r="1745" spans="1:9" x14ac:dyDescent="0.3">
      <c r="A1745" t="s">
        <v>1777</v>
      </c>
      <c r="B1745">
        <v>45908</v>
      </c>
      <c r="C1745" t="s">
        <v>62</v>
      </c>
      <c r="D1745" t="s">
        <v>11</v>
      </c>
      <c r="E1745" t="s">
        <v>22</v>
      </c>
      <c r="F1745" t="s">
        <v>39</v>
      </c>
      <c r="G1745" t="s">
        <v>19</v>
      </c>
      <c r="H1745">
        <v>86859</v>
      </c>
      <c r="I1745">
        <v>61900</v>
      </c>
    </row>
    <row r="1746" spans="1:9" x14ac:dyDescent="0.3">
      <c r="A1746" t="s">
        <v>1778</v>
      </c>
      <c r="B1746">
        <v>45908</v>
      </c>
      <c r="C1746" t="s">
        <v>21</v>
      </c>
      <c r="D1746" t="s">
        <v>11</v>
      </c>
      <c r="E1746" t="s">
        <v>22</v>
      </c>
      <c r="F1746" t="s">
        <v>42</v>
      </c>
      <c r="G1746" t="s">
        <v>19</v>
      </c>
      <c r="H1746">
        <v>53672</v>
      </c>
      <c r="I1746">
        <v>49600</v>
      </c>
    </row>
    <row r="1747" spans="1:9" x14ac:dyDescent="0.3">
      <c r="A1747" t="s">
        <v>1779</v>
      </c>
      <c r="B1747">
        <v>45908</v>
      </c>
      <c r="C1747" t="s">
        <v>25</v>
      </c>
      <c r="D1747" t="s">
        <v>11</v>
      </c>
      <c r="E1747" t="s">
        <v>22</v>
      </c>
      <c r="F1747" t="s">
        <v>33</v>
      </c>
      <c r="G1747" t="s">
        <v>19</v>
      </c>
      <c r="H1747">
        <v>96630</v>
      </c>
      <c r="I1747">
        <v>112100</v>
      </c>
    </row>
    <row r="1748" spans="1:9" x14ac:dyDescent="0.3">
      <c r="A1748" t="s">
        <v>1780</v>
      </c>
      <c r="B1748">
        <v>45909</v>
      </c>
      <c r="C1748" t="s">
        <v>62</v>
      </c>
      <c r="D1748" t="s">
        <v>11</v>
      </c>
      <c r="E1748" t="s">
        <v>22</v>
      </c>
      <c r="F1748" t="s">
        <v>56</v>
      </c>
      <c r="G1748" t="s">
        <v>19</v>
      </c>
      <c r="H1748">
        <v>108719</v>
      </c>
      <c r="I1748">
        <v>106000</v>
      </c>
    </row>
    <row r="1749" spans="1:9" x14ac:dyDescent="0.3">
      <c r="A1749" t="s">
        <v>1781</v>
      </c>
      <c r="B1749">
        <v>45909</v>
      </c>
      <c r="C1749" t="s">
        <v>10</v>
      </c>
      <c r="D1749" t="s">
        <v>11</v>
      </c>
      <c r="E1749" t="s">
        <v>12</v>
      </c>
      <c r="F1749" t="s">
        <v>59</v>
      </c>
      <c r="G1749" t="s">
        <v>14</v>
      </c>
      <c r="H1749">
        <v>186145</v>
      </c>
      <c r="I1749">
        <v>164700</v>
      </c>
    </row>
    <row r="1750" spans="1:9" x14ac:dyDescent="0.3">
      <c r="A1750" t="s">
        <v>1782</v>
      </c>
      <c r="B1750">
        <v>45909</v>
      </c>
      <c r="C1750" t="s">
        <v>16</v>
      </c>
      <c r="D1750" t="s">
        <v>11</v>
      </c>
      <c r="E1750" t="s">
        <v>17</v>
      </c>
      <c r="F1750" t="s">
        <v>46</v>
      </c>
      <c r="G1750" t="s">
        <v>19</v>
      </c>
      <c r="H1750">
        <v>29284</v>
      </c>
      <c r="I1750">
        <v>33900</v>
      </c>
    </row>
    <row r="1751" spans="1:9" x14ac:dyDescent="0.3">
      <c r="A1751" t="s">
        <v>1783</v>
      </c>
      <c r="B1751">
        <v>45909</v>
      </c>
      <c r="C1751" t="s">
        <v>36</v>
      </c>
      <c r="D1751" t="s">
        <v>11</v>
      </c>
      <c r="E1751" t="s">
        <v>37</v>
      </c>
      <c r="F1751" t="s">
        <v>42</v>
      </c>
      <c r="G1751" t="s">
        <v>19</v>
      </c>
      <c r="H1751">
        <v>53895</v>
      </c>
      <c r="I1751">
        <v>56700</v>
      </c>
    </row>
    <row r="1752" spans="1:9" x14ac:dyDescent="0.3">
      <c r="A1752" t="s">
        <v>1784</v>
      </c>
      <c r="B1752">
        <v>45909</v>
      </c>
      <c r="C1752" t="s">
        <v>31</v>
      </c>
      <c r="D1752" t="s">
        <v>11</v>
      </c>
      <c r="E1752" t="s">
        <v>17</v>
      </c>
      <c r="F1752" t="s">
        <v>33</v>
      </c>
      <c r="G1752" t="s">
        <v>19</v>
      </c>
      <c r="H1752">
        <v>52640</v>
      </c>
      <c r="I1752">
        <v>50600</v>
      </c>
    </row>
    <row r="1753" spans="1:9" x14ac:dyDescent="0.3">
      <c r="A1753" t="s">
        <v>1785</v>
      </c>
      <c r="B1753">
        <v>45909</v>
      </c>
      <c r="C1753" t="s">
        <v>31</v>
      </c>
      <c r="D1753" t="s">
        <v>11</v>
      </c>
      <c r="E1753" t="s">
        <v>17</v>
      </c>
      <c r="F1753" t="s">
        <v>37</v>
      </c>
      <c r="G1753" t="s">
        <v>14</v>
      </c>
      <c r="H1753">
        <v>62589</v>
      </c>
      <c r="I1753">
        <v>70500</v>
      </c>
    </row>
    <row r="1754" spans="1:9" x14ac:dyDescent="0.3">
      <c r="A1754" t="s">
        <v>1786</v>
      </c>
      <c r="B1754">
        <v>45909</v>
      </c>
      <c r="C1754" t="s">
        <v>55</v>
      </c>
      <c r="D1754" t="s">
        <v>11</v>
      </c>
      <c r="E1754" t="s">
        <v>37</v>
      </c>
      <c r="F1754" t="s">
        <v>42</v>
      </c>
      <c r="G1754" t="s">
        <v>19</v>
      </c>
      <c r="H1754">
        <v>77749</v>
      </c>
      <c r="I1754">
        <v>68400</v>
      </c>
    </row>
    <row r="1755" spans="1:9" x14ac:dyDescent="0.3">
      <c r="A1755" t="s">
        <v>1787</v>
      </c>
      <c r="B1755">
        <v>45910</v>
      </c>
      <c r="C1755" t="s">
        <v>62</v>
      </c>
      <c r="D1755" t="s">
        <v>11</v>
      </c>
      <c r="E1755" t="s">
        <v>22</v>
      </c>
      <c r="F1755" t="s">
        <v>23</v>
      </c>
      <c r="G1755" t="s">
        <v>14</v>
      </c>
      <c r="H1755">
        <v>231895</v>
      </c>
      <c r="I1755">
        <v>234800</v>
      </c>
    </row>
    <row r="1756" spans="1:9" x14ac:dyDescent="0.3">
      <c r="A1756" t="s">
        <v>1788</v>
      </c>
      <c r="B1756">
        <v>45910</v>
      </c>
      <c r="C1756" t="s">
        <v>62</v>
      </c>
      <c r="D1756" t="s">
        <v>11</v>
      </c>
      <c r="E1756" t="s">
        <v>22</v>
      </c>
      <c r="F1756" t="s">
        <v>59</v>
      </c>
      <c r="G1756" t="s">
        <v>14</v>
      </c>
      <c r="H1756">
        <v>152065</v>
      </c>
      <c r="I1756">
        <v>130600</v>
      </c>
    </row>
    <row r="1757" spans="1:9" x14ac:dyDescent="0.3">
      <c r="A1757" t="s">
        <v>1789</v>
      </c>
      <c r="B1757">
        <v>45910</v>
      </c>
      <c r="C1757" t="s">
        <v>16</v>
      </c>
      <c r="D1757" t="s">
        <v>11</v>
      </c>
      <c r="E1757" t="s">
        <v>17</v>
      </c>
      <c r="F1757" t="s">
        <v>46</v>
      </c>
      <c r="G1757" t="s">
        <v>19</v>
      </c>
      <c r="H1757">
        <v>116235</v>
      </c>
      <c r="I1757">
        <v>107100</v>
      </c>
    </row>
    <row r="1758" spans="1:9" x14ac:dyDescent="0.3">
      <c r="A1758" t="s">
        <v>1790</v>
      </c>
      <c r="B1758">
        <v>45910</v>
      </c>
      <c r="C1758" t="s">
        <v>16</v>
      </c>
      <c r="D1758" t="s">
        <v>11</v>
      </c>
      <c r="E1758" t="s">
        <v>17</v>
      </c>
      <c r="F1758" t="s">
        <v>18</v>
      </c>
      <c r="G1758" t="s">
        <v>19</v>
      </c>
      <c r="H1758">
        <v>84579</v>
      </c>
      <c r="I1758">
        <v>70900</v>
      </c>
    </row>
    <row r="1759" spans="1:9" x14ac:dyDescent="0.3">
      <c r="A1759" t="s">
        <v>1791</v>
      </c>
      <c r="B1759">
        <v>45910</v>
      </c>
      <c r="C1759" t="s">
        <v>16</v>
      </c>
      <c r="D1759" t="s">
        <v>11</v>
      </c>
      <c r="E1759" t="s">
        <v>17</v>
      </c>
      <c r="F1759" t="s">
        <v>23</v>
      </c>
      <c r="G1759" t="s">
        <v>14</v>
      </c>
      <c r="H1759">
        <v>67545</v>
      </c>
      <c r="I1759">
        <v>63500</v>
      </c>
    </row>
    <row r="1760" spans="1:9" x14ac:dyDescent="0.3">
      <c r="A1760" t="s">
        <v>1792</v>
      </c>
      <c r="B1760">
        <v>45910</v>
      </c>
      <c r="C1760" t="s">
        <v>16</v>
      </c>
      <c r="D1760" t="s">
        <v>11</v>
      </c>
      <c r="E1760" t="s">
        <v>17</v>
      </c>
      <c r="F1760" t="s">
        <v>26</v>
      </c>
      <c r="G1760" t="s">
        <v>14</v>
      </c>
      <c r="H1760">
        <v>246096</v>
      </c>
      <c r="I1760">
        <v>235500</v>
      </c>
    </row>
    <row r="1761" spans="1:9" x14ac:dyDescent="0.3">
      <c r="A1761" t="s">
        <v>1793</v>
      </c>
      <c r="B1761">
        <v>45910</v>
      </c>
      <c r="C1761" t="s">
        <v>31</v>
      </c>
      <c r="D1761" t="s">
        <v>11</v>
      </c>
      <c r="E1761" t="s">
        <v>17</v>
      </c>
      <c r="F1761" t="s">
        <v>33</v>
      </c>
      <c r="G1761" t="s">
        <v>19</v>
      </c>
      <c r="H1761">
        <v>54258</v>
      </c>
      <c r="I1761">
        <v>49600</v>
      </c>
    </row>
    <row r="1762" spans="1:9" x14ac:dyDescent="0.3">
      <c r="A1762" t="s">
        <v>1794</v>
      </c>
      <c r="B1762">
        <v>45910</v>
      </c>
      <c r="C1762" t="s">
        <v>31</v>
      </c>
      <c r="D1762" t="s">
        <v>11</v>
      </c>
      <c r="E1762" t="s">
        <v>17</v>
      </c>
      <c r="F1762" t="s">
        <v>37</v>
      </c>
      <c r="G1762" t="s">
        <v>14</v>
      </c>
      <c r="H1762">
        <v>236929</v>
      </c>
      <c r="I1762">
        <v>253300</v>
      </c>
    </row>
    <row r="1763" spans="1:9" x14ac:dyDescent="0.3">
      <c r="A1763" t="s">
        <v>1795</v>
      </c>
      <c r="B1763">
        <v>45911</v>
      </c>
      <c r="C1763" t="s">
        <v>16</v>
      </c>
      <c r="D1763" t="s">
        <v>11</v>
      </c>
      <c r="E1763" t="s">
        <v>17</v>
      </c>
      <c r="F1763" t="s">
        <v>39</v>
      </c>
      <c r="G1763" t="s">
        <v>19</v>
      </c>
      <c r="H1763">
        <v>80456</v>
      </c>
      <c r="I1763">
        <v>87200</v>
      </c>
    </row>
    <row r="1764" spans="1:9" x14ac:dyDescent="0.3">
      <c r="A1764" t="s">
        <v>1796</v>
      </c>
      <c r="B1764">
        <v>45911</v>
      </c>
      <c r="C1764" t="s">
        <v>21</v>
      </c>
      <c r="D1764" t="s">
        <v>11</v>
      </c>
      <c r="E1764" t="s">
        <v>22</v>
      </c>
      <c r="F1764" t="s">
        <v>23</v>
      </c>
      <c r="G1764" t="s">
        <v>14</v>
      </c>
      <c r="H1764">
        <v>182817</v>
      </c>
      <c r="I1764">
        <v>198000</v>
      </c>
    </row>
    <row r="1765" spans="1:9" x14ac:dyDescent="0.3">
      <c r="A1765" t="s">
        <v>1797</v>
      </c>
      <c r="B1765">
        <v>45911</v>
      </c>
      <c r="C1765" t="s">
        <v>25</v>
      </c>
      <c r="D1765" t="s">
        <v>11</v>
      </c>
      <c r="E1765" t="s">
        <v>22</v>
      </c>
      <c r="F1765" t="s">
        <v>18</v>
      </c>
      <c r="G1765" t="s">
        <v>19</v>
      </c>
      <c r="H1765">
        <v>111456</v>
      </c>
      <c r="I1765">
        <v>93000</v>
      </c>
    </row>
    <row r="1766" spans="1:9" x14ac:dyDescent="0.3">
      <c r="A1766" t="s">
        <v>1798</v>
      </c>
      <c r="B1766">
        <v>45911</v>
      </c>
      <c r="C1766" t="s">
        <v>25</v>
      </c>
      <c r="D1766" t="s">
        <v>11</v>
      </c>
      <c r="E1766" t="s">
        <v>22</v>
      </c>
      <c r="F1766" t="s">
        <v>37</v>
      </c>
      <c r="G1766" t="s">
        <v>14</v>
      </c>
      <c r="H1766">
        <v>51916</v>
      </c>
      <c r="I1766">
        <v>48500</v>
      </c>
    </row>
    <row r="1767" spans="1:9" x14ac:dyDescent="0.3">
      <c r="A1767" t="s">
        <v>1799</v>
      </c>
      <c r="B1767">
        <v>45911</v>
      </c>
      <c r="C1767" t="s">
        <v>55</v>
      </c>
      <c r="D1767" t="s">
        <v>11</v>
      </c>
      <c r="E1767" t="s">
        <v>37</v>
      </c>
      <c r="F1767" t="s">
        <v>39</v>
      </c>
      <c r="G1767" t="s">
        <v>19</v>
      </c>
      <c r="H1767">
        <v>34233</v>
      </c>
      <c r="I1767">
        <v>40700</v>
      </c>
    </row>
    <row r="1768" spans="1:9" x14ac:dyDescent="0.3">
      <c r="A1768" t="s">
        <v>1800</v>
      </c>
      <c r="B1768">
        <v>45911</v>
      </c>
      <c r="C1768" t="s">
        <v>55</v>
      </c>
      <c r="D1768" t="s">
        <v>11</v>
      </c>
      <c r="E1768" t="s">
        <v>37</v>
      </c>
      <c r="F1768" t="s">
        <v>33</v>
      </c>
      <c r="G1768" t="s">
        <v>19</v>
      </c>
      <c r="H1768">
        <v>115656</v>
      </c>
      <c r="I1768">
        <v>114200</v>
      </c>
    </row>
    <row r="1769" spans="1:9" x14ac:dyDescent="0.3">
      <c r="A1769" t="s">
        <v>1801</v>
      </c>
      <c r="B1769">
        <v>45912</v>
      </c>
      <c r="C1769" t="s">
        <v>62</v>
      </c>
      <c r="D1769" t="s">
        <v>11</v>
      </c>
      <c r="E1769" t="s">
        <v>22</v>
      </c>
      <c r="F1769" t="s">
        <v>26</v>
      </c>
      <c r="G1769" t="s">
        <v>14</v>
      </c>
      <c r="H1769">
        <v>106320</v>
      </c>
      <c r="I1769">
        <v>87500</v>
      </c>
    </row>
    <row r="1770" spans="1:9" x14ac:dyDescent="0.3">
      <c r="A1770" t="s">
        <v>1802</v>
      </c>
      <c r="B1770">
        <v>45912</v>
      </c>
      <c r="C1770" t="s">
        <v>10</v>
      </c>
      <c r="D1770" t="s">
        <v>11</v>
      </c>
      <c r="E1770" t="s">
        <v>12</v>
      </c>
      <c r="F1770" t="s">
        <v>33</v>
      </c>
      <c r="G1770" t="s">
        <v>19</v>
      </c>
      <c r="H1770">
        <v>86828</v>
      </c>
      <c r="I1770">
        <v>91900</v>
      </c>
    </row>
    <row r="1771" spans="1:9" x14ac:dyDescent="0.3">
      <c r="A1771" t="s">
        <v>1803</v>
      </c>
      <c r="B1771">
        <v>45912</v>
      </c>
      <c r="C1771" t="s">
        <v>16</v>
      </c>
      <c r="D1771" t="s">
        <v>11</v>
      </c>
      <c r="E1771" t="s">
        <v>17</v>
      </c>
      <c r="F1771" t="s">
        <v>18</v>
      </c>
      <c r="G1771" t="s">
        <v>19</v>
      </c>
      <c r="H1771">
        <v>109495</v>
      </c>
      <c r="I1771">
        <v>106200</v>
      </c>
    </row>
    <row r="1772" spans="1:9" x14ac:dyDescent="0.3">
      <c r="A1772" t="s">
        <v>1804</v>
      </c>
      <c r="B1772">
        <v>45912</v>
      </c>
      <c r="C1772" t="s">
        <v>16</v>
      </c>
      <c r="D1772" t="s">
        <v>11</v>
      </c>
      <c r="E1772" t="s">
        <v>17</v>
      </c>
      <c r="F1772" t="s">
        <v>23</v>
      </c>
      <c r="G1772" t="s">
        <v>14</v>
      </c>
      <c r="H1772">
        <v>31297</v>
      </c>
      <c r="I1772">
        <v>33100</v>
      </c>
    </row>
    <row r="1773" spans="1:9" x14ac:dyDescent="0.3">
      <c r="A1773" t="s">
        <v>1805</v>
      </c>
      <c r="B1773">
        <v>45912</v>
      </c>
      <c r="C1773" t="s">
        <v>36</v>
      </c>
      <c r="D1773" t="s">
        <v>11</v>
      </c>
      <c r="E1773" t="s">
        <v>37</v>
      </c>
      <c r="F1773" t="s">
        <v>18</v>
      </c>
      <c r="G1773" t="s">
        <v>19</v>
      </c>
      <c r="H1773">
        <v>21017</v>
      </c>
      <c r="I1773">
        <v>19100</v>
      </c>
    </row>
    <row r="1774" spans="1:9" x14ac:dyDescent="0.3">
      <c r="A1774" t="s">
        <v>1806</v>
      </c>
      <c r="B1774">
        <v>45912</v>
      </c>
      <c r="C1774" t="s">
        <v>21</v>
      </c>
      <c r="D1774" t="s">
        <v>11</v>
      </c>
      <c r="E1774" t="s">
        <v>22</v>
      </c>
      <c r="F1774" t="s">
        <v>39</v>
      </c>
      <c r="G1774" t="s">
        <v>19</v>
      </c>
      <c r="H1774">
        <v>92794</v>
      </c>
      <c r="I1774">
        <v>81700</v>
      </c>
    </row>
    <row r="1775" spans="1:9" x14ac:dyDescent="0.3">
      <c r="A1775" t="s">
        <v>1807</v>
      </c>
      <c r="B1775">
        <v>45913</v>
      </c>
      <c r="C1775" t="s">
        <v>62</v>
      </c>
      <c r="D1775" t="s">
        <v>11</v>
      </c>
      <c r="E1775" t="s">
        <v>22</v>
      </c>
      <c r="F1775" t="s">
        <v>56</v>
      </c>
      <c r="G1775" t="s">
        <v>19</v>
      </c>
      <c r="H1775">
        <v>95554</v>
      </c>
      <c r="I1775">
        <v>88500</v>
      </c>
    </row>
    <row r="1776" spans="1:9" x14ac:dyDescent="0.3">
      <c r="A1776" t="s">
        <v>1808</v>
      </c>
      <c r="B1776">
        <v>45913</v>
      </c>
      <c r="C1776" t="s">
        <v>62</v>
      </c>
      <c r="D1776" t="s">
        <v>11</v>
      </c>
      <c r="E1776" t="s">
        <v>22</v>
      </c>
      <c r="F1776" t="s">
        <v>12</v>
      </c>
      <c r="G1776" t="s">
        <v>14</v>
      </c>
      <c r="H1776">
        <v>106224</v>
      </c>
      <c r="I1776">
        <v>110300</v>
      </c>
    </row>
    <row r="1777" spans="1:9" x14ac:dyDescent="0.3">
      <c r="A1777" t="s">
        <v>1809</v>
      </c>
      <c r="B1777">
        <v>45913</v>
      </c>
      <c r="C1777" t="s">
        <v>62</v>
      </c>
      <c r="D1777" t="s">
        <v>11</v>
      </c>
      <c r="E1777" t="s">
        <v>22</v>
      </c>
      <c r="F1777" t="s">
        <v>12</v>
      </c>
      <c r="G1777" t="s">
        <v>14</v>
      </c>
      <c r="H1777">
        <v>233034</v>
      </c>
      <c r="I1777">
        <v>246600</v>
      </c>
    </row>
    <row r="1778" spans="1:9" x14ac:dyDescent="0.3">
      <c r="A1778" t="s">
        <v>1810</v>
      </c>
      <c r="B1778">
        <v>45913</v>
      </c>
      <c r="C1778" t="s">
        <v>62</v>
      </c>
      <c r="D1778" t="s">
        <v>11</v>
      </c>
      <c r="E1778" t="s">
        <v>22</v>
      </c>
      <c r="F1778" t="s">
        <v>13</v>
      </c>
      <c r="G1778" t="s">
        <v>14</v>
      </c>
      <c r="H1778">
        <v>243999</v>
      </c>
      <c r="I1778">
        <v>238400</v>
      </c>
    </row>
    <row r="1779" spans="1:9" x14ac:dyDescent="0.3">
      <c r="A1779" t="s">
        <v>1811</v>
      </c>
      <c r="B1779">
        <v>45913</v>
      </c>
      <c r="C1779" t="s">
        <v>10</v>
      </c>
      <c r="D1779" t="s">
        <v>11</v>
      </c>
      <c r="E1779" t="s">
        <v>12</v>
      </c>
      <c r="F1779" t="s">
        <v>18</v>
      </c>
      <c r="G1779" t="s">
        <v>19</v>
      </c>
      <c r="H1779">
        <v>71603</v>
      </c>
      <c r="I1779">
        <v>76800</v>
      </c>
    </row>
    <row r="1780" spans="1:9" x14ac:dyDescent="0.3">
      <c r="A1780" t="s">
        <v>1812</v>
      </c>
      <c r="B1780">
        <v>45913</v>
      </c>
      <c r="C1780" t="s">
        <v>16</v>
      </c>
      <c r="D1780" t="s">
        <v>11</v>
      </c>
      <c r="E1780" t="s">
        <v>17</v>
      </c>
      <c r="F1780" t="s">
        <v>37</v>
      </c>
      <c r="G1780" t="s">
        <v>14</v>
      </c>
      <c r="H1780">
        <v>164879</v>
      </c>
      <c r="I1780">
        <v>150600</v>
      </c>
    </row>
    <row r="1781" spans="1:9" x14ac:dyDescent="0.3">
      <c r="A1781" t="s">
        <v>1813</v>
      </c>
      <c r="B1781">
        <v>45913</v>
      </c>
      <c r="C1781" t="s">
        <v>25</v>
      </c>
      <c r="D1781" t="s">
        <v>11</v>
      </c>
      <c r="E1781" t="s">
        <v>22</v>
      </c>
      <c r="F1781" t="s">
        <v>26</v>
      </c>
      <c r="G1781" t="s">
        <v>14</v>
      </c>
      <c r="H1781">
        <v>122864</v>
      </c>
      <c r="I1781">
        <v>118900</v>
      </c>
    </row>
    <row r="1782" spans="1:9" x14ac:dyDescent="0.3">
      <c r="A1782" t="s">
        <v>1814</v>
      </c>
      <c r="B1782">
        <v>45914</v>
      </c>
      <c r="C1782" t="s">
        <v>55</v>
      </c>
      <c r="D1782" t="s">
        <v>11</v>
      </c>
      <c r="E1782" t="s">
        <v>37</v>
      </c>
      <c r="F1782" t="s">
        <v>26</v>
      </c>
      <c r="G1782" t="s">
        <v>14</v>
      </c>
      <c r="H1782">
        <v>132535</v>
      </c>
      <c r="I1782">
        <v>109100</v>
      </c>
    </row>
    <row r="1783" spans="1:9" x14ac:dyDescent="0.3">
      <c r="A1783" t="s">
        <v>1815</v>
      </c>
      <c r="B1783">
        <v>45915</v>
      </c>
      <c r="C1783" t="s">
        <v>62</v>
      </c>
      <c r="D1783" t="s">
        <v>11</v>
      </c>
      <c r="E1783" t="s">
        <v>22</v>
      </c>
      <c r="F1783" t="s">
        <v>23</v>
      </c>
      <c r="G1783" t="s">
        <v>14</v>
      </c>
      <c r="H1783">
        <v>85054</v>
      </c>
      <c r="I1783">
        <v>81200</v>
      </c>
    </row>
    <row r="1784" spans="1:9" x14ac:dyDescent="0.3">
      <c r="A1784" t="s">
        <v>1816</v>
      </c>
      <c r="B1784">
        <v>45915</v>
      </c>
      <c r="C1784" t="s">
        <v>10</v>
      </c>
      <c r="D1784" t="s">
        <v>11</v>
      </c>
      <c r="E1784" t="s">
        <v>12</v>
      </c>
      <c r="F1784" t="s">
        <v>37</v>
      </c>
      <c r="G1784" t="s">
        <v>14</v>
      </c>
      <c r="H1784">
        <v>118956</v>
      </c>
      <c r="I1784">
        <v>99400</v>
      </c>
    </row>
    <row r="1785" spans="1:9" x14ac:dyDescent="0.3">
      <c r="A1785" t="s">
        <v>1817</v>
      </c>
      <c r="B1785">
        <v>45915</v>
      </c>
      <c r="C1785" t="s">
        <v>36</v>
      </c>
      <c r="D1785" t="s">
        <v>11</v>
      </c>
      <c r="E1785" t="s">
        <v>37</v>
      </c>
      <c r="F1785" t="s">
        <v>46</v>
      </c>
      <c r="G1785" t="s">
        <v>19</v>
      </c>
      <c r="H1785">
        <v>118354</v>
      </c>
      <c r="I1785">
        <v>101300</v>
      </c>
    </row>
    <row r="1786" spans="1:9" x14ac:dyDescent="0.3">
      <c r="A1786" t="s">
        <v>1818</v>
      </c>
      <c r="B1786">
        <v>45915</v>
      </c>
      <c r="C1786" t="s">
        <v>36</v>
      </c>
      <c r="D1786" t="s">
        <v>11</v>
      </c>
      <c r="E1786" t="s">
        <v>37</v>
      </c>
      <c r="F1786" t="s">
        <v>33</v>
      </c>
      <c r="G1786" t="s">
        <v>19</v>
      </c>
      <c r="H1786">
        <v>15928</v>
      </c>
      <c r="I1786">
        <v>15600</v>
      </c>
    </row>
    <row r="1787" spans="1:9" x14ac:dyDescent="0.3">
      <c r="A1787" t="s">
        <v>1819</v>
      </c>
      <c r="B1787">
        <v>45915</v>
      </c>
      <c r="C1787" t="s">
        <v>21</v>
      </c>
      <c r="D1787" t="s">
        <v>11</v>
      </c>
      <c r="E1787" t="s">
        <v>22</v>
      </c>
      <c r="F1787" t="s">
        <v>39</v>
      </c>
      <c r="G1787" t="s">
        <v>19</v>
      </c>
      <c r="H1787">
        <v>21921</v>
      </c>
      <c r="I1787">
        <v>22300</v>
      </c>
    </row>
    <row r="1788" spans="1:9" x14ac:dyDescent="0.3">
      <c r="A1788" t="s">
        <v>1820</v>
      </c>
      <c r="B1788">
        <v>45915</v>
      </c>
      <c r="C1788" t="s">
        <v>25</v>
      </c>
      <c r="D1788" t="s">
        <v>11</v>
      </c>
      <c r="E1788" t="s">
        <v>22</v>
      </c>
      <c r="F1788" t="s">
        <v>56</v>
      </c>
      <c r="G1788" t="s">
        <v>19</v>
      </c>
      <c r="H1788">
        <v>105539</v>
      </c>
      <c r="I1788">
        <v>124000</v>
      </c>
    </row>
    <row r="1789" spans="1:9" x14ac:dyDescent="0.3">
      <c r="A1789" t="s">
        <v>1821</v>
      </c>
      <c r="B1789">
        <v>45915</v>
      </c>
      <c r="C1789" t="s">
        <v>31</v>
      </c>
      <c r="D1789" t="s">
        <v>11</v>
      </c>
      <c r="E1789" t="s">
        <v>17</v>
      </c>
      <c r="F1789" t="s">
        <v>18</v>
      </c>
      <c r="G1789" t="s">
        <v>19</v>
      </c>
      <c r="H1789">
        <v>91838</v>
      </c>
      <c r="I1789">
        <v>89200</v>
      </c>
    </row>
    <row r="1790" spans="1:9" x14ac:dyDescent="0.3">
      <c r="A1790" t="s">
        <v>1822</v>
      </c>
      <c r="B1790">
        <v>45915</v>
      </c>
      <c r="C1790" t="s">
        <v>55</v>
      </c>
      <c r="D1790" t="s">
        <v>11</v>
      </c>
      <c r="E1790" t="s">
        <v>37</v>
      </c>
      <c r="F1790" t="s">
        <v>13</v>
      </c>
      <c r="G1790" t="s">
        <v>14</v>
      </c>
      <c r="H1790">
        <v>64206</v>
      </c>
      <c r="I1790">
        <v>70500</v>
      </c>
    </row>
    <row r="1791" spans="1:9" x14ac:dyDescent="0.3">
      <c r="A1791" t="s">
        <v>1823</v>
      </c>
      <c r="B1791">
        <v>45916</v>
      </c>
      <c r="C1791" t="s">
        <v>62</v>
      </c>
      <c r="D1791" t="s">
        <v>11</v>
      </c>
      <c r="E1791" t="s">
        <v>22</v>
      </c>
      <c r="F1791" t="s">
        <v>13</v>
      </c>
      <c r="G1791" t="s">
        <v>14</v>
      </c>
      <c r="H1791">
        <v>29700</v>
      </c>
      <c r="I1791">
        <v>28200</v>
      </c>
    </row>
    <row r="1792" spans="1:9" x14ac:dyDescent="0.3">
      <c r="A1792" t="s">
        <v>1824</v>
      </c>
      <c r="B1792">
        <v>45916</v>
      </c>
      <c r="C1792" t="s">
        <v>10</v>
      </c>
      <c r="D1792" t="s">
        <v>11</v>
      </c>
      <c r="E1792" t="s">
        <v>12</v>
      </c>
      <c r="F1792" t="s">
        <v>18</v>
      </c>
      <c r="G1792" t="s">
        <v>19</v>
      </c>
      <c r="H1792">
        <v>58242</v>
      </c>
      <c r="I1792">
        <v>58800</v>
      </c>
    </row>
    <row r="1793" spans="1:9" x14ac:dyDescent="0.3">
      <c r="A1793" t="s">
        <v>1825</v>
      </c>
      <c r="B1793">
        <v>45916</v>
      </c>
      <c r="C1793" t="s">
        <v>10</v>
      </c>
      <c r="D1793" t="s">
        <v>11</v>
      </c>
      <c r="E1793" t="s">
        <v>12</v>
      </c>
      <c r="F1793" t="s">
        <v>56</v>
      </c>
      <c r="G1793" t="s">
        <v>19</v>
      </c>
      <c r="H1793">
        <v>38022</v>
      </c>
      <c r="I1793">
        <v>40300</v>
      </c>
    </row>
    <row r="1794" spans="1:9" x14ac:dyDescent="0.3">
      <c r="A1794" t="s">
        <v>1826</v>
      </c>
      <c r="B1794">
        <v>45916</v>
      </c>
      <c r="C1794" t="s">
        <v>16</v>
      </c>
      <c r="D1794" t="s">
        <v>11</v>
      </c>
      <c r="E1794" t="s">
        <v>17</v>
      </c>
      <c r="F1794" t="s">
        <v>26</v>
      </c>
      <c r="G1794" t="s">
        <v>14</v>
      </c>
      <c r="H1794">
        <v>143983</v>
      </c>
      <c r="I1794">
        <v>166600</v>
      </c>
    </row>
    <row r="1795" spans="1:9" x14ac:dyDescent="0.3">
      <c r="A1795" t="s">
        <v>1827</v>
      </c>
      <c r="B1795">
        <v>45916</v>
      </c>
      <c r="C1795" t="s">
        <v>21</v>
      </c>
      <c r="D1795" t="s">
        <v>11</v>
      </c>
      <c r="E1795" t="s">
        <v>22</v>
      </c>
      <c r="F1795" t="s">
        <v>42</v>
      </c>
      <c r="G1795" t="s">
        <v>19</v>
      </c>
      <c r="H1795">
        <v>58162</v>
      </c>
      <c r="I1795">
        <v>62700</v>
      </c>
    </row>
    <row r="1796" spans="1:9" x14ac:dyDescent="0.3">
      <c r="A1796" t="s">
        <v>1828</v>
      </c>
      <c r="B1796">
        <v>45916</v>
      </c>
      <c r="C1796" t="s">
        <v>21</v>
      </c>
      <c r="D1796" t="s">
        <v>11</v>
      </c>
      <c r="E1796" t="s">
        <v>22</v>
      </c>
      <c r="F1796" t="s">
        <v>39</v>
      </c>
      <c r="G1796" t="s">
        <v>19</v>
      </c>
      <c r="H1796">
        <v>62893</v>
      </c>
      <c r="I1796">
        <v>54900</v>
      </c>
    </row>
    <row r="1797" spans="1:9" x14ac:dyDescent="0.3">
      <c r="A1797" t="s">
        <v>1829</v>
      </c>
      <c r="B1797">
        <v>45916</v>
      </c>
      <c r="C1797" t="s">
        <v>31</v>
      </c>
      <c r="D1797" t="s">
        <v>11</v>
      </c>
      <c r="E1797" t="s">
        <v>17</v>
      </c>
      <c r="F1797" t="s">
        <v>39</v>
      </c>
      <c r="G1797" t="s">
        <v>19</v>
      </c>
      <c r="H1797">
        <v>104120</v>
      </c>
      <c r="I1797">
        <v>108700</v>
      </c>
    </row>
    <row r="1798" spans="1:9" x14ac:dyDescent="0.3">
      <c r="A1798" t="s">
        <v>1830</v>
      </c>
      <c r="B1798">
        <v>45916</v>
      </c>
      <c r="C1798" t="s">
        <v>31</v>
      </c>
      <c r="D1798" t="s">
        <v>11</v>
      </c>
      <c r="E1798" t="s">
        <v>17</v>
      </c>
      <c r="F1798" t="s">
        <v>13</v>
      </c>
      <c r="G1798" t="s">
        <v>14</v>
      </c>
      <c r="H1798">
        <v>39257</v>
      </c>
      <c r="I1798">
        <v>39200</v>
      </c>
    </row>
    <row r="1799" spans="1:9" x14ac:dyDescent="0.3">
      <c r="A1799" t="s">
        <v>1831</v>
      </c>
      <c r="B1799">
        <v>45917</v>
      </c>
      <c r="C1799" t="s">
        <v>62</v>
      </c>
      <c r="D1799" t="s">
        <v>11</v>
      </c>
      <c r="E1799" t="s">
        <v>22</v>
      </c>
      <c r="F1799" t="s">
        <v>42</v>
      </c>
      <c r="G1799" t="s">
        <v>19</v>
      </c>
      <c r="H1799">
        <v>95528</v>
      </c>
      <c r="I1799">
        <v>101600</v>
      </c>
    </row>
    <row r="1800" spans="1:9" x14ac:dyDescent="0.3">
      <c r="A1800" t="s">
        <v>1832</v>
      </c>
      <c r="B1800">
        <v>45917</v>
      </c>
      <c r="C1800" t="s">
        <v>10</v>
      </c>
      <c r="D1800" t="s">
        <v>11</v>
      </c>
      <c r="E1800" t="s">
        <v>12</v>
      </c>
      <c r="F1800" t="s">
        <v>23</v>
      </c>
      <c r="G1800" t="s">
        <v>14</v>
      </c>
      <c r="H1800">
        <v>71445</v>
      </c>
      <c r="I1800">
        <v>75000</v>
      </c>
    </row>
    <row r="1801" spans="1:9" x14ac:dyDescent="0.3">
      <c r="A1801" t="s">
        <v>1833</v>
      </c>
      <c r="B1801">
        <v>45917</v>
      </c>
      <c r="C1801" t="s">
        <v>16</v>
      </c>
      <c r="D1801" t="s">
        <v>11</v>
      </c>
      <c r="E1801" t="s">
        <v>17</v>
      </c>
      <c r="F1801" t="s">
        <v>33</v>
      </c>
      <c r="G1801" t="s">
        <v>19</v>
      </c>
      <c r="H1801">
        <v>75966</v>
      </c>
      <c r="I1801">
        <v>70800</v>
      </c>
    </row>
    <row r="1802" spans="1:9" x14ac:dyDescent="0.3">
      <c r="A1802" t="s">
        <v>1834</v>
      </c>
      <c r="B1802">
        <v>45917</v>
      </c>
      <c r="C1802" t="s">
        <v>21</v>
      </c>
      <c r="D1802" t="s">
        <v>11</v>
      </c>
      <c r="E1802" t="s">
        <v>22</v>
      </c>
      <c r="F1802" t="s">
        <v>33</v>
      </c>
      <c r="G1802" t="s">
        <v>19</v>
      </c>
      <c r="H1802">
        <v>90423</v>
      </c>
      <c r="I1802">
        <v>89400</v>
      </c>
    </row>
    <row r="1803" spans="1:9" x14ac:dyDescent="0.3">
      <c r="A1803" t="s">
        <v>1835</v>
      </c>
      <c r="B1803">
        <v>45917</v>
      </c>
      <c r="C1803" t="s">
        <v>21</v>
      </c>
      <c r="D1803" t="s">
        <v>11</v>
      </c>
      <c r="E1803" t="s">
        <v>22</v>
      </c>
      <c r="F1803" t="s">
        <v>13</v>
      </c>
      <c r="G1803" t="s">
        <v>14</v>
      </c>
      <c r="H1803">
        <v>239272</v>
      </c>
      <c r="I1803">
        <v>282800</v>
      </c>
    </row>
    <row r="1804" spans="1:9" x14ac:dyDescent="0.3">
      <c r="A1804" t="s">
        <v>1836</v>
      </c>
      <c r="B1804">
        <v>45917</v>
      </c>
      <c r="C1804" t="s">
        <v>25</v>
      </c>
      <c r="D1804" t="s">
        <v>11</v>
      </c>
      <c r="E1804" t="s">
        <v>22</v>
      </c>
      <c r="F1804" t="s">
        <v>46</v>
      </c>
      <c r="G1804" t="s">
        <v>19</v>
      </c>
      <c r="H1804">
        <v>115503</v>
      </c>
      <c r="I1804">
        <v>104500</v>
      </c>
    </row>
    <row r="1805" spans="1:9" x14ac:dyDescent="0.3">
      <c r="A1805" t="s">
        <v>1837</v>
      </c>
      <c r="B1805">
        <v>45917</v>
      </c>
      <c r="C1805" t="s">
        <v>25</v>
      </c>
      <c r="D1805" t="s">
        <v>11</v>
      </c>
      <c r="E1805" t="s">
        <v>22</v>
      </c>
      <c r="F1805" t="s">
        <v>37</v>
      </c>
      <c r="G1805" t="s">
        <v>14</v>
      </c>
      <c r="H1805">
        <v>93560</v>
      </c>
      <c r="I1805">
        <v>93800</v>
      </c>
    </row>
    <row r="1806" spans="1:9" x14ac:dyDescent="0.3">
      <c r="A1806" t="s">
        <v>1838</v>
      </c>
      <c r="B1806">
        <v>45917</v>
      </c>
      <c r="C1806" t="s">
        <v>25</v>
      </c>
      <c r="D1806" t="s">
        <v>11</v>
      </c>
      <c r="E1806" t="s">
        <v>22</v>
      </c>
      <c r="F1806" t="s">
        <v>37</v>
      </c>
      <c r="G1806" t="s">
        <v>14</v>
      </c>
      <c r="H1806">
        <v>53319</v>
      </c>
      <c r="I1806">
        <v>50300</v>
      </c>
    </row>
    <row r="1807" spans="1:9" x14ac:dyDescent="0.3">
      <c r="A1807" t="s">
        <v>1839</v>
      </c>
      <c r="B1807">
        <v>45917</v>
      </c>
      <c r="C1807" t="s">
        <v>31</v>
      </c>
      <c r="D1807" t="s">
        <v>11</v>
      </c>
      <c r="E1807" t="s">
        <v>17</v>
      </c>
      <c r="F1807" t="s">
        <v>39</v>
      </c>
      <c r="G1807" t="s">
        <v>19</v>
      </c>
      <c r="H1807">
        <v>114228</v>
      </c>
      <c r="I1807">
        <v>94900</v>
      </c>
    </row>
    <row r="1808" spans="1:9" x14ac:dyDescent="0.3">
      <c r="A1808" t="s">
        <v>1840</v>
      </c>
      <c r="B1808">
        <v>45918</v>
      </c>
      <c r="C1808" t="s">
        <v>62</v>
      </c>
      <c r="D1808" t="s">
        <v>11</v>
      </c>
      <c r="E1808" t="s">
        <v>22</v>
      </c>
      <c r="F1808" t="s">
        <v>13</v>
      </c>
      <c r="G1808" t="s">
        <v>14</v>
      </c>
      <c r="H1808">
        <v>140844</v>
      </c>
      <c r="I1808">
        <v>154300</v>
      </c>
    </row>
    <row r="1809" spans="1:9" x14ac:dyDescent="0.3">
      <c r="A1809" t="s">
        <v>1841</v>
      </c>
      <c r="B1809">
        <v>45918</v>
      </c>
      <c r="C1809" t="s">
        <v>16</v>
      </c>
      <c r="D1809" t="s">
        <v>11</v>
      </c>
      <c r="E1809" t="s">
        <v>17</v>
      </c>
      <c r="F1809" t="s">
        <v>37</v>
      </c>
      <c r="G1809" t="s">
        <v>14</v>
      </c>
      <c r="H1809">
        <v>44997</v>
      </c>
      <c r="I1809">
        <v>48100</v>
      </c>
    </row>
    <row r="1810" spans="1:9" x14ac:dyDescent="0.3">
      <c r="A1810" t="s">
        <v>1842</v>
      </c>
      <c r="B1810">
        <v>45918</v>
      </c>
      <c r="C1810" t="s">
        <v>36</v>
      </c>
      <c r="D1810" t="s">
        <v>11</v>
      </c>
      <c r="E1810" t="s">
        <v>37</v>
      </c>
      <c r="F1810" t="s">
        <v>37</v>
      </c>
      <c r="G1810" t="s">
        <v>14</v>
      </c>
      <c r="H1810">
        <v>62737</v>
      </c>
      <c r="I1810">
        <v>69600</v>
      </c>
    </row>
    <row r="1811" spans="1:9" x14ac:dyDescent="0.3">
      <c r="A1811" t="s">
        <v>1843</v>
      </c>
      <c r="B1811">
        <v>45918</v>
      </c>
      <c r="C1811" t="s">
        <v>21</v>
      </c>
      <c r="D1811" t="s">
        <v>11</v>
      </c>
      <c r="E1811" t="s">
        <v>22</v>
      </c>
      <c r="F1811" t="s">
        <v>18</v>
      </c>
      <c r="G1811" t="s">
        <v>19</v>
      </c>
      <c r="H1811">
        <v>111065</v>
      </c>
      <c r="I1811">
        <v>110400</v>
      </c>
    </row>
    <row r="1812" spans="1:9" x14ac:dyDescent="0.3">
      <c r="A1812" t="s">
        <v>1844</v>
      </c>
      <c r="B1812">
        <v>45918</v>
      </c>
      <c r="C1812" t="s">
        <v>21</v>
      </c>
      <c r="D1812" t="s">
        <v>11</v>
      </c>
      <c r="E1812" t="s">
        <v>22</v>
      </c>
      <c r="F1812" t="s">
        <v>42</v>
      </c>
      <c r="G1812" t="s">
        <v>19</v>
      </c>
      <c r="H1812">
        <v>36013</v>
      </c>
      <c r="I1812">
        <v>36800</v>
      </c>
    </row>
    <row r="1813" spans="1:9" x14ac:dyDescent="0.3">
      <c r="A1813" t="s">
        <v>1845</v>
      </c>
      <c r="B1813">
        <v>45918</v>
      </c>
      <c r="C1813" t="s">
        <v>25</v>
      </c>
      <c r="D1813" t="s">
        <v>11</v>
      </c>
      <c r="E1813" t="s">
        <v>22</v>
      </c>
      <c r="F1813" t="s">
        <v>59</v>
      </c>
      <c r="G1813" t="s">
        <v>14</v>
      </c>
      <c r="H1813">
        <v>80955</v>
      </c>
      <c r="I1813">
        <v>92200</v>
      </c>
    </row>
    <row r="1814" spans="1:9" x14ac:dyDescent="0.3">
      <c r="A1814" t="s">
        <v>1846</v>
      </c>
      <c r="B1814">
        <v>45918</v>
      </c>
      <c r="C1814" t="s">
        <v>55</v>
      </c>
      <c r="D1814" t="s">
        <v>11</v>
      </c>
      <c r="E1814" t="s">
        <v>37</v>
      </c>
      <c r="F1814" t="s">
        <v>42</v>
      </c>
      <c r="G1814" t="s">
        <v>19</v>
      </c>
      <c r="H1814">
        <v>31135</v>
      </c>
      <c r="I1814">
        <v>29100</v>
      </c>
    </row>
    <row r="1815" spans="1:9" x14ac:dyDescent="0.3">
      <c r="A1815" t="s">
        <v>1847</v>
      </c>
      <c r="B1815">
        <v>45919</v>
      </c>
      <c r="C1815" t="s">
        <v>10</v>
      </c>
      <c r="D1815" t="s">
        <v>11</v>
      </c>
      <c r="E1815" t="s">
        <v>12</v>
      </c>
      <c r="F1815" t="s">
        <v>13</v>
      </c>
      <c r="G1815" t="s">
        <v>14</v>
      </c>
      <c r="H1815">
        <v>246388</v>
      </c>
      <c r="I1815">
        <v>239600</v>
      </c>
    </row>
    <row r="1816" spans="1:9" x14ac:dyDescent="0.3">
      <c r="A1816" t="s">
        <v>1848</v>
      </c>
      <c r="B1816">
        <v>45919</v>
      </c>
      <c r="C1816" t="s">
        <v>10</v>
      </c>
      <c r="D1816" t="s">
        <v>11</v>
      </c>
      <c r="E1816" t="s">
        <v>12</v>
      </c>
      <c r="F1816" t="s">
        <v>59</v>
      </c>
      <c r="G1816" t="s">
        <v>14</v>
      </c>
      <c r="H1816">
        <v>60893</v>
      </c>
      <c r="I1816">
        <v>60000</v>
      </c>
    </row>
    <row r="1817" spans="1:9" x14ac:dyDescent="0.3">
      <c r="A1817" t="s">
        <v>1849</v>
      </c>
      <c r="B1817">
        <v>45919</v>
      </c>
      <c r="C1817" t="s">
        <v>10</v>
      </c>
      <c r="D1817" t="s">
        <v>11</v>
      </c>
      <c r="E1817" t="s">
        <v>12</v>
      </c>
      <c r="F1817" t="s">
        <v>12</v>
      </c>
      <c r="G1817" t="s">
        <v>14</v>
      </c>
      <c r="H1817">
        <v>163291</v>
      </c>
      <c r="I1817">
        <v>186600</v>
      </c>
    </row>
    <row r="1818" spans="1:9" x14ac:dyDescent="0.3">
      <c r="A1818" t="s">
        <v>1850</v>
      </c>
      <c r="B1818">
        <v>45919</v>
      </c>
      <c r="C1818" t="s">
        <v>16</v>
      </c>
      <c r="D1818" t="s">
        <v>11</v>
      </c>
      <c r="E1818" t="s">
        <v>17</v>
      </c>
      <c r="F1818" t="s">
        <v>37</v>
      </c>
      <c r="G1818" t="s">
        <v>14</v>
      </c>
      <c r="H1818">
        <v>65429</v>
      </c>
      <c r="I1818">
        <v>56200</v>
      </c>
    </row>
    <row r="1819" spans="1:9" x14ac:dyDescent="0.3">
      <c r="A1819" t="s">
        <v>1851</v>
      </c>
      <c r="B1819">
        <v>45919</v>
      </c>
      <c r="C1819" t="s">
        <v>21</v>
      </c>
      <c r="D1819" t="s">
        <v>11</v>
      </c>
      <c r="E1819" t="s">
        <v>22</v>
      </c>
      <c r="F1819" t="s">
        <v>56</v>
      </c>
      <c r="G1819" t="s">
        <v>19</v>
      </c>
      <c r="H1819">
        <v>93041</v>
      </c>
      <c r="I1819">
        <v>93000</v>
      </c>
    </row>
    <row r="1820" spans="1:9" x14ac:dyDescent="0.3">
      <c r="A1820" t="s">
        <v>1852</v>
      </c>
      <c r="B1820">
        <v>45919</v>
      </c>
      <c r="C1820" t="s">
        <v>21</v>
      </c>
      <c r="D1820" t="s">
        <v>11</v>
      </c>
      <c r="E1820" t="s">
        <v>22</v>
      </c>
      <c r="F1820" t="s">
        <v>26</v>
      </c>
      <c r="G1820" t="s">
        <v>14</v>
      </c>
      <c r="H1820">
        <v>115334</v>
      </c>
      <c r="I1820">
        <v>130200</v>
      </c>
    </row>
    <row r="1821" spans="1:9" x14ac:dyDescent="0.3">
      <c r="A1821" t="s">
        <v>1853</v>
      </c>
      <c r="B1821">
        <v>45919</v>
      </c>
      <c r="C1821" t="s">
        <v>25</v>
      </c>
      <c r="D1821" t="s">
        <v>11</v>
      </c>
      <c r="E1821" t="s">
        <v>22</v>
      </c>
      <c r="F1821" t="s">
        <v>23</v>
      </c>
      <c r="G1821" t="s">
        <v>14</v>
      </c>
      <c r="H1821">
        <v>31957</v>
      </c>
      <c r="I1821">
        <v>28700</v>
      </c>
    </row>
    <row r="1822" spans="1:9" x14ac:dyDescent="0.3">
      <c r="A1822" t="s">
        <v>1854</v>
      </c>
      <c r="B1822">
        <v>45919</v>
      </c>
      <c r="C1822" t="s">
        <v>31</v>
      </c>
      <c r="D1822" t="s">
        <v>11</v>
      </c>
      <c r="E1822" t="s">
        <v>17</v>
      </c>
      <c r="F1822" t="s">
        <v>42</v>
      </c>
      <c r="G1822" t="s">
        <v>19</v>
      </c>
      <c r="H1822">
        <v>109535</v>
      </c>
      <c r="I1822">
        <v>102100</v>
      </c>
    </row>
    <row r="1823" spans="1:9" x14ac:dyDescent="0.3">
      <c r="A1823" t="s">
        <v>1855</v>
      </c>
      <c r="B1823">
        <v>45919</v>
      </c>
      <c r="C1823" t="s">
        <v>55</v>
      </c>
      <c r="D1823" t="s">
        <v>11</v>
      </c>
      <c r="E1823" t="s">
        <v>37</v>
      </c>
      <c r="F1823" t="s">
        <v>23</v>
      </c>
      <c r="G1823" t="s">
        <v>14</v>
      </c>
      <c r="H1823">
        <v>199679</v>
      </c>
      <c r="I1823">
        <v>210800</v>
      </c>
    </row>
    <row r="1824" spans="1:9" x14ac:dyDescent="0.3">
      <c r="A1824" t="s">
        <v>1856</v>
      </c>
      <c r="B1824">
        <v>45920</v>
      </c>
      <c r="C1824" t="s">
        <v>62</v>
      </c>
      <c r="D1824" t="s">
        <v>11</v>
      </c>
      <c r="E1824" t="s">
        <v>22</v>
      </c>
      <c r="F1824" t="s">
        <v>39</v>
      </c>
      <c r="G1824" t="s">
        <v>19</v>
      </c>
      <c r="H1824">
        <v>97919</v>
      </c>
      <c r="I1824">
        <v>88800</v>
      </c>
    </row>
    <row r="1825" spans="1:9" x14ac:dyDescent="0.3">
      <c r="A1825" t="s">
        <v>1857</v>
      </c>
      <c r="B1825">
        <v>45920</v>
      </c>
      <c r="C1825" t="s">
        <v>62</v>
      </c>
      <c r="D1825" t="s">
        <v>11</v>
      </c>
      <c r="E1825" t="s">
        <v>22</v>
      </c>
      <c r="F1825" t="s">
        <v>56</v>
      </c>
      <c r="G1825" t="s">
        <v>19</v>
      </c>
      <c r="H1825">
        <v>85557</v>
      </c>
      <c r="I1825">
        <v>91600</v>
      </c>
    </row>
    <row r="1826" spans="1:9" x14ac:dyDescent="0.3">
      <c r="A1826" t="s">
        <v>1858</v>
      </c>
      <c r="B1826">
        <v>45920</v>
      </c>
      <c r="C1826" t="s">
        <v>16</v>
      </c>
      <c r="D1826" t="s">
        <v>11</v>
      </c>
      <c r="E1826" t="s">
        <v>17</v>
      </c>
      <c r="F1826" t="s">
        <v>39</v>
      </c>
      <c r="G1826" t="s">
        <v>19</v>
      </c>
      <c r="H1826">
        <v>16749</v>
      </c>
      <c r="I1826">
        <v>13900</v>
      </c>
    </row>
    <row r="1827" spans="1:9" x14ac:dyDescent="0.3">
      <c r="A1827" t="s">
        <v>1859</v>
      </c>
      <c r="B1827">
        <v>45920</v>
      </c>
      <c r="C1827" t="s">
        <v>36</v>
      </c>
      <c r="D1827" t="s">
        <v>11</v>
      </c>
      <c r="E1827" t="s">
        <v>37</v>
      </c>
      <c r="F1827" t="s">
        <v>23</v>
      </c>
      <c r="G1827" t="s">
        <v>14</v>
      </c>
      <c r="H1827">
        <v>194279</v>
      </c>
      <c r="I1827">
        <v>207700</v>
      </c>
    </row>
    <row r="1828" spans="1:9" x14ac:dyDescent="0.3">
      <c r="A1828" t="s">
        <v>1860</v>
      </c>
      <c r="B1828">
        <v>45920</v>
      </c>
      <c r="C1828" t="s">
        <v>21</v>
      </c>
      <c r="D1828" t="s">
        <v>11</v>
      </c>
      <c r="E1828" t="s">
        <v>22</v>
      </c>
      <c r="F1828" t="s">
        <v>13</v>
      </c>
      <c r="G1828" t="s">
        <v>14</v>
      </c>
      <c r="H1828">
        <v>238555</v>
      </c>
      <c r="I1828">
        <v>253200</v>
      </c>
    </row>
    <row r="1829" spans="1:9" x14ac:dyDescent="0.3">
      <c r="A1829" t="s">
        <v>1861</v>
      </c>
      <c r="B1829">
        <v>45920</v>
      </c>
      <c r="C1829" t="s">
        <v>25</v>
      </c>
      <c r="D1829" t="s">
        <v>11</v>
      </c>
      <c r="E1829" t="s">
        <v>22</v>
      </c>
      <c r="F1829" t="s">
        <v>46</v>
      </c>
      <c r="G1829" t="s">
        <v>19</v>
      </c>
      <c r="H1829">
        <v>55104</v>
      </c>
      <c r="I1829">
        <v>56600</v>
      </c>
    </row>
    <row r="1830" spans="1:9" x14ac:dyDescent="0.3">
      <c r="A1830" t="s">
        <v>1862</v>
      </c>
      <c r="B1830">
        <v>45921</v>
      </c>
      <c r="C1830" t="s">
        <v>16</v>
      </c>
      <c r="D1830" t="s">
        <v>11</v>
      </c>
      <c r="E1830" t="s">
        <v>17</v>
      </c>
      <c r="F1830" t="s">
        <v>33</v>
      </c>
      <c r="G1830" t="s">
        <v>19</v>
      </c>
      <c r="H1830">
        <v>109217</v>
      </c>
      <c r="I1830">
        <v>96000</v>
      </c>
    </row>
    <row r="1831" spans="1:9" x14ac:dyDescent="0.3">
      <c r="A1831" t="s">
        <v>1863</v>
      </c>
      <c r="B1831">
        <v>45921</v>
      </c>
      <c r="C1831" t="s">
        <v>36</v>
      </c>
      <c r="D1831" t="s">
        <v>11</v>
      </c>
      <c r="E1831" t="s">
        <v>37</v>
      </c>
      <c r="F1831" t="s">
        <v>12</v>
      </c>
      <c r="G1831" t="s">
        <v>14</v>
      </c>
      <c r="H1831">
        <v>25421</v>
      </c>
      <c r="I1831">
        <v>24200</v>
      </c>
    </row>
    <row r="1832" spans="1:9" x14ac:dyDescent="0.3">
      <c r="A1832" t="s">
        <v>1864</v>
      </c>
      <c r="B1832">
        <v>45921</v>
      </c>
      <c r="C1832" t="s">
        <v>31</v>
      </c>
      <c r="D1832" t="s">
        <v>11</v>
      </c>
      <c r="E1832" t="s">
        <v>17</v>
      </c>
      <c r="F1832" t="s">
        <v>18</v>
      </c>
      <c r="G1832" t="s">
        <v>19</v>
      </c>
      <c r="H1832">
        <v>39908</v>
      </c>
      <c r="I1832">
        <v>40300</v>
      </c>
    </row>
    <row r="1833" spans="1:9" x14ac:dyDescent="0.3">
      <c r="A1833" t="s">
        <v>1865</v>
      </c>
      <c r="B1833">
        <v>45921</v>
      </c>
      <c r="C1833" t="s">
        <v>31</v>
      </c>
      <c r="D1833" t="s">
        <v>11</v>
      </c>
      <c r="E1833" t="s">
        <v>17</v>
      </c>
      <c r="F1833" t="s">
        <v>33</v>
      </c>
      <c r="G1833" t="s">
        <v>19</v>
      </c>
      <c r="H1833">
        <v>84983</v>
      </c>
      <c r="I1833">
        <v>73300</v>
      </c>
    </row>
    <row r="1834" spans="1:9" x14ac:dyDescent="0.3">
      <c r="A1834" t="s">
        <v>1866</v>
      </c>
      <c r="B1834">
        <v>45922</v>
      </c>
      <c r="C1834" t="s">
        <v>62</v>
      </c>
      <c r="D1834" t="s">
        <v>11</v>
      </c>
      <c r="E1834" t="s">
        <v>22</v>
      </c>
      <c r="F1834" t="s">
        <v>23</v>
      </c>
      <c r="G1834" t="s">
        <v>14</v>
      </c>
      <c r="H1834">
        <v>100411</v>
      </c>
      <c r="I1834">
        <v>111000</v>
      </c>
    </row>
    <row r="1835" spans="1:9" x14ac:dyDescent="0.3">
      <c r="A1835" t="s">
        <v>1867</v>
      </c>
      <c r="B1835">
        <v>45922</v>
      </c>
      <c r="C1835" t="s">
        <v>16</v>
      </c>
      <c r="D1835" t="s">
        <v>11</v>
      </c>
      <c r="E1835" t="s">
        <v>17</v>
      </c>
      <c r="F1835" t="s">
        <v>46</v>
      </c>
      <c r="G1835" t="s">
        <v>19</v>
      </c>
      <c r="H1835">
        <v>40859</v>
      </c>
      <c r="I1835">
        <v>53500</v>
      </c>
    </row>
    <row r="1836" spans="1:9" x14ac:dyDescent="0.3">
      <c r="A1836" t="s">
        <v>1868</v>
      </c>
      <c r="B1836">
        <v>45922</v>
      </c>
      <c r="C1836" t="s">
        <v>16</v>
      </c>
      <c r="D1836" t="s">
        <v>11</v>
      </c>
      <c r="E1836" t="s">
        <v>17</v>
      </c>
      <c r="F1836" t="s">
        <v>39</v>
      </c>
      <c r="G1836" t="s">
        <v>19</v>
      </c>
      <c r="H1836">
        <v>60506</v>
      </c>
      <c r="I1836">
        <v>66200</v>
      </c>
    </row>
    <row r="1837" spans="1:9" x14ac:dyDescent="0.3">
      <c r="A1837" t="s">
        <v>1869</v>
      </c>
      <c r="B1837">
        <v>45922</v>
      </c>
      <c r="C1837" t="s">
        <v>21</v>
      </c>
      <c r="D1837" t="s">
        <v>11</v>
      </c>
      <c r="E1837" t="s">
        <v>22</v>
      </c>
      <c r="F1837" t="s">
        <v>18</v>
      </c>
      <c r="G1837" t="s">
        <v>19</v>
      </c>
      <c r="H1837">
        <v>70570</v>
      </c>
      <c r="I1837">
        <v>71700</v>
      </c>
    </row>
    <row r="1838" spans="1:9" x14ac:dyDescent="0.3">
      <c r="A1838" t="s">
        <v>1870</v>
      </c>
      <c r="B1838">
        <v>45922</v>
      </c>
      <c r="C1838" t="s">
        <v>21</v>
      </c>
      <c r="D1838" t="s">
        <v>11</v>
      </c>
      <c r="E1838" t="s">
        <v>22</v>
      </c>
      <c r="F1838" t="s">
        <v>39</v>
      </c>
      <c r="G1838" t="s">
        <v>19</v>
      </c>
      <c r="H1838">
        <v>85870</v>
      </c>
      <c r="I1838">
        <v>79300</v>
      </c>
    </row>
    <row r="1839" spans="1:9" x14ac:dyDescent="0.3">
      <c r="A1839" t="s">
        <v>1871</v>
      </c>
      <c r="B1839">
        <v>45923</v>
      </c>
      <c r="C1839" t="s">
        <v>62</v>
      </c>
      <c r="D1839" t="s">
        <v>11</v>
      </c>
      <c r="E1839" t="s">
        <v>22</v>
      </c>
      <c r="F1839" t="s">
        <v>33</v>
      </c>
      <c r="G1839" t="s">
        <v>19</v>
      </c>
      <c r="H1839">
        <v>31008</v>
      </c>
      <c r="I1839">
        <v>29900</v>
      </c>
    </row>
    <row r="1840" spans="1:9" x14ac:dyDescent="0.3">
      <c r="A1840" t="s">
        <v>1872</v>
      </c>
      <c r="B1840">
        <v>45923</v>
      </c>
      <c r="C1840" t="s">
        <v>10</v>
      </c>
      <c r="D1840" t="s">
        <v>11</v>
      </c>
      <c r="E1840" t="s">
        <v>12</v>
      </c>
      <c r="F1840" t="s">
        <v>33</v>
      </c>
      <c r="G1840" t="s">
        <v>19</v>
      </c>
      <c r="H1840">
        <v>83379</v>
      </c>
      <c r="I1840">
        <v>73200</v>
      </c>
    </row>
    <row r="1841" spans="1:9" x14ac:dyDescent="0.3">
      <c r="A1841" t="s">
        <v>1873</v>
      </c>
      <c r="B1841">
        <v>45923</v>
      </c>
      <c r="C1841" t="s">
        <v>16</v>
      </c>
      <c r="D1841" t="s">
        <v>11</v>
      </c>
      <c r="E1841" t="s">
        <v>17</v>
      </c>
      <c r="F1841" t="s">
        <v>18</v>
      </c>
      <c r="G1841" t="s">
        <v>19</v>
      </c>
      <c r="H1841">
        <v>52380</v>
      </c>
      <c r="I1841">
        <v>53600</v>
      </c>
    </row>
    <row r="1842" spans="1:9" x14ac:dyDescent="0.3">
      <c r="A1842" t="s">
        <v>1874</v>
      </c>
      <c r="B1842">
        <v>45923</v>
      </c>
      <c r="C1842" t="s">
        <v>16</v>
      </c>
      <c r="D1842" t="s">
        <v>11</v>
      </c>
      <c r="E1842" t="s">
        <v>17</v>
      </c>
      <c r="F1842" t="s">
        <v>23</v>
      </c>
      <c r="G1842" t="s">
        <v>14</v>
      </c>
      <c r="H1842">
        <v>88145</v>
      </c>
      <c r="I1842">
        <v>83100</v>
      </c>
    </row>
    <row r="1843" spans="1:9" x14ac:dyDescent="0.3">
      <c r="A1843" t="s">
        <v>1875</v>
      </c>
      <c r="B1843">
        <v>45923</v>
      </c>
      <c r="C1843" t="s">
        <v>16</v>
      </c>
      <c r="D1843" t="s">
        <v>11</v>
      </c>
      <c r="E1843" t="s">
        <v>17</v>
      </c>
      <c r="F1843" t="s">
        <v>59</v>
      </c>
      <c r="G1843" t="s">
        <v>14</v>
      </c>
      <c r="H1843">
        <v>54158</v>
      </c>
      <c r="I1843">
        <v>52600</v>
      </c>
    </row>
    <row r="1844" spans="1:9" x14ac:dyDescent="0.3">
      <c r="A1844" t="s">
        <v>1876</v>
      </c>
      <c r="B1844">
        <v>45923</v>
      </c>
      <c r="C1844" t="s">
        <v>25</v>
      </c>
      <c r="D1844" t="s">
        <v>11</v>
      </c>
      <c r="E1844" t="s">
        <v>22</v>
      </c>
      <c r="F1844" t="s">
        <v>33</v>
      </c>
      <c r="G1844" t="s">
        <v>19</v>
      </c>
      <c r="H1844">
        <v>23789</v>
      </c>
      <c r="I1844">
        <v>26400</v>
      </c>
    </row>
    <row r="1845" spans="1:9" x14ac:dyDescent="0.3">
      <c r="A1845" t="s">
        <v>1877</v>
      </c>
      <c r="B1845">
        <v>45923</v>
      </c>
      <c r="C1845" t="s">
        <v>31</v>
      </c>
      <c r="D1845" t="s">
        <v>11</v>
      </c>
      <c r="E1845" t="s">
        <v>17</v>
      </c>
      <c r="F1845" t="s">
        <v>12</v>
      </c>
      <c r="G1845" t="s">
        <v>14</v>
      </c>
      <c r="H1845">
        <v>94411</v>
      </c>
      <c r="I1845">
        <v>91200</v>
      </c>
    </row>
    <row r="1846" spans="1:9" x14ac:dyDescent="0.3">
      <c r="A1846" t="s">
        <v>1878</v>
      </c>
      <c r="B1846">
        <v>45924</v>
      </c>
      <c r="C1846" t="s">
        <v>62</v>
      </c>
      <c r="D1846" t="s">
        <v>11</v>
      </c>
      <c r="E1846" t="s">
        <v>22</v>
      </c>
      <c r="F1846" t="s">
        <v>39</v>
      </c>
      <c r="G1846" t="s">
        <v>19</v>
      </c>
      <c r="H1846">
        <v>48658</v>
      </c>
      <c r="I1846">
        <v>54300</v>
      </c>
    </row>
    <row r="1847" spans="1:9" x14ac:dyDescent="0.3">
      <c r="A1847" t="s">
        <v>1879</v>
      </c>
      <c r="B1847">
        <v>45924</v>
      </c>
      <c r="C1847" t="s">
        <v>10</v>
      </c>
      <c r="D1847" t="s">
        <v>11</v>
      </c>
      <c r="E1847" t="s">
        <v>12</v>
      </c>
      <c r="F1847" t="s">
        <v>26</v>
      </c>
      <c r="G1847" t="s">
        <v>14</v>
      </c>
      <c r="H1847">
        <v>39350</v>
      </c>
      <c r="I1847">
        <v>37900</v>
      </c>
    </row>
    <row r="1848" spans="1:9" x14ac:dyDescent="0.3">
      <c r="A1848" t="s">
        <v>1880</v>
      </c>
      <c r="B1848">
        <v>45924</v>
      </c>
      <c r="C1848" t="s">
        <v>10</v>
      </c>
      <c r="D1848" t="s">
        <v>11</v>
      </c>
      <c r="E1848" t="s">
        <v>12</v>
      </c>
      <c r="F1848" t="s">
        <v>37</v>
      </c>
      <c r="G1848" t="s">
        <v>14</v>
      </c>
      <c r="H1848">
        <v>233005</v>
      </c>
      <c r="I1848">
        <v>260200</v>
      </c>
    </row>
    <row r="1849" spans="1:9" x14ac:dyDescent="0.3">
      <c r="A1849" t="s">
        <v>1881</v>
      </c>
      <c r="B1849">
        <v>45924</v>
      </c>
      <c r="C1849" t="s">
        <v>16</v>
      </c>
      <c r="D1849" t="s">
        <v>11</v>
      </c>
      <c r="E1849" t="s">
        <v>17</v>
      </c>
      <c r="F1849" t="s">
        <v>33</v>
      </c>
      <c r="G1849" t="s">
        <v>19</v>
      </c>
      <c r="H1849">
        <v>89809</v>
      </c>
      <c r="I1849">
        <v>89100</v>
      </c>
    </row>
    <row r="1850" spans="1:9" x14ac:dyDescent="0.3">
      <c r="A1850" t="s">
        <v>1882</v>
      </c>
      <c r="B1850">
        <v>45924</v>
      </c>
      <c r="C1850" t="s">
        <v>31</v>
      </c>
      <c r="D1850" t="s">
        <v>11</v>
      </c>
      <c r="E1850" t="s">
        <v>17</v>
      </c>
      <c r="F1850" t="s">
        <v>23</v>
      </c>
      <c r="G1850" t="s">
        <v>14</v>
      </c>
      <c r="H1850">
        <v>41943</v>
      </c>
      <c r="I1850">
        <v>47800</v>
      </c>
    </row>
    <row r="1851" spans="1:9" x14ac:dyDescent="0.3">
      <c r="A1851" t="s">
        <v>1883</v>
      </c>
      <c r="B1851">
        <v>45924</v>
      </c>
      <c r="C1851" t="s">
        <v>55</v>
      </c>
      <c r="D1851" t="s">
        <v>11</v>
      </c>
      <c r="E1851" t="s">
        <v>37</v>
      </c>
      <c r="F1851" t="s">
        <v>12</v>
      </c>
      <c r="G1851" t="s">
        <v>14</v>
      </c>
      <c r="H1851">
        <v>75471</v>
      </c>
      <c r="I1851">
        <v>83300</v>
      </c>
    </row>
    <row r="1852" spans="1:9" x14ac:dyDescent="0.3">
      <c r="A1852" t="s">
        <v>1884</v>
      </c>
      <c r="B1852">
        <v>45924</v>
      </c>
      <c r="C1852" t="s">
        <v>55</v>
      </c>
      <c r="D1852" t="s">
        <v>11</v>
      </c>
      <c r="E1852" t="s">
        <v>37</v>
      </c>
      <c r="F1852" t="s">
        <v>13</v>
      </c>
      <c r="G1852" t="s">
        <v>14</v>
      </c>
      <c r="H1852">
        <v>68882</v>
      </c>
      <c r="I1852">
        <v>69200</v>
      </c>
    </row>
    <row r="1853" spans="1:9" x14ac:dyDescent="0.3">
      <c r="A1853" t="s">
        <v>1885</v>
      </c>
      <c r="B1853">
        <v>45925</v>
      </c>
      <c r="C1853" t="s">
        <v>62</v>
      </c>
      <c r="D1853" t="s">
        <v>11</v>
      </c>
      <c r="E1853" t="s">
        <v>22</v>
      </c>
      <c r="F1853" t="s">
        <v>18</v>
      </c>
      <c r="G1853" t="s">
        <v>19</v>
      </c>
      <c r="H1853">
        <v>114210</v>
      </c>
      <c r="I1853">
        <v>111600</v>
      </c>
    </row>
    <row r="1854" spans="1:9" x14ac:dyDescent="0.3">
      <c r="A1854" t="s">
        <v>1886</v>
      </c>
      <c r="B1854">
        <v>45925</v>
      </c>
      <c r="C1854" t="s">
        <v>62</v>
      </c>
      <c r="D1854" t="s">
        <v>11</v>
      </c>
      <c r="E1854" t="s">
        <v>22</v>
      </c>
      <c r="F1854" t="s">
        <v>23</v>
      </c>
      <c r="G1854" t="s">
        <v>14</v>
      </c>
      <c r="H1854">
        <v>201521</v>
      </c>
      <c r="I1854">
        <v>217300</v>
      </c>
    </row>
    <row r="1855" spans="1:9" x14ac:dyDescent="0.3">
      <c r="A1855" t="s">
        <v>1887</v>
      </c>
      <c r="B1855">
        <v>45925</v>
      </c>
      <c r="C1855" t="s">
        <v>25</v>
      </c>
      <c r="D1855" t="s">
        <v>11</v>
      </c>
      <c r="E1855" t="s">
        <v>22</v>
      </c>
      <c r="F1855" t="s">
        <v>46</v>
      </c>
      <c r="G1855" t="s">
        <v>19</v>
      </c>
      <c r="H1855">
        <v>73750</v>
      </c>
      <c r="I1855">
        <v>80200</v>
      </c>
    </row>
    <row r="1856" spans="1:9" x14ac:dyDescent="0.3">
      <c r="A1856" t="s">
        <v>1888</v>
      </c>
      <c r="B1856">
        <v>45925</v>
      </c>
      <c r="C1856" t="s">
        <v>55</v>
      </c>
      <c r="D1856" t="s">
        <v>11</v>
      </c>
      <c r="E1856" t="s">
        <v>37</v>
      </c>
      <c r="F1856" t="s">
        <v>18</v>
      </c>
      <c r="G1856" t="s">
        <v>19</v>
      </c>
      <c r="H1856">
        <v>117260</v>
      </c>
      <c r="I1856">
        <v>121300</v>
      </c>
    </row>
    <row r="1857" spans="1:9" x14ac:dyDescent="0.3">
      <c r="A1857" t="s">
        <v>1889</v>
      </c>
      <c r="B1857">
        <v>45925</v>
      </c>
      <c r="C1857" t="s">
        <v>55</v>
      </c>
      <c r="D1857" t="s">
        <v>11</v>
      </c>
      <c r="E1857" t="s">
        <v>37</v>
      </c>
      <c r="F1857" t="s">
        <v>56</v>
      </c>
      <c r="G1857" t="s">
        <v>19</v>
      </c>
      <c r="H1857">
        <v>49819</v>
      </c>
      <c r="I1857">
        <v>57100</v>
      </c>
    </row>
    <row r="1858" spans="1:9" x14ac:dyDescent="0.3">
      <c r="A1858" t="s">
        <v>1890</v>
      </c>
      <c r="B1858">
        <v>45925</v>
      </c>
      <c r="C1858" t="s">
        <v>55</v>
      </c>
      <c r="D1858" t="s">
        <v>11</v>
      </c>
      <c r="E1858" t="s">
        <v>37</v>
      </c>
      <c r="F1858" t="s">
        <v>23</v>
      </c>
      <c r="G1858" t="s">
        <v>14</v>
      </c>
      <c r="H1858">
        <v>53262</v>
      </c>
      <c r="I1858">
        <v>52800</v>
      </c>
    </row>
    <row r="1859" spans="1:9" x14ac:dyDescent="0.3">
      <c r="A1859" t="s">
        <v>1891</v>
      </c>
      <c r="B1859">
        <v>45926</v>
      </c>
      <c r="C1859" t="s">
        <v>21</v>
      </c>
      <c r="D1859" t="s">
        <v>11</v>
      </c>
      <c r="E1859" t="s">
        <v>22</v>
      </c>
      <c r="F1859" t="s">
        <v>59</v>
      </c>
      <c r="G1859" t="s">
        <v>14</v>
      </c>
      <c r="H1859">
        <v>66789</v>
      </c>
      <c r="I1859">
        <v>77600</v>
      </c>
    </row>
    <row r="1860" spans="1:9" x14ac:dyDescent="0.3">
      <c r="A1860" t="s">
        <v>1892</v>
      </c>
      <c r="B1860">
        <v>45926</v>
      </c>
      <c r="C1860" t="s">
        <v>31</v>
      </c>
      <c r="D1860" t="s">
        <v>11</v>
      </c>
      <c r="E1860" t="s">
        <v>17</v>
      </c>
      <c r="F1860" t="s">
        <v>59</v>
      </c>
      <c r="G1860" t="s">
        <v>14</v>
      </c>
      <c r="H1860">
        <v>82535</v>
      </c>
      <c r="I1860">
        <v>79700</v>
      </c>
    </row>
    <row r="1861" spans="1:9" x14ac:dyDescent="0.3">
      <c r="A1861" t="s">
        <v>1893</v>
      </c>
      <c r="B1861">
        <v>45927</v>
      </c>
      <c r="C1861" t="s">
        <v>10</v>
      </c>
      <c r="D1861" t="s">
        <v>11</v>
      </c>
      <c r="E1861" t="s">
        <v>12</v>
      </c>
      <c r="F1861" t="s">
        <v>39</v>
      </c>
      <c r="G1861" t="s">
        <v>19</v>
      </c>
      <c r="H1861">
        <v>77475</v>
      </c>
      <c r="I1861">
        <v>72800</v>
      </c>
    </row>
    <row r="1862" spans="1:9" x14ac:dyDescent="0.3">
      <c r="A1862" t="s">
        <v>1894</v>
      </c>
      <c r="B1862">
        <v>45927</v>
      </c>
      <c r="C1862" t="s">
        <v>16</v>
      </c>
      <c r="D1862" t="s">
        <v>11</v>
      </c>
      <c r="E1862" t="s">
        <v>17</v>
      </c>
      <c r="F1862" t="s">
        <v>39</v>
      </c>
      <c r="G1862" t="s">
        <v>19</v>
      </c>
      <c r="H1862">
        <v>26999</v>
      </c>
      <c r="I1862">
        <v>26500</v>
      </c>
    </row>
    <row r="1863" spans="1:9" x14ac:dyDescent="0.3">
      <c r="A1863" t="s">
        <v>1895</v>
      </c>
      <c r="B1863">
        <v>45927</v>
      </c>
      <c r="C1863" t="s">
        <v>16</v>
      </c>
      <c r="D1863" t="s">
        <v>11</v>
      </c>
      <c r="E1863" t="s">
        <v>17</v>
      </c>
      <c r="F1863" t="s">
        <v>23</v>
      </c>
      <c r="G1863" t="s">
        <v>14</v>
      </c>
      <c r="H1863">
        <v>119962</v>
      </c>
      <c r="I1863">
        <v>114600</v>
      </c>
    </row>
    <row r="1864" spans="1:9" x14ac:dyDescent="0.3">
      <c r="A1864" t="s">
        <v>1896</v>
      </c>
      <c r="B1864">
        <v>45927</v>
      </c>
      <c r="C1864" t="s">
        <v>36</v>
      </c>
      <c r="D1864" t="s">
        <v>11</v>
      </c>
      <c r="E1864" t="s">
        <v>37</v>
      </c>
      <c r="F1864" t="s">
        <v>56</v>
      </c>
      <c r="G1864" t="s">
        <v>19</v>
      </c>
      <c r="H1864">
        <v>37919</v>
      </c>
      <c r="I1864">
        <v>43100</v>
      </c>
    </row>
    <row r="1865" spans="1:9" x14ac:dyDescent="0.3">
      <c r="A1865" t="s">
        <v>1897</v>
      </c>
      <c r="B1865">
        <v>45927</v>
      </c>
      <c r="C1865" t="s">
        <v>36</v>
      </c>
      <c r="D1865" t="s">
        <v>11</v>
      </c>
      <c r="E1865" t="s">
        <v>37</v>
      </c>
      <c r="F1865" t="s">
        <v>37</v>
      </c>
      <c r="G1865" t="s">
        <v>14</v>
      </c>
      <c r="H1865">
        <v>212741</v>
      </c>
      <c r="I1865">
        <v>209700</v>
      </c>
    </row>
    <row r="1866" spans="1:9" x14ac:dyDescent="0.3">
      <c r="A1866" t="s">
        <v>1898</v>
      </c>
      <c r="B1866">
        <v>45927</v>
      </c>
      <c r="C1866" t="s">
        <v>21</v>
      </c>
      <c r="D1866" t="s">
        <v>11</v>
      </c>
      <c r="E1866" t="s">
        <v>22</v>
      </c>
      <c r="F1866" t="s">
        <v>42</v>
      </c>
      <c r="G1866" t="s">
        <v>19</v>
      </c>
      <c r="H1866">
        <v>111225</v>
      </c>
      <c r="I1866">
        <v>106500</v>
      </c>
    </row>
    <row r="1867" spans="1:9" x14ac:dyDescent="0.3">
      <c r="A1867" t="s">
        <v>1899</v>
      </c>
      <c r="B1867">
        <v>45927</v>
      </c>
      <c r="C1867" t="s">
        <v>31</v>
      </c>
      <c r="D1867" t="s">
        <v>11</v>
      </c>
      <c r="E1867" t="s">
        <v>17</v>
      </c>
      <c r="F1867" t="s">
        <v>26</v>
      </c>
      <c r="G1867" t="s">
        <v>14</v>
      </c>
      <c r="H1867">
        <v>55548</v>
      </c>
      <c r="I1867">
        <v>51400</v>
      </c>
    </row>
    <row r="1868" spans="1:9" x14ac:dyDescent="0.3">
      <c r="A1868" t="s">
        <v>1900</v>
      </c>
      <c r="B1868">
        <v>45927</v>
      </c>
      <c r="C1868" t="s">
        <v>55</v>
      </c>
      <c r="D1868" t="s">
        <v>11</v>
      </c>
      <c r="E1868" t="s">
        <v>37</v>
      </c>
      <c r="F1868" t="s">
        <v>56</v>
      </c>
      <c r="G1868" t="s">
        <v>19</v>
      </c>
      <c r="H1868">
        <v>34340</v>
      </c>
      <c r="I1868">
        <v>33400</v>
      </c>
    </row>
    <row r="1869" spans="1:9" x14ac:dyDescent="0.3">
      <c r="A1869" t="s">
        <v>1901</v>
      </c>
      <c r="B1869">
        <v>45928</v>
      </c>
      <c r="C1869" t="s">
        <v>62</v>
      </c>
      <c r="D1869" t="s">
        <v>11</v>
      </c>
      <c r="E1869" t="s">
        <v>22</v>
      </c>
      <c r="F1869" t="s">
        <v>18</v>
      </c>
      <c r="G1869" t="s">
        <v>19</v>
      </c>
      <c r="H1869">
        <v>31099</v>
      </c>
      <c r="I1869">
        <v>33800</v>
      </c>
    </row>
    <row r="1870" spans="1:9" x14ac:dyDescent="0.3">
      <c r="A1870" t="s">
        <v>1902</v>
      </c>
      <c r="B1870">
        <v>45928</v>
      </c>
      <c r="C1870" t="s">
        <v>62</v>
      </c>
      <c r="D1870" t="s">
        <v>11</v>
      </c>
      <c r="E1870" t="s">
        <v>22</v>
      </c>
      <c r="F1870" t="s">
        <v>59</v>
      </c>
      <c r="G1870" t="s">
        <v>14</v>
      </c>
      <c r="H1870">
        <v>38694</v>
      </c>
      <c r="I1870">
        <v>41600</v>
      </c>
    </row>
    <row r="1871" spans="1:9" x14ac:dyDescent="0.3">
      <c r="A1871" t="s">
        <v>1903</v>
      </c>
      <c r="B1871">
        <v>45928</v>
      </c>
      <c r="C1871" t="s">
        <v>10</v>
      </c>
      <c r="D1871" t="s">
        <v>11</v>
      </c>
      <c r="E1871" t="s">
        <v>12</v>
      </c>
      <c r="F1871" t="s">
        <v>56</v>
      </c>
      <c r="G1871" t="s">
        <v>19</v>
      </c>
      <c r="H1871">
        <v>40472</v>
      </c>
      <c r="I1871">
        <v>40300</v>
      </c>
    </row>
    <row r="1872" spans="1:9" x14ac:dyDescent="0.3">
      <c r="A1872" t="s">
        <v>1904</v>
      </c>
      <c r="B1872">
        <v>45928</v>
      </c>
      <c r="C1872" t="s">
        <v>10</v>
      </c>
      <c r="D1872" t="s">
        <v>11</v>
      </c>
      <c r="E1872" t="s">
        <v>12</v>
      </c>
      <c r="F1872" t="s">
        <v>59</v>
      </c>
      <c r="G1872" t="s">
        <v>14</v>
      </c>
      <c r="H1872">
        <v>100490</v>
      </c>
      <c r="I1872">
        <v>98500</v>
      </c>
    </row>
    <row r="1873" spans="1:9" x14ac:dyDescent="0.3">
      <c r="A1873" t="s">
        <v>1905</v>
      </c>
      <c r="B1873">
        <v>45928</v>
      </c>
      <c r="C1873" t="s">
        <v>36</v>
      </c>
      <c r="D1873" t="s">
        <v>11</v>
      </c>
      <c r="E1873" t="s">
        <v>37</v>
      </c>
      <c r="F1873" t="s">
        <v>39</v>
      </c>
      <c r="G1873" t="s">
        <v>19</v>
      </c>
      <c r="H1873">
        <v>54463</v>
      </c>
      <c r="I1873">
        <v>58900</v>
      </c>
    </row>
    <row r="1874" spans="1:9" x14ac:dyDescent="0.3">
      <c r="A1874" t="s">
        <v>1906</v>
      </c>
      <c r="B1874">
        <v>45928</v>
      </c>
      <c r="C1874" t="s">
        <v>25</v>
      </c>
      <c r="D1874" t="s">
        <v>11</v>
      </c>
      <c r="E1874" t="s">
        <v>22</v>
      </c>
      <c r="F1874" t="s">
        <v>18</v>
      </c>
      <c r="G1874" t="s">
        <v>19</v>
      </c>
      <c r="H1874">
        <v>87824</v>
      </c>
      <c r="I1874">
        <v>86500</v>
      </c>
    </row>
    <row r="1875" spans="1:9" x14ac:dyDescent="0.3">
      <c r="A1875" t="s">
        <v>1907</v>
      </c>
      <c r="B1875">
        <v>45928</v>
      </c>
      <c r="C1875" t="s">
        <v>55</v>
      </c>
      <c r="D1875" t="s">
        <v>11</v>
      </c>
      <c r="E1875" t="s">
        <v>37</v>
      </c>
      <c r="F1875" t="s">
        <v>42</v>
      </c>
      <c r="G1875" t="s">
        <v>19</v>
      </c>
      <c r="H1875">
        <v>35034</v>
      </c>
      <c r="I1875">
        <v>35100</v>
      </c>
    </row>
    <row r="1876" spans="1:9" x14ac:dyDescent="0.3">
      <c r="A1876" t="s">
        <v>1908</v>
      </c>
      <c r="B1876">
        <v>45929</v>
      </c>
      <c r="C1876" t="s">
        <v>62</v>
      </c>
      <c r="D1876" t="s">
        <v>11</v>
      </c>
      <c r="E1876" t="s">
        <v>22</v>
      </c>
      <c r="F1876" t="s">
        <v>42</v>
      </c>
      <c r="G1876" t="s">
        <v>19</v>
      </c>
      <c r="H1876">
        <v>101736</v>
      </c>
      <c r="I1876">
        <v>89700</v>
      </c>
    </row>
    <row r="1877" spans="1:9" x14ac:dyDescent="0.3">
      <c r="A1877" t="s">
        <v>1909</v>
      </c>
      <c r="B1877">
        <v>45929</v>
      </c>
      <c r="C1877" t="s">
        <v>62</v>
      </c>
      <c r="D1877" t="s">
        <v>11</v>
      </c>
      <c r="E1877" t="s">
        <v>22</v>
      </c>
      <c r="F1877" t="s">
        <v>23</v>
      </c>
      <c r="G1877" t="s">
        <v>14</v>
      </c>
      <c r="H1877">
        <v>226378</v>
      </c>
      <c r="I1877">
        <v>239700</v>
      </c>
    </row>
    <row r="1878" spans="1:9" x14ac:dyDescent="0.3">
      <c r="A1878" t="s">
        <v>1910</v>
      </c>
      <c r="B1878">
        <v>45929</v>
      </c>
      <c r="C1878" t="s">
        <v>10</v>
      </c>
      <c r="D1878" t="s">
        <v>11</v>
      </c>
      <c r="E1878" t="s">
        <v>12</v>
      </c>
      <c r="F1878" t="s">
        <v>56</v>
      </c>
      <c r="G1878" t="s">
        <v>19</v>
      </c>
      <c r="H1878">
        <v>16385</v>
      </c>
      <c r="I1878">
        <v>17100</v>
      </c>
    </row>
    <row r="1879" spans="1:9" x14ac:dyDescent="0.3">
      <c r="A1879" t="s">
        <v>1911</v>
      </c>
      <c r="B1879">
        <v>45929</v>
      </c>
      <c r="C1879" t="s">
        <v>16</v>
      </c>
      <c r="D1879" t="s">
        <v>11</v>
      </c>
      <c r="E1879" t="s">
        <v>17</v>
      </c>
      <c r="F1879" t="s">
        <v>42</v>
      </c>
      <c r="G1879" t="s">
        <v>19</v>
      </c>
      <c r="H1879">
        <v>60916</v>
      </c>
      <c r="I1879">
        <v>60700</v>
      </c>
    </row>
    <row r="1880" spans="1:9" x14ac:dyDescent="0.3">
      <c r="A1880" t="s">
        <v>1912</v>
      </c>
      <c r="B1880">
        <v>45929</v>
      </c>
      <c r="C1880" t="s">
        <v>21</v>
      </c>
      <c r="D1880" t="s">
        <v>11</v>
      </c>
      <c r="E1880" t="s">
        <v>22</v>
      </c>
      <c r="F1880" t="s">
        <v>23</v>
      </c>
      <c r="G1880" t="s">
        <v>14</v>
      </c>
      <c r="H1880">
        <v>55362</v>
      </c>
      <c r="I1880">
        <v>58800</v>
      </c>
    </row>
    <row r="1881" spans="1:9" x14ac:dyDescent="0.3">
      <c r="A1881" t="s">
        <v>1913</v>
      </c>
      <c r="B1881">
        <v>45929</v>
      </c>
      <c r="C1881" t="s">
        <v>55</v>
      </c>
      <c r="D1881" t="s">
        <v>11</v>
      </c>
      <c r="E1881" t="s">
        <v>37</v>
      </c>
      <c r="F1881" t="s">
        <v>13</v>
      </c>
      <c r="G1881" t="s">
        <v>14</v>
      </c>
      <c r="H1881">
        <v>89851</v>
      </c>
      <c r="I1881">
        <v>97300</v>
      </c>
    </row>
    <row r="1882" spans="1:9" x14ac:dyDescent="0.3">
      <c r="A1882" t="s">
        <v>1914</v>
      </c>
      <c r="B1882">
        <v>45930</v>
      </c>
      <c r="C1882" t="s">
        <v>10</v>
      </c>
      <c r="D1882" t="s">
        <v>11</v>
      </c>
      <c r="E1882" t="s">
        <v>12</v>
      </c>
      <c r="F1882" t="s">
        <v>59</v>
      </c>
      <c r="G1882" t="s">
        <v>14</v>
      </c>
      <c r="H1882">
        <v>30844</v>
      </c>
      <c r="I1882">
        <v>34000</v>
      </c>
    </row>
    <row r="1883" spans="1:9" x14ac:dyDescent="0.3">
      <c r="A1883" t="s">
        <v>1915</v>
      </c>
      <c r="B1883">
        <v>45930</v>
      </c>
      <c r="C1883" t="s">
        <v>10</v>
      </c>
      <c r="D1883" t="s">
        <v>11</v>
      </c>
      <c r="E1883" t="s">
        <v>12</v>
      </c>
      <c r="F1883" t="s">
        <v>12</v>
      </c>
      <c r="G1883" t="s">
        <v>14</v>
      </c>
      <c r="H1883">
        <v>39270</v>
      </c>
      <c r="I1883">
        <v>43000</v>
      </c>
    </row>
    <row r="1884" spans="1:9" x14ac:dyDescent="0.3">
      <c r="A1884" t="s">
        <v>1916</v>
      </c>
      <c r="B1884">
        <v>45930</v>
      </c>
      <c r="C1884" t="s">
        <v>16</v>
      </c>
      <c r="D1884" t="s">
        <v>11</v>
      </c>
      <c r="E1884" t="s">
        <v>17</v>
      </c>
      <c r="F1884" t="s">
        <v>46</v>
      </c>
      <c r="G1884" t="s">
        <v>19</v>
      </c>
      <c r="H1884">
        <v>104408</v>
      </c>
      <c r="I1884">
        <v>111300</v>
      </c>
    </row>
    <row r="1885" spans="1:9" x14ac:dyDescent="0.3">
      <c r="A1885" t="s">
        <v>1917</v>
      </c>
      <c r="B1885">
        <v>45930</v>
      </c>
      <c r="C1885" t="s">
        <v>16</v>
      </c>
      <c r="D1885" t="s">
        <v>11</v>
      </c>
      <c r="E1885" t="s">
        <v>17</v>
      </c>
      <c r="F1885" t="s">
        <v>13</v>
      </c>
      <c r="G1885" t="s">
        <v>14</v>
      </c>
      <c r="H1885">
        <v>164889</v>
      </c>
      <c r="I1885">
        <v>150700</v>
      </c>
    </row>
    <row r="1886" spans="1:9" x14ac:dyDescent="0.3">
      <c r="A1886" t="s">
        <v>1918</v>
      </c>
      <c r="B1886">
        <v>45930</v>
      </c>
      <c r="C1886" t="s">
        <v>36</v>
      </c>
      <c r="D1886" t="s">
        <v>11</v>
      </c>
      <c r="E1886" t="s">
        <v>37</v>
      </c>
      <c r="F1886" t="s">
        <v>56</v>
      </c>
      <c r="G1886" t="s">
        <v>19</v>
      </c>
      <c r="H1886">
        <v>57844</v>
      </c>
      <c r="I1886">
        <v>50500</v>
      </c>
    </row>
    <row r="1887" spans="1:9" x14ac:dyDescent="0.3">
      <c r="A1887" t="s">
        <v>1919</v>
      </c>
      <c r="B1887">
        <v>45930</v>
      </c>
      <c r="C1887" t="s">
        <v>36</v>
      </c>
      <c r="D1887" t="s">
        <v>11</v>
      </c>
      <c r="E1887" t="s">
        <v>37</v>
      </c>
      <c r="F1887" t="s">
        <v>23</v>
      </c>
      <c r="G1887" t="s">
        <v>14</v>
      </c>
      <c r="H1887">
        <v>158276</v>
      </c>
      <c r="I1887">
        <v>169600</v>
      </c>
    </row>
    <row r="1888" spans="1:9" x14ac:dyDescent="0.3">
      <c r="A1888" t="s">
        <v>1920</v>
      </c>
      <c r="B1888">
        <v>45930</v>
      </c>
      <c r="C1888" t="s">
        <v>21</v>
      </c>
      <c r="D1888" t="s">
        <v>11</v>
      </c>
      <c r="E1888" t="s">
        <v>22</v>
      </c>
      <c r="F1888" t="s">
        <v>37</v>
      </c>
      <c r="G1888" t="s">
        <v>14</v>
      </c>
      <c r="H1888">
        <v>154602</v>
      </c>
      <c r="I1888">
        <v>173300</v>
      </c>
    </row>
    <row r="1889" spans="1:9" x14ac:dyDescent="0.3">
      <c r="A1889" t="s">
        <v>1921</v>
      </c>
      <c r="B1889">
        <v>45930</v>
      </c>
      <c r="C1889" t="s">
        <v>31</v>
      </c>
      <c r="D1889" t="s">
        <v>11</v>
      </c>
      <c r="E1889" t="s">
        <v>17</v>
      </c>
      <c r="F1889" t="s">
        <v>18</v>
      </c>
      <c r="G1889" t="s">
        <v>19</v>
      </c>
      <c r="H1889">
        <v>24993</v>
      </c>
      <c r="I1889">
        <v>25100</v>
      </c>
    </row>
    <row r="1890" spans="1:9" x14ac:dyDescent="0.3">
      <c r="A1890" t="s">
        <v>1922</v>
      </c>
      <c r="B1890">
        <v>45930</v>
      </c>
      <c r="C1890" t="s">
        <v>31</v>
      </c>
      <c r="D1890" t="s">
        <v>11</v>
      </c>
      <c r="E1890" t="s">
        <v>17</v>
      </c>
      <c r="F1890" t="s">
        <v>56</v>
      </c>
      <c r="G1890" t="s">
        <v>19</v>
      </c>
      <c r="H1890">
        <v>18795</v>
      </c>
      <c r="I1890">
        <v>17500</v>
      </c>
    </row>
    <row r="1891" spans="1:9" x14ac:dyDescent="0.3">
      <c r="A1891" t="s">
        <v>1923</v>
      </c>
      <c r="B1891">
        <v>45930</v>
      </c>
      <c r="C1891" t="s">
        <v>31</v>
      </c>
      <c r="D1891" t="s">
        <v>11</v>
      </c>
      <c r="E1891" t="s">
        <v>17</v>
      </c>
      <c r="F1891" t="s">
        <v>12</v>
      </c>
      <c r="G1891" t="s">
        <v>14</v>
      </c>
      <c r="H1891">
        <v>194995</v>
      </c>
      <c r="I1891">
        <v>187000</v>
      </c>
    </row>
    <row r="1892" spans="1:9" x14ac:dyDescent="0.3">
      <c r="A1892" t="s">
        <v>1924</v>
      </c>
      <c r="B1892">
        <v>45930</v>
      </c>
      <c r="C1892" t="s">
        <v>55</v>
      </c>
      <c r="D1892" t="s">
        <v>11</v>
      </c>
      <c r="E1892" t="s">
        <v>37</v>
      </c>
      <c r="F1892" t="s">
        <v>33</v>
      </c>
      <c r="G1892" t="s">
        <v>19</v>
      </c>
      <c r="H1892">
        <v>110441</v>
      </c>
      <c r="I1892">
        <v>95300</v>
      </c>
    </row>
    <row r="1893" spans="1:9" x14ac:dyDescent="0.3">
      <c r="A1893" t="s">
        <v>1925</v>
      </c>
      <c r="B1893">
        <v>45930</v>
      </c>
      <c r="C1893" t="s">
        <v>55</v>
      </c>
      <c r="D1893" t="s">
        <v>11</v>
      </c>
      <c r="E1893" t="s">
        <v>37</v>
      </c>
      <c r="F1893" t="s">
        <v>23</v>
      </c>
      <c r="G1893" t="s">
        <v>14</v>
      </c>
      <c r="H1893">
        <v>214358</v>
      </c>
      <c r="I1893">
        <v>215200</v>
      </c>
    </row>
    <row r="1894" spans="1:9" x14ac:dyDescent="0.3">
      <c r="A1894" t="s">
        <v>1926</v>
      </c>
      <c r="B1894">
        <v>45931</v>
      </c>
      <c r="C1894" t="s">
        <v>62</v>
      </c>
      <c r="D1894" t="s">
        <v>11</v>
      </c>
      <c r="E1894" t="s">
        <v>22</v>
      </c>
      <c r="F1894" t="s">
        <v>42</v>
      </c>
      <c r="G1894" t="s">
        <v>19</v>
      </c>
      <c r="H1894">
        <v>102523</v>
      </c>
      <c r="I1894">
        <v>83900</v>
      </c>
    </row>
    <row r="1895" spans="1:9" x14ac:dyDescent="0.3">
      <c r="A1895" t="s">
        <v>1927</v>
      </c>
      <c r="B1895">
        <v>45931</v>
      </c>
      <c r="C1895" t="s">
        <v>16</v>
      </c>
      <c r="D1895" t="s">
        <v>11</v>
      </c>
      <c r="E1895" t="s">
        <v>17</v>
      </c>
      <c r="F1895" t="s">
        <v>12</v>
      </c>
      <c r="G1895" t="s">
        <v>14</v>
      </c>
      <c r="H1895">
        <v>218071</v>
      </c>
      <c r="I1895">
        <v>245800</v>
      </c>
    </row>
    <row r="1896" spans="1:9" x14ac:dyDescent="0.3">
      <c r="A1896" t="s">
        <v>1928</v>
      </c>
      <c r="B1896">
        <v>45931</v>
      </c>
      <c r="C1896" t="s">
        <v>21</v>
      </c>
      <c r="D1896" t="s">
        <v>11</v>
      </c>
      <c r="E1896" t="s">
        <v>22</v>
      </c>
      <c r="F1896" t="s">
        <v>12</v>
      </c>
      <c r="G1896" t="s">
        <v>14</v>
      </c>
      <c r="H1896">
        <v>234510</v>
      </c>
      <c r="I1896">
        <v>234600</v>
      </c>
    </row>
    <row r="1897" spans="1:9" x14ac:dyDescent="0.3">
      <c r="A1897" t="s">
        <v>1929</v>
      </c>
      <c r="B1897">
        <v>45931</v>
      </c>
      <c r="C1897" t="s">
        <v>55</v>
      </c>
      <c r="D1897" t="s">
        <v>11</v>
      </c>
      <c r="E1897" t="s">
        <v>37</v>
      </c>
      <c r="F1897" t="s">
        <v>23</v>
      </c>
      <c r="G1897" t="s">
        <v>14</v>
      </c>
      <c r="H1897">
        <v>57261</v>
      </c>
      <c r="I1897">
        <v>55200</v>
      </c>
    </row>
    <row r="1898" spans="1:9" x14ac:dyDescent="0.3">
      <c r="A1898" t="s">
        <v>1930</v>
      </c>
      <c r="B1898">
        <v>45932</v>
      </c>
      <c r="C1898" t="s">
        <v>16</v>
      </c>
      <c r="D1898" t="s">
        <v>11</v>
      </c>
      <c r="E1898" t="s">
        <v>17</v>
      </c>
      <c r="F1898" t="s">
        <v>18</v>
      </c>
      <c r="G1898" t="s">
        <v>19</v>
      </c>
      <c r="H1898">
        <v>22166</v>
      </c>
      <c r="I1898">
        <v>18600</v>
      </c>
    </row>
    <row r="1899" spans="1:9" x14ac:dyDescent="0.3">
      <c r="A1899" t="s">
        <v>1931</v>
      </c>
      <c r="B1899">
        <v>45932</v>
      </c>
      <c r="C1899" t="s">
        <v>16</v>
      </c>
      <c r="D1899" t="s">
        <v>11</v>
      </c>
      <c r="E1899" t="s">
        <v>17</v>
      </c>
      <c r="F1899" t="s">
        <v>59</v>
      </c>
      <c r="G1899" t="s">
        <v>14</v>
      </c>
      <c r="H1899">
        <v>42023</v>
      </c>
      <c r="I1899">
        <v>44300</v>
      </c>
    </row>
    <row r="1900" spans="1:9" x14ac:dyDescent="0.3">
      <c r="A1900" t="s">
        <v>1932</v>
      </c>
      <c r="B1900">
        <v>45932</v>
      </c>
      <c r="C1900" t="s">
        <v>36</v>
      </c>
      <c r="D1900" t="s">
        <v>11</v>
      </c>
      <c r="E1900" t="s">
        <v>37</v>
      </c>
      <c r="F1900" t="s">
        <v>39</v>
      </c>
      <c r="G1900" t="s">
        <v>19</v>
      </c>
      <c r="H1900">
        <v>83758</v>
      </c>
      <c r="I1900">
        <v>83800</v>
      </c>
    </row>
    <row r="1901" spans="1:9" x14ac:dyDescent="0.3">
      <c r="A1901" t="s">
        <v>1933</v>
      </c>
      <c r="B1901">
        <v>45932</v>
      </c>
      <c r="C1901" t="s">
        <v>36</v>
      </c>
      <c r="D1901" t="s">
        <v>11</v>
      </c>
      <c r="E1901" t="s">
        <v>37</v>
      </c>
      <c r="F1901" t="s">
        <v>23</v>
      </c>
      <c r="G1901" t="s">
        <v>14</v>
      </c>
      <c r="H1901">
        <v>190449</v>
      </c>
      <c r="I1901">
        <v>206000</v>
      </c>
    </row>
    <row r="1902" spans="1:9" x14ac:dyDescent="0.3">
      <c r="A1902" t="s">
        <v>1934</v>
      </c>
      <c r="B1902">
        <v>45932</v>
      </c>
      <c r="C1902" t="s">
        <v>21</v>
      </c>
      <c r="D1902" t="s">
        <v>11</v>
      </c>
      <c r="E1902" t="s">
        <v>22</v>
      </c>
      <c r="F1902" t="s">
        <v>46</v>
      </c>
      <c r="G1902" t="s">
        <v>19</v>
      </c>
      <c r="H1902">
        <v>88486</v>
      </c>
      <c r="I1902">
        <v>82300</v>
      </c>
    </row>
    <row r="1903" spans="1:9" x14ac:dyDescent="0.3">
      <c r="A1903" t="s">
        <v>1935</v>
      </c>
      <c r="B1903">
        <v>45932</v>
      </c>
      <c r="C1903" t="s">
        <v>25</v>
      </c>
      <c r="D1903" t="s">
        <v>11</v>
      </c>
      <c r="E1903" t="s">
        <v>22</v>
      </c>
      <c r="F1903" t="s">
        <v>26</v>
      </c>
      <c r="G1903" t="s">
        <v>14</v>
      </c>
      <c r="H1903">
        <v>171980</v>
      </c>
      <c r="I1903">
        <v>176800</v>
      </c>
    </row>
    <row r="1904" spans="1:9" x14ac:dyDescent="0.3">
      <c r="A1904" t="s">
        <v>1936</v>
      </c>
      <c r="B1904">
        <v>45932</v>
      </c>
      <c r="C1904" t="s">
        <v>31</v>
      </c>
      <c r="D1904" t="s">
        <v>11</v>
      </c>
      <c r="E1904" t="s">
        <v>17</v>
      </c>
      <c r="F1904" t="s">
        <v>23</v>
      </c>
      <c r="G1904" t="s">
        <v>14</v>
      </c>
      <c r="H1904">
        <v>203341</v>
      </c>
      <c r="I1904">
        <v>176500</v>
      </c>
    </row>
    <row r="1905" spans="1:9" x14ac:dyDescent="0.3">
      <c r="A1905" t="s">
        <v>1937</v>
      </c>
      <c r="B1905">
        <v>45932</v>
      </c>
      <c r="C1905" t="s">
        <v>55</v>
      </c>
      <c r="D1905" t="s">
        <v>11</v>
      </c>
      <c r="E1905" t="s">
        <v>37</v>
      </c>
      <c r="F1905" t="s">
        <v>13</v>
      </c>
      <c r="G1905" t="s">
        <v>14</v>
      </c>
      <c r="H1905">
        <v>157278</v>
      </c>
      <c r="I1905">
        <v>157400</v>
      </c>
    </row>
    <row r="1906" spans="1:9" x14ac:dyDescent="0.3">
      <c r="A1906" t="s">
        <v>1938</v>
      </c>
      <c r="B1906">
        <v>45933</v>
      </c>
      <c r="C1906" t="s">
        <v>62</v>
      </c>
      <c r="D1906" t="s">
        <v>11</v>
      </c>
      <c r="E1906" t="s">
        <v>22</v>
      </c>
      <c r="F1906" t="s">
        <v>18</v>
      </c>
      <c r="G1906" t="s">
        <v>19</v>
      </c>
      <c r="H1906">
        <v>52974</v>
      </c>
      <c r="I1906">
        <v>51900</v>
      </c>
    </row>
    <row r="1907" spans="1:9" x14ac:dyDescent="0.3">
      <c r="A1907" t="s">
        <v>1939</v>
      </c>
      <c r="B1907">
        <v>45933</v>
      </c>
      <c r="C1907" t="s">
        <v>62</v>
      </c>
      <c r="D1907" t="s">
        <v>11</v>
      </c>
      <c r="E1907" t="s">
        <v>22</v>
      </c>
      <c r="F1907" t="s">
        <v>12</v>
      </c>
      <c r="G1907" t="s">
        <v>14</v>
      </c>
      <c r="H1907">
        <v>99999</v>
      </c>
      <c r="I1907">
        <v>97700</v>
      </c>
    </row>
    <row r="1908" spans="1:9" x14ac:dyDescent="0.3">
      <c r="A1908" t="s">
        <v>1940</v>
      </c>
      <c r="B1908">
        <v>45933</v>
      </c>
      <c r="C1908" t="s">
        <v>10</v>
      </c>
      <c r="D1908" t="s">
        <v>11</v>
      </c>
      <c r="E1908" t="s">
        <v>12</v>
      </c>
      <c r="F1908" t="s">
        <v>33</v>
      </c>
      <c r="G1908" t="s">
        <v>19</v>
      </c>
      <c r="H1908">
        <v>73977</v>
      </c>
      <c r="I1908">
        <v>74000</v>
      </c>
    </row>
    <row r="1909" spans="1:9" x14ac:dyDescent="0.3">
      <c r="A1909" t="s">
        <v>1941</v>
      </c>
      <c r="B1909">
        <v>45933</v>
      </c>
      <c r="C1909" t="s">
        <v>10</v>
      </c>
      <c r="D1909" t="s">
        <v>11</v>
      </c>
      <c r="E1909" t="s">
        <v>12</v>
      </c>
      <c r="F1909" t="s">
        <v>39</v>
      </c>
      <c r="G1909" t="s">
        <v>19</v>
      </c>
      <c r="H1909">
        <v>72721</v>
      </c>
      <c r="I1909">
        <v>69700</v>
      </c>
    </row>
    <row r="1910" spans="1:9" x14ac:dyDescent="0.3">
      <c r="A1910" t="s">
        <v>1942</v>
      </c>
      <c r="B1910">
        <v>45933</v>
      </c>
      <c r="C1910" t="s">
        <v>25</v>
      </c>
      <c r="D1910" t="s">
        <v>11</v>
      </c>
      <c r="E1910" t="s">
        <v>22</v>
      </c>
      <c r="F1910" t="s">
        <v>18</v>
      </c>
      <c r="G1910" t="s">
        <v>19</v>
      </c>
      <c r="H1910">
        <v>89293</v>
      </c>
      <c r="I1910">
        <v>70400</v>
      </c>
    </row>
    <row r="1911" spans="1:9" x14ac:dyDescent="0.3">
      <c r="A1911" t="s">
        <v>1943</v>
      </c>
      <c r="B1911">
        <v>45933</v>
      </c>
      <c r="C1911" t="s">
        <v>55</v>
      </c>
      <c r="D1911" t="s">
        <v>11</v>
      </c>
      <c r="E1911" t="s">
        <v>37</v>
      </c>
      <c r="F1911" t="s">
        <v>37</v>
      </c>
      <c r="G1911" t="s">
        <v>14</v>
      </c>
      <c r="H1911">
        <v>178912</v>
      </c>
      <c r="I1911">
        <v>150100</v>
      </c>
    </row>
    <row r="1912" spans="1:9" x14ac:dyDescent="0.3">
      <c r="A1912" t="s">
        <v>1944</v>
      </c>
      <c r="B1912">
        <v>45934</v>
      </c>
      <c r="C1912" t="s">
        <v>62</v>
      </c>
      <c r="D1912" t="s">
        <v>11</v>
      </c>
      <c r="E1912" t="s">
        <v>22</v>
      </c>
      <c r="F1912" t="s">
        <v>46</v>
      </c>
      <c r="G1912" t="s">
        <v>19</v>
      </c>
      <c r="H1912">
        <v>110748</v>
      </c>
      <c r="I1912">
        <v>103900</v>
      </c>
    </row>
    <row r="1913" spans="1:9" x14ac:dyDescent="0.3">
      <c r="A1913" t="s">
        <v>1945</v>
      </c>
      <c r="B1913">
        <v>45934</v>
      </c>
      <c r="C1913" t="s">
        <v>62</v>
      </c>
      <c r="D1913" t="s">
        <v>11</v>
      </c>
      <c r="E1913" t="s">
        <v>22</v>
      </c>
      <c r="F1913" t="s">
        <v>37</v>
      </c>
      <c r="G1913" t="s">
        <v>14</v>
      </c>
      <c r="H1913">
        <v>100001</v>
      </c>
      <c r="I1913">
        <v>107800</v>
      </c>
    </row>
    <row r="1914" spans="1:9" x14ac:dyDescent="0.3">
      <c r="A1914" t="s">
        <v>1946</v>
      </c>
      <c r="B1914">
        <v>45934</v>
      </c>
      <c r="C1914" t="s">
        <v>16</v>
      </c>
      <c r="D1914" t="s">
        <v>11</v>
      </c>
      <c r="E1914" t="s">
        <v>17</v>
      </c>
      <c r="F1914" t="s">
        <v>37</v>
      </c>
      <c r="G1914" t="s">
        <v>14</v>
      </c>
      <c r="H1914">
        <v>176570</v>
      </c>
      <c r="I1914">
        <v>175500</v>
      </c>
    </row>
    <row r="1915" spans="1:9" x14ac:dyDescent="0.3">
      <c r="A1915" t="s">
        <v>1947</v>
      </c>
      <c r="B1915">
        <v>45934</v>
      </c>
      <c r="C1915" t="s">
        <v>36</v>
      </c>
      <c r="D1915" t="s">
        <v>11</v>
      </c>
      <c r="E1915" t="s">
        <v>37</v>
      </c>
      <c r="F1915" t="s">
        <v>18</v>
      </c>
      <c r="G1915" t="s">
        <v>19</v>
      </c>
      <c r="H1915">
        <v>51230</v>
      </c>
      <c r="I1915">
        <v>54300</v>
      </c>
    </row>
    <row r="1916" spans="1:9" x14ac:dyDescent="0.3">
      <c r="A1916" t="s">
        <v>1948</v>
      </c>
      <c r="B1916">
        <v>45934</v>
      </c>
      <c r="C1916" t="s">
        <v>36</v>
      </c>
      <c r="D1916" t="s">
        <v>11</v>
      </c>
      <c r="E1916" t="s">
        <v>37</v>
      </c>
      <c r="F1916" t="s">
        <v>12</v>
      </c>
      <c r="G1916" t="s">
        <v>14</v>
      </c>
      <c r="H1916">
        <v>167272</v>
      </c>
      <c r="I1916">
        <v>165800</v>
      </c>
    </row>
    <row r="1917" spans="1:9" x14ac:dyDescent="0.3">
      <c r="A1917" t="s">
        <v>1949</v>
      </c>
      <c r="B1917">
        <v>45934</v>
      </c>
      <c r="C1917" t="s">
        <v>36</v>
      </c>
      <c r="D1917" t="s">
        <v>11</v>
      </c>
      <c r="E1917" t="s">
        <v>37</v>
      </c>
      <c r="F1917" t="s">
        <v>13</v>
      </c>
      <c r="G1917" t="s">
        <v>14</v>
      </c>
      <c r="H1917">
        <v>127702</v>
      </c>
      <c r="I1917">
        <v>132700</v>
      </c>
    </row>
    <row r="1918" spans="1:9" x14ac:dyDescent="0.3">
      <c r="A1918" t="s">
        <v>1950</v>
      </c>
      <c r="B1918">
        <v>45934</v>
      </c>
      <c r="C1918" t="s">
        <v>36</v>
      </c>
      <c r="D1918" t="s">
        <v>11</v>
      </c>
      <c r="E1918" t="s">
        <v>37</v>
      </c>
      <c r="F1918" t="s">
        <v>26</v>
      </c>
      <c r="G1918" t="s">
        <v>14</v>
      </c>
      <c r="H1918">
        <v>83782</v>
      </c>
      <c r="I1918">
        <v>88900</v>
      </c>
    </row>
    <row r="1919" spans="1:9" x14ac:dyDescent="0.3">
      <c r="A1919" t="s">
        <v>1951</v>
      </c>
      <c r="B1919">
        <v>45934</v>
      </c>
      <c r="C1919" t="s">
        <v>21</v>
      </c>
      <c r="D1919" t="s">
        <v>11</v>
      </c>
      <c r="E1919" t="s">
        <v>22</v>
      </c>
      <c r="F1919" t="s">
        <v>59</v>
      </c>
      <c r="G1919" t="s">
        <v>14</v>
      </c>
      <c r="H1919">
        <v>58361</v>
      </c>
      <c r="I1919">
        <v>65000</v>
      </c>
    </row>
    <row r="1920" spans="1:9" x14ac:dyDescent="0.3">
      <c r="A1920" t="s">
        <v>1952</v>
      </c>
      <c r="B1920">
        <v>45934</v>
      </c>
      <c r="C1920" t="s">
        <v>21</v>
      </c>
      <c r="D1920" t="s">
        <v>11</v>
      </c>
      <c r="E1920" t="s">
        <v>22</v>
      </c>
      <c r="F1920" t="s">
        <v>59</v>
      </c>
      <c r="G1920" t="s">
        <v>14</v>
      </c>
      <c r="H1920">
        <v>178011</v>
      </c>
      <c r="I1920">
        <v>170600</v>
      </c>
    </row>
    <row r="1921" spans="1:9" x14ac:dyDescent="0.3">
      <c r="A1921" t="s">
        <v>1953</v>
      </c>
      <c r="B1921">
        <v>45934</v>
      </c>
      <c r="C1921" t="s">
        <v>25</v>
      </c>
      <c r="D1921" t="s">
        <v>11</v>
      </c>
      <c r="E1921" t="s">
        <v>22</v>
      </c>
      <c r="F1921" t="s">
        <v>18</v>
      </c>
      <c r="G1921" t="s">
        <v>19</v>
      </c>
      <c r="H1921">
        <v>84984</v>
      </c>
      <c r="I1921">
        <v>100100</v>
      </c>
    </row>
    <row r="1922" spans="1:9" x14ac:dyDescent="0.3">
      <c r="A1922" t="s">
        <v>1954</v>
      </c>
      <c r="B1922">
        <v>45934</v>
      </c>
      <c r="C1922" t="s">
        <v>31</v>
      </c>
      <c r="D1922" t="s">
        <v>11</v>
      </c>
      <c r="E1922" t="s">
        <v>17</v>
      </c>
      <c r="F1922" t="s">
        <v>12</v>
      </c>
      <c r="G1922" t="s">
        <v>14</v>
      </c>
      <c r="H1922">
        <v>54532</v>
      </c>
      <c r="I1922">
        <v>49600</v>
      </c>
    </row>
    <row r="1923" spans="1:9" x14ac:dyDescent="0.3">
      <c r="A1923" t="s">
        <v>1955</v>
      </c>
      <c r="B1923">
        <v>45935</v>
      </c>
      <c r="C1923" t="s">
        <v>62</v>
      </c>
      <c r="D1923" t="s">
        <v>11</v>
      </c>
      <c r="E1923" t="s">
        <v>22</v>
      </c>
      <c r="F1923" t="s">
        <v>12</v>
      </c>
      <c r="G1923" t="s">
        <v>14</v>
      </c>
      <c r="H1923">
        <v>29944</v>
      </c>
      <c r="I1923">
        <v>29700</v>
      </c>
    </row>
    <row r="1924" spans="1:9" x14ac:dyDescent="0.3">
      <c r="A1924" t="s">
        <v>1956</v>
      </c>
      <c r="B1924">
        <v>45935</v>
      </c>
      <c r="C1924" t="s">
        <v>62</v>
      </c>
      <c r="D1924" t="s">
        <v>11</v>
      </c>
      <c r="E1924" t="s">
        <v>22</v>
      </c>
      <c r="F1924" t="s">
        <v>37</v>
      </c>
      <c r="G1924" t="s">
        <v>14</v>
      </c>
      <c r="H1924">
        <v>190469</v>
      </c>
      <c r="I1924">
        <v>209800</v>
      </c>
    </row>
    <row r="1925" spans="1:9" x14ac:dyDescent="0.3">
      <c r="A1925" t="s">
        <v>1957</v>
      </c>
      <c r="B1925">
        <v>45935</v>
      </c>
      <c r="C1925" t="s">
        <v>10</v>
      </c>
      <c r="D1925" t="s">
        <v>11</v>
      </c>
      <c r="E1925" t="s">
        <v>12</v>
      </c>
      <c r="F1925" t="s">
        <v>46</v>
      </c>
      <c r="G1925" t="s">
        <v>19</v>
      </c>
      <c r="H1925">
        <v>47420</v>
      </c>
      <c r="I1925">
        <v>53300</v>
      </c>
    </row>
    <row r="1926" spans="1:9" x14ac:dyDescent="0.3">
      <c r="A1926" t="s">
        <v>1958</v>
      </c>
      <c r="B1926">
        <v>45935</v>
      </c>
      <c r="C1926" t="s">
        <v>16</v>
      </c>
      <c r="D1926" t="s">
        <v>11</v>
      </c>
      <c r="E1926" t="s">
        <v>17</v>
      </c>
      <c r="F1926" t="s">
        <v>42</v>
      </c>
      <c r="G1926" t="s">
        <v>19</v>
      </c>
      <c r="H1926">
        <v>28170</v>
      </c>
      <c r="I1926">
        <v>28800</v>
      </c>
    </row>
    <row r="1927" spans="1:9" x14ac:dyDescent="0.3">
      <c r="A1927" t="s">
        <v>1959</v>
      </c>
      <c r="B1927">
        <v>45935</v>
      </c>
      <c r="C1927" t="s">
        <v>16</v>
      </c>
      <c r="D1927" t="s">
        <v>11</v>
      </c>
      <c r="E1927" t="s">
        <v>17</v>
      </c>
      <c r="F1927" t="s">
        <v>12</v>
      </c>
      <c r="G1927" t="s">
        <v>14</v>
      </c>
      <c r="H1927">
        <v>230871</v>
      </c>
      <c r="I1927">
        <v>245400</v>
      </c>
    </row>
    <row r="1928" spans="1:9" x14ac:dyDescent="0.3">
      <c r="A1928" t="s">
        <v>1960</v>
      </c>
      <c r="B1928">
        <v>45935</v>
      </c>
      <c r="C1928" t="s">
        <v>36</v>
      </c>
      <c r="D1928" t="s">
        <v>11</v>
      </c>
      <c r="E1928" t="s">
        <v>37</v>
      </c>
      <c r="F1928" t="s">
        <v>59</v>
      </c>
      <c r="G1928" t="s">
        <v>14</v>
      </c>
      <c r="H1928">
        <v>119366</v>
      </c>
      <c r="I1928">
        <v>124100</v>
      </c>
    </row>
    <row r="1929" spans="1:9" x14ac:dyDescent="0.3">
      <c r="A1929" t="s">
        <v>1961</v>
      </c>
      <c r="B1929">
        <v>45935</v>
      </c>
      <c r="C1929" t="s">
        <v>21</v>
      </c>
      <c r="D1929" t="s">
        <v>11</v>
      </c>
      <c r="E1929" t="s">
        <v>22</v>
      </c>
      <c r="F1929" t="s">
        <v>33</v>
      </c>
      <c r="G1929" t="s">
        <v>19</v>
      </c>
      <c r="H1929">
        <v>90378</v>
      </c>
      <c r="I1929">
        <v>102700</v>
      </c>
    </row>
    <row r="1930" spans="1:9" x14ac:dyDescent="0.3">
      <c r="A1930" t="s">
        <v>1962</v>
      </c>
      <c r="B1930">
        <v>45935</v>
      </c>
      <c r="C1930" t="s">
        <v>31</v>
      </c>
      <c r="D1930" t="s">
        <v>11</v>
      </c>
      <c r="E1930" t="s">
        <v>17</v>
      </c>
      <c r="F1930" t="s">
        <v>37</v>
      </c>
      <c r="G1930" t="s">
        <v>14</v>
      </c>
      <c r="H1930">
        <v>53332</v>
      </c>
      <c r="I1930">
        <v>52300</v>
      </c>
    </row>
    <row r="1931" spans="1:9" x14ac:dyDescent="0.3">
      <c r="A1931" t="s">
        <v>1963</v>
      </c>
      <c r="B1931">
        <v>45935</v>
      </c>
      <c r="C1931" t="s">
        <v>31</v>
      </c>
      <c r="D1931" t="s">
        <v>11</v>
      </c>
      <c r="E1931" t="s">
        <v>17</v>
      </c>
      <c r="F1931" t="s">
        <v>37</v>
      </c>
      <c r="G1931" t="s">
        <v>14</v>
      </c>
      <c r="H1931">
        <v>177783</v>
      </c>
      <c r="I1931">
        <v>165500</v>
      </c>
    </row>
    <row r="1932" spans="1:9" x14ac:dyDescent="0.3">
      <c r="A1932" t="s">
        <v>1964</v>
      </c>
      <c r="B1932">
        <v>45935</v>
      </c>
      <c r="C1932" t="s">
        <v>55</v>
      </c>
      <c r="D1932" t="s">
        <v>11</v>
      </c>
      <c r="E1932" t="s">
        <v>37</v>
      </c>
      <c r="F1932" t="s">
        <v>33</v>
      </c>
      <c r="G1932" t="s">
        <v>19</v>
      </c>
      <c r="H1932">
        <v>115832</v>
      </c>
      <c r="I1932">
        <v>115200</v>
      </c>
    </row>
    <row r="1933" spans="1:9" x14ac:dyDescent="0.3">
      <c r="A1933" t="s">
        <v>1965</v>
      </c>
      <c r="B1933">
        <v>45936</v>
      </c>
      <c r="C1933" t="s">
        <v>62</v>
      </c>
      <c r="D1933" t="s">
        <v>11</v>
      </c>
      <c r="E1933" t="s">
        <v>22</v>
      </c>
      <c r="F1933" t="s">
        <v>39</v>
      </c>
      <c r="G1933" t="s">
        <v>19</v>
      </c>
      <c r="H1933">
        <v>33017</v>
      </c>
      <c r="I1933">
        <v>33400</v>
      </c>
    </row>
    <row r="1934" spans="1:9" x14ac:dyDescent="0.3">
      <c r="A1934" t="s">
        <v>1966</v>
      </c>
      <c r="B1934">
        <v>45936</v>
      </c>
      <c r="C1934" t="s">
        <v>62</v>
      </c>
      <c r="D1934" t="s">
        <v>11</v>
      </c>
      <c r="E1934" t="s">
        <v>22</v>
      </c>
      <c r="F1934" t="s">
        <v>59</v>
      </c>
      <c r="G1934" t="s">
        <v>14</v>
      </c>
      <c r="H1934">
        <v>177297</v>
      </c>
      <c r="I1934">
        <v>173400</v>
      </c>
    </row>
    <row r="1935" spans="1:9" x14ac:dyDescent="0.3">
      <c r="A1935" t="s">
        <v>1967</v>
      </c>
      <c r="B1935">
        <v>45936</v>
      </c>
      <c r="C1935" t="s">
        <v>10</v>
      </c>
      <c r="D1935" t="s">
        <v>11</v>
      </c>
      <c r="E1935" t="s">
        <v>12</v>
      </c>
      <c r="F1935" t="s">
        <v>56</v>
      </c>
      <c r="G1935" t="s">
        <v>19</v>
      </c>
      <c r="H1935">
        <v>12344</v>
      </c>
      <c r="I1935">
        <v>11200</v>
      </c>
    </row>
    <row r="1936" spans="1:9" x14ac:dyDescent="0.3">
      <c r="A1936" t="s">
        <v>1968</v>
      </c>
      <c r="B1936">
        <v>45936</v>
      </c>
      <c r="C1936" t="s">
        <v>10</v>
      </c>
      <c r="D1936" t="s">
        <v>11</v>
      </c>
      <c r="E1936" t="s">
        <v>12</v>
      </c>
      <c r="F1936" t="s">
        <v>23</v>
      </c>
      <c r="G1936" t="s">
        <v>14</v>
      </c>
      <c r="H1936">
        <v>123353</v>
      </c>
      <c r="I1936">
        <v>119100</v>
      </c>
    </row>
    <row r="1937" spans="1:9" x14ac:dyDescent="0.3">
      <c r="A1937" t="s">
        <v>1969</v>
      </c>
      <c r="B1937">
        <v>45936</v>
      </c>
      <c r="C1937" t="s">
        <v>16</v>
      </c>
      <c r="D1937" t="s">
        <v>11</v>
      </c>
      <c r="E1937" t="s">
        <v>17</v>
      </c>
      <c r="F1937" t="s">
        <v>23</v>
      </c>
      <c r="G1937" t="s">
        <v>14</v>
      </c>
      <c r="H1937">
        <v>166278</v>
      </c>
      <c r="I1937">
        <v>176600</v>
      </c>
    </row>
    <row r="1938" spans="1:9" x14ac:dyDescent="0.3">
      <c r="A1938" t="s">
        <v>1970</v>
      </c>
      <c r="B1938">
        <v>45936</v>
      </c>
      <c r="C1938" t="s">
        <v>36</v>
      </c>
      <c r="D1938" t="s">
        <v>11</v>
      </c>
      <c r="E1938" t="s">
        <v>37</v>
      </c>
      <c r="F1938" t="s">
        <v>46</v>
      </c>
      <c r="G1938" t="s">
        <v>19</v>
      </c>
      <c r="H1938">
        <v>35326</v>
      </c>
      <c r="I1938">
        <v>35100</v>
      </c>
    </row>
    <row r="1939" spans="1:9" x14ac:dyDescent="0.3">
      <c r="A1939" t="s">
        <v>1971</v>
      </c>
      <c r="B1939">
        <v>45936</v>
      </c>
      <c r="C1939" t="s">
        <v>36</v>
      </c>
      <c r="D1939" t="s">
        <v>11</v>
      </c>
      <c r="E1939" t="s">
        <v>37</v>
      </c>
      <c r="F1939" t="s">
        <v>12</v>
      </c>
      <c r="G1939" t="s">
        <v>14</v>
      </c>
      <c r="H1939">
        <v>217888</v>
      </c>
      <c r="I1939">
        <v>236200</v>
      </c>
    </row>
    <row r="1940" spans="1:9" x14ac:dyDescent="0.3">
      <c r="A1940" t="s">
        <v>1972</v>
      </c>
      <c r="B1940">
        <v>45936</v>
      </c>
      <c r="C1940" t="s">
        <v>25</v>
      </c>
      <c r="D1940" t="s">
        <v>11</v>
      </c>
      <c r="E1940" t="s">
        <v>22</v>
      </c>
      <c r="F1940" t="s">
        <v>26</v>
      </c>
      <c r="G1940" t="s">
        <v>14</v>
      </c>
      <c r="H1940">
        <v>204515</v>
      </c>
      <c r="I1940">
        <v>174300</v>
      </c>
    </row>
    <row r="1941" spans="1:9" x14ac:dyDescent="0.3">
      <c r="A1941" t="s">
        <v>1973</v>
      </c>
      <c r="B1941">
        <v>45936</v>
      </c>
      <c r="C1941" t="s">
        <v>31</v>
      </c>
      <c r="D1941" t="s">
        <v>11</v>
      </c>
      <c r="E1941" t="s">
        <v>17</v>
      </c>
      <c r="F1941" t="s">
        <v>18</v>
      </c>
      <c r="G1941" t="s">
        <v>19</v>
      </c>
      <c r="H1941">
        <v>44475</v>
      </c>
      <c r="I1941">
        <v>41600</v>
      </c>
    </row>
    <row r="1942" spans="1:9" x14ac:dyDescent="0.3">
      <c r="A1942" t="s">
        <v>1974</v>
      </c>
      <c r="B1942">
        <v>45937</v>
      </c>
      <c r="C1942" t="s">
        <v>62</v>
      </c>
      <c r="D1942" t="s">
        <v>11</v>
      </c>
      <c r="E1942" t="s">
        <v>22</v>
      </c>
      <c r="F1942" t="s">
        <v>13</v>
      </c>
      <c r="G1942" t="s">
        <v>14</v>
      </c>
      <c r="H1942">
        <v>156415</v>
      </c>
      <c r="I1942">
        <v>148900</v>
      </c>
    </row>
    <row r="1943" spans="1:9" x14ac:dyDescent="0.3">
      <c r="A1943" t="s">
        <v>1975</v>
      </c>
      <c r="B1943">
        <v>45937</v>
      </c>
      <c r="C1943" t="s">
        <v>36</v>
      </c>
      <c r="D1943" t="s">
        <v>11</v>
      </c>
      <c r="E1943" t="s">
        <v>37</v>
      </c>
      <c r="F1943" t="s">
        <v>42</v>
      </c>
      <c r="G1943" t="s">
        <v>19</v>
      </c>
      <c r="H1943">
        <v>102749</v>
      </c>
      <c r="I1943">
        <v>120000</v>
      </c>
    </row>
    <row r="1944" spans="1:9" x14ac:dyDescent="0.3">
      <c r="A1944" t="s">
        <v>1976</v>
      </c>
      <c r="B1944">
        <v>45937</v>
      </c>
      <c r="C1944" t="s">
        <v>36</v>
      </c>
      <c r="D1944" t="s">
        <v>11</v>
      </c>
      <c r="E1944" t="s">
        <v>37</v>
      </c>
      <c r="F1944" t="s">
        <v>23</v>
      </c>
      <c r="G1944" t="s">
        <v>14</v>
      </c>
      <c r="H1944">
        <v>229942</v>
      </c>
      <c r="I1944">
        <v>279800</v>
      </c>
    </row>
    <row r="1945" spans="1:9" x14ac:dyDescent="0.3">
      <c r="A1945" t="s">
        <v>1977</v>
      </c>
      <c r="B1945">
        <v>45937</v>
      </c>
      <c r="C1945" t="s">
        <v>36</v>
      </c>
      <c r="D1945" t="s">
        <v>11</v>
      </c>
      <c r="E1945" t="s">
        <v>37</v>
      </c>
      <c r="F1945" t="s">
        <v>26</v>
      </c>
      <c r="G1945" t="s">
        <v>14</v>
      </c>
      <c r="H1945">
        <v>102645</v>
      </c>
      <c r="I1945">
        <v>99300</v>
      </c>
    </row>
    <row r="1946" spans="1:9" x14ac:dyDescent="0.3">
      <c r="A1946" t="s">
        <v>1978</v>
      </c>
      <c r="B1946">
        <v>45937</v>
      </c>
      <c r="C1946" t="s">
        <v>31</v>
      </c>
      <c r="D1946" t="s">
        <v>11</v>
      </c>
      <c r="E1946" t="s">
        <v>17</v>
      </c>
      <c r="F1946" t="s">
        <v>33</v>
      </c>
      <c r="G1946" t="s">
        <v>19</v>
      </c>
      <c r="H1946">
        <v>23412</v>
      </c>
      <c r="I1946">
        <v>26600</v>
      </c>
    </row>
    <row r="1947" spans="1:9" x14ac:dyDescent="0.3">
      <c r="A1947" t="s">
        <v>1979</v>
      </c>
      <c r="B1947">
        <v>45938</v>
      </c>
      <c r="C1947" t="s">
        <v>10</v>
      </c>
      <c r="D1947" t="s">
        <v>11</v>
      </c>
      <c r="E1947" t="s">
        <v>12</v>
      </c>
      <c r="F1947" t="s">
        <v>39</v>
      </c>
      <c r="G1947" t="s">
        <v>19</v>
      </c>
      <c r="H1947">
        <v>67359</v>
      </c>
      <c r="I1947">
        <v>71300</v>
      </c>
    </row>
    <row r="1948" spans="1:9" x14ac:dyDescent="0.3">
      <c r="A1948" t="s">
        <v>1980</v>
      </c>
      <c r="B1948">
        <v>45938</v>
      </c>
      <c r="C1948" t="s">
        <v>16</v>
      </c>
      <c r="D1948" t="s">
        <v>11</v>
      </c>
      <c r="E1948" t="s">
        <v>17</v>
      </c>
      <c r="F1948" t="s">
        <v>18</v>
      </c>
      <c r="G1948" t="s">
        <v>19</v>
      </c>
      <c r="H1948">
        <v>52082</v>
      </c>
      <c r="I1948">
        <v>55400</v>
      </c>
    </row>
    <row r="1949" spans="1:9" x14ac:dyDescent="0.3">
      <c r="A1949" t="s">
        <v>1981</v>
      </c>
      <c r="B1949">
        <v>45938</v>
      </c>
      <c r="C1949" t="s">
        <v>31</v>
      </c>
      <c r="D1949" t="s">
        <v>11</v>
      </c>
      <c r="E1949" t="s">
        <v>17</v>
      </c>
      <c r="F1949" t="s">
        <v>39</v>
      </c>
      <c r="G1949" t="s">
        <v>19</v>
      </c>
      <c r="H1949">
        <v>35219</v>
      </c>
      <c r="I1949">
        <v>37200</v>
      </c>
    </row>
    <row r="1950" spans="1:9" x14ac:dyDescent="0.3">
      <c r="A1950" t="s">
        <v>1982</v>
      </c>
      <c r="B1950">
        <v>45939</v>
      </c>
      <c r="C1950" t="s">
        <v>62</v>
      </c>
      <c r="D1950" t="s">
        <v>11</v>
      </c>
      <c r="E1950" t="s">
        <v>22</v>
      </c>
      <c r="F1950" t="s">
        <v>18</v>
      </c>
      <c r="G1950" t="s">
        <v>19</v>
      </c>
      <c r="H1950">
        <v>81601</v>
      </c>
      <c r="I1950">
        <v>93800</v>
      </c>
    </row>
    <row r="1951" spans="1:9" x14ac:dyDescent="0.3">
      <c r="A1951" t="s">
        <v>1983</v>
      </c>
      <c r="B1951">
        <v>45939</v>
      </c>
      <c r="C1951" t="s">
        <v>16</v>
      </c>
      <c r="D1951" t="s">
        <v>11</v>
      </c>
      <c r="E1951" t="s">
        <v>17</v>
      </c>
      <c r="F1951" t="s">
        <v>26</v>
      </c>
      <c r="G1951" t="s">
        <v>14</v>
      </c>
      <c r="H1951">
        <v>235509</v>
      </c>
      <c r="I1951">
        <v>219500</v>
      </c>
    </row>
    <row r="1952" spans="1:9" x14ac:dyDescent="0.3">
      <c r="A1952" t="s">
        <v>1984</v>
      </c>
      <c r="B1952">
        <v>45939</v>
      </c>
      <c r="C1952" t="s">
        <v>36</v>
      </c>
      <c r="D1952" t="s">
        <v>11</v>
      </c>
      <c r="E1952" t="s">
        <v>37</v>
      </c>
      <c r="F1952" t="s">
        <v>46</v>
      </c>
      <c r="G1952" t="s">
        <v>19</v>
      </c>
      <c r="H1952">
        <v>41283</v>
      </c>
      <c r="I1952">
        <v>42700</v>
      </c>
    </row>
    <row r="1953" spans="1:9" x14ac:dyDescent="0.3">
      <c r="A1953" t="s">
        <v>1985</v>
      </c>
      <c r="B1953">
        <v>45939</v>
      </c>
      <c r="C1953" t="s">
        <v>36</v>
      </c>
      <c r="D1953" t="s">
        <v>11</v>
      </c>
      <c r="E1953" t="s">
        <v>37</v>
      </c>
      <c r="F1953" t="s">
        <v>13</v>
      </c>
      <c r="G1953" t="s">
        <v>14</v>
      </c>
      <c r="H1953">
        <v>26147</v>
      </c>
      <c r="I1953">
        <v>27500</v>
      </c>
    </row>
    <row r="1954" spans="1:9" x14ac:dyDescent="0.3">
      <c r="A1954" t="s">
        <v>1986</v>
      </c>
      <c r="B1954">
        <v>45940</v>
      </c>
      <c r="C1954" t="s">
        <v>62</v>
      </c>
      <c r="D1954" t="s">
        <v>11</v>
      </c>
      <c r="E1954" t="s">
        <v>22</v>
      </c>
      <c r="F1954" t="s">
        <v>39</v>
      </c>
      <c r="G1954" t="s">
        <v>19</v>
      </c>
      <c r="H1954">
        <v>56848</v>
      </c>
      <c r="I1954">
        <v>61800</v>
      </c>
    </row>
    <row r="1955" spans="1:9" x14ac:dyDescent="0.3">
      <c r="A1955" t="s">
        <v>1987</v>
      </c>
      <c r="B1955">
        <v>45940</v>
      </c>
      <c r="C1955" t="s">
        <v>16</v>
      </c>
      <c r="D1955" t="s">
        <v>11</v>
      </c>
      <c r="E1955" t="s">
        <v>17</v>
      </c>
      <c r="F1955" t="s">
        <v>39</v>
      </c>
      <c r="G1955" t="s">
        <v>19</v>
      </c>
      <c r="H1955">
        <v>87857</v>
      </c>
      <c r="I1955">
        <v>92500</v>
      </c>
    </row>
    <row r="1956" spans="1:9" x14ac:dyDescent="0.3">
      <c r="A1956" t="s">
        <v>1988</v>
      </c>
      <c r="B1956">
        <v>45940</v>
      </c>
      <c r="C1956" t="s">
        <v>21</v>
      </c>
      <c r="D1956" t="s">
        <v>11</v>
      </c>
      <c r="E1956" t="s">
        <v>22</v>
      </c>
      <c r="F1956" t="s">
        <v>46</v>
      </c>
      <c r="G1956" t="s">
        <v>19</v>
      </c>
      <c r="H1956">
        <v>111849</v>
      </c>
      <c r="I1956">
        <v>114300</v>
      </c>
    </row>
    <row r="1957" spans="1:9" x14ac:dyDescent="0.3">
      <c r="A1957" t="s">
        <v>1989</v>
      </c>
      <c r="B1957">
        <v>45940</v>
      </c>
      <c r="C1957" t="s">
        <v>25</v>
      </c>
      <c r="D1957" t="s">
        <v>11</v>
      </c>
      <c r="E1957" t="s">
        <v>22</v>
      </c>
      <c r="F1957" t="s">
        <v>46</v>
      </c>
      <c r="G1957" t="s">
        <v>19</v>
      </c>
      <c r="H1957">
        <v>14501</v>
      </c>
      <c r="I1957">
        <v>14200</v>
      </c>
    </row>
    <row r="1958" spans="1:9" x14ac:dyDescent="0.3">
      <c r="A1958" t="s">
        <v>1990</v>
      </c>
      <c r="B1958">
        <v>45940</v>
      </c>
      <c r="C1958" t="s">
        <v>31</v>
      </c>
      <c r="D1958" t="s">
        <v>11</v>
      </c>
      <c r="E1958" t="s">
        <v>17</v>
      </c>
      <c r="F1958" t="s">
        <v>37</v>
      </c>
      <c r="G1958" t="s">
        <v>14</v>
      </c>
      <c r="H1958">
        <v>153742</v>
      </c>
      <c r="I1958">
        <v>155100</v>
      </c>
    </row>
    <row r="1959" spans="1:9" x14ac:dyDescent="0.3">
      <c r="A1959" t="s">
        <v>1991</v>
      </c>
      <c r="B1959">
        <v>45940</v>
      </c>
      <c r="C1959" t="s">
        <v>55</v>
      </c>
      <c r="D1959" t="s">
        <v>11</v>
      </c>
      <c r="E1959" t="s">
        <v>37</v>
      </c>
      <c r="F1959" t="s">
        <v>46</v>
      </c>
      <c r="G1959" t="s">
        <v>19</v>
      </c>
      <c r="H1959">
        <v>104715</v>
      </c>
      <c r="I1959">
        <v>95400</v>
      </c>
    </row>
    <row r="1960" spans="1:9" x14ac:dyDescent="0.3">
      <c r="A1960" t="s">
        <v>1992</v>
      </c>
      <c r="B1960">
        <v>45940</v>
      </c>
      <c r="C1960" t="s">
        <v>55</v>
      </c>
      <c r="D1960" t="s">
        <v>11</v>
      </c>
      <c r="E1960" t="s">
        <v>37</v>
      </c>
      <c r="F1960" t="s">
        <v>23</v>
      </c>
      <c r="G1960" t="s">
        <v>14</v>
      </c>
      <c r="H1960">
        <v>167906</v>
      </c>
      <c r="I1960">
        <v>176900</v>
      </c>
    </row>
    <row r="1961" spans="1:9" x14ac:dyDescent="0.3">
      <c r="A1961" t="s">
        <v>1993</v>
      </c>
      <c r="B1961">
        <v>45941</v>
      </c>
      <c r="C1961" t="s">
        <v>62</v>
      </c>
      <c r="D1961" t="s">
        <v>11</v>
      </c>
      <c r="E1961" t="s">
        <v>22</v>
      </c>
      <c r="F1961" t="s">
        <v>56</v>
      </c>
      <c r="G1961" t="s">
        <v>19</v>
      </c>
      <c r="H1961">
        <v>78306</v>
      </c>
      <c r="I1961">
        <v>74300</v>
      </c>
    </row>
    <row r="1962" spans="1:9" x14ac:dyDescent="0.3">
      <c r="A1962" t="s">
        <v>1994</v>
      </c>
      <c r="B1962">
        <v>45941</v>
      </c>
      <c r="C1962" t="s">
        <v>16</v>
      </c>
      <c r="D1962" t="s">
        <v>11</v>
      </c>
      <c r="E1962" t="s">
        <v>17</v>
      </c>
      <c r="F1962" t="s">
        <v>23</v>
      </c>
      <c r="G1962" t="s">
        <v>14</v>
      </c>
      <c r="H1962">
        <v>217215</v>
      </c>
      <c r="I1962">
        <v>209800</v>
      </c>
    </row>
    <row r="1963" spans="1:9" x14ac:dyDescent="0.3">
      <c r="A1963" t="s">
        <v>1995</v>
      </c>
      <c r="B1963">
        <v>45941</v>
      </c>
      <c r="C1963" t="s">
        <v>25</v>
      </c>
      <c r="D1963" t="s">
        <v>11</v>
      </c>
      <c r="E1963" t="s">
        <v>22</v>
      </c>
      <c r="F1963" t="s">
        <v>33</v>
      </c>
      <c r="G1963" t="s">
        <v>19</v>
      </c>
      <c r="H1963">
        <v>85627</v>
      </c>
      <c r="I1963">
        <v>90500</v>
      </c>
    </row>
    <row r="1964" spans="1:9" x14ac:dyDescent="0.3">
      <c r="A1964" t="s">
        <v>1996</v>
      </c>
      <c r="B1964">
        <v>45941</v>
      </c>
      <c r="C1964" t="s">
        <v>25</v>
      </c>
      <c r="D1964" t="s">
        <v>11</v>
      </c>
      <c r="E1964" t="s">
        <v>22</v>
      </c>
      <c r="F1964" t="s">
        <v>12</v>
      </c>
      <c r="G1964" t="s">
        <v>14</v>
      </c>
      <c r="H1964">
        <v>198204</v>
      </c>
      <c r="I1964">
        <v>174600</v>
      </c>
    </row>
    <row r="1965" spans="1:9" x14ac:dyDescent="0.3">
      <c r="A1965" t="s">
        <v>1997</v>
      </c>
      <c r="B1965">
        <v>45942</v>
      </c>
      <c r="C1965" t="s">
        <v>16</v>
      </c>
      <c r="D1965" t="s">
        <v>11</v>
      </c>
      <c r="E1965" t="s">
        <v>17</v>
      </c>
      <c r="F1965" t="s">
        <v>33</v>
      </c>
      <c r="G1965" t="s">
        <v>19</v>
      </c>
      <c r="H1965">
        <v>59642</v>
      </c>
      <c r="I1965">
        <v>62500</v>
      </c>
    </row>
    <row r="1966" spans="1:9" x14ac:dyDescent="0.3">
      <c r="A1966" t="s">
        <v>1998</v>
      </c>
      <c r="B1966">
        <v>45942</v>
      </c>
      <c r="C1966" t="s">
        <v>36</v>
      </c>
      <c r="D1966" t="s">
        <v>11</v>
      </c>
      <c r="E1966" t="s">
        <v>37</v>
      </c>
      <c r="F1966" t="s">
        <v>39</v>
      </c>
      <c r="G1966" t="s">
        <v>19</v>
      </c>
      <c r="H1966">
        <v>64507</v>
      </c>
      <c r="I1966">
        <v>71200</v>
      </c>
    </row>
    <row r="1967" spans="1:9" x14ac:dyDescent="0.3">
      <c r="A1967" t="s">
        <v>1999</v>
      </c>
      <c r="B1967">
        <v>45942</v>
      </c>
      <c r="C1967" t="s">
        <v>21</v>
      </c>
      <c r="D1967" t="s">
        <v>11</v>
      </c>
      <c r="E1967" t="s">
        <v>22</v>
      </c>
      <c r="F1967" t="s">
        <v>23</v>
      </c>
      <c r="G1967" t="s">
        <v>14</v>
      </c>
      <c r="H1967">
        <v>153726</v>
      </c>
      <c r="I1967">
        <v>166100</v>
      </c>
    </row>
    <row r="1968" spans="1:9" x14ac:dyDescent="0.3">
      <c r="A1968" t="s">
        <v>2000</v>
      </c>
      <c r="B1968">
        <v>45942</v>
      </c>
      <c r="C1968" t="s">
        <v>31</v>
      </c>
      <c r="D1968" t="s">
        <v>11</v>
      </c>
      <c r="E1968" t="s">
        <v>17</v>
      </c>
      <c r="F1968" t="s">
        <v>39</v>
      </c>
      <c r="G1968" t="s">
        <v>19</v>
      </c>
      <c r="H1968">
        <v>111622</v>
      </c>
      <c r="I1968">
        <v>114800</v>
      </c>
    </row>
    <row r="1969" spans="1:9" x14ac:dyDescent="0.3">
      <c r="A1969" t="s">
        <v>2001</v>
      </c>
      <c r="B1969">
        <v>45942</v>
      </c>
      <c r="C1969" t="s">
        <v>55</v>
      </c>
      <c r="D1969" t="s">
        <v>11</v>
      </c>
      <c r="E1969" t="s">
        <v>37</v>
      </c>
      <c r="F1969" t="s">
        <v>42</v>
      </c>
      <c r="G1969" t="s">
        <v>19</v>
      </c>
      <c r="H1969">
        <v>15334</v>
      </c>
      <c r="I1969">
        <v>14700</v>
      </c>
    </row>
    <row r="1970" spans="1:9" x14ac:dyDescent="0.3">
      <c r="A1970" t="s">
        <v>2002</v>
      </c>
      <c r="B1970">
        <v>45943</v>
      </c>
      <c r="C1970" t="s">
        <v>62</v>
      </c>
      <c r="D1970" t="s">
        <v>11</v>
      </c>
      <c r="E1970" t="s">
        <v>22</v>
      </c>
      <c r="F1970" t="s">
        <v>12</v>
      </c>
      <c r="G1970" t="s">
        <v>14</v>
      </c>
      <c r="H1970">
        <v>139189</v>
      </c>
      <c r="I1970">
        <v>95000</v>
      </c>
    </row>
    <row r="1971" spans="1:9" x14ac:dyDescent="0.3">
      <c r="A1971" t="s">
        <v>2003</v>
      </c>
      <c r="B1971">
        <v>45943</v>
      </c>
      <c r="C1971" t="s">
        <v>62</v>
      </c>
      <c r="D1971" t="s">
        <v>11</v>
      </c>
      <c r="E1971" t="s">
        <v>22</v>
      </c>
      <c r="F1971" t="s">
        <v>37</v>
      </c>
      <c r="G1971" t="s">
        <v>14</v>
      </c>
      <c r="H1971">
        <v>42761</v>
      </c>
      <c r="I1971">
        <v>40800</v>
      </c>
    </row>
    <row r="1972" spans="1:9" x14ac:dyDescent="0.3">
      <c r="A1972" t="s">
        <v>2004</v>
      </c>
      <c r="B1972">
        <v>45943</v>
      </c>
      <c r="C1972" t="s">
        <v>16</v>
      </c>
      <c r="D1972" t="s">
        <v>11</v>
      </c>
      <c r="E1972" t="s">
        <v>17</v>
      </c>
      <c r="F1972" t="s">
        <v>42</v>
      </c>
      <c r="G1972" t="s">
        <v>19</v>
      </c>
      <c r="H1972">
        <v>93939</v>
      </c>
      <c r="I1972">
        <v>95200</v>
      </c>
    </row>
    <row r="1973" spans="1:9" x14ac:dyDescent="0.3">
      <c r="A1973" t="s">
        <v>2005</v>
      </c>
      <c r="B1973">
        <v>45943</v>
      </c>
      <c r="C1973" t="s">
        <v>16</v>
      </c>
      <c r="D1973" t="s">
        <v>11</v>
      </c>
      <c r="E1973" t="s">
        <v>17</v>
      </c>
      <c r="F1973" t="s">
        <v>37</v>
      </c>
      <c r="G1973" t="s">
        <v>14</v>
      </c>
      <c r="H1973">
        <v>183188</v>
      </c>
      <c r="I1973">
        <v>209900</v>
      </c>
    </row>
    <row r="1974" spans="1:9" x14ac:dyDescent="0.3">
      <c r="A1974" t="s">
        <v>2006</v>
      </c>
      <c r="B1974">
        <v>45943</v>
      </c>
      <c r="C1974" t="s">
        <v>36</v>
      </c>
      <c r="D1974" t="s">
        <v>11</v>
      </c>
      <c r="E1974" t="s">
        <v>37</v>
      </c>
      <c r="F1974" t="s">
        <v>39</v>
      </c>
      <c r="G1974" t="s">
        <v>19</v>
      </c>
      <c r="H1974">
        <v>74941</v>
      </c>
      <c r="I1974">
        <v>86800</v>
      </c>
    </row>
    <row r="1975" spans="1:9" x14ac:dyDescent="0.3">
      <c r="A1975" t="s">
        <v>2007</v>
      </c>
      <c r="B1975">
        <v>45943</v>
      </c>
      <c r="C1975" t="s">
        <v>55</v>
      </c>
      <c r="D1975" t="s">
        <v>11</v>
      </c>
      <c r="E1975" t="s">
        <v>37</v>
      </c>
      <c r="F1975" t="s">
        <v>18</v>
      </c>
      <c r="G1975" t="s">
        <v>19</v>
      </c>
      <c r="H1975">
        <v>74364</v>
      </c>
      <c r="I1975">
        <v>80000</v>
      </c>
    </row>
    <row r="1976" spans="1:9" x14ac:dyDescent="0.3">
      <c r="A1976" t="s">
        <v>2008</v>
      </c>
      <c r="B1976">
        <v>45944</v>
      </c>
      <c r="C1976" t="s">
        <v>10</v>
      </c>
      <c r="D1976" t="s">
        <v>11</v>
      </c>
      <c r="E1976" t="s">
        <v>12</v>
      </c>
      <c r="F1976" t="s">
        <v>56</v>
      </c>
      <c r="G1976" t="s">
        <v>19</v>
      </c>
      <c r="H1976">
        <v>87019</v>
      </c>
      <c r="I1976">
        <v>95300</v>
      </c>
    </row>
    <row r="1977" spans="1:9" x14ac:dyDescent="0.3">
      <c r="A1977" t="s">
        <v>2009</v>
      </c>
      <c r="B1977">
        <v>45944</v>
      </c>
      <c r="C1977" t="s">
        <v>10</v>
      </c>
      <c r="D1977" t="s">
        <v>11</v>
      </c>
      <c r="E1977" t="s">
        <v>12</v>
      </c>
      <c r="F1977" t="s">
        <v>13</v>
      </c>
      <c r="G1977" t="s">
        <v>14</v>
      </c>
      <c r="H1977">
        <v>151080</v>
      </c>
      <c r="I1977">
        <v>149600</v>
      </c>
    </row>
    <row r="1978" spans="1:9" x14ac:dyDescent="0.3">
      <c r="A1978" t="s">
        <v>2010</v>
      </c>
      <c r="B1978">
        <v>45944</v>
      </c>
      <c r="C1978" t="s">
        <v>16</v>
      </c>
      <c r="D1978" t="s">
        <v>11</v>
      </c>
      <c r="E1978" t="s">
        <v>17</v>
      </c>
      <c r="F1978" t="s">
        <v>26</v>
      </c>
      <c r="G1978" t="s">
        <v>14</v>
      </c>
      <c r="H1978">
        <v>51522</v>
      </c>
      <c r="I1978">
        <v>44100</v>
      </c>
    </row>
    <row r="1979" spans="1:9" x14ac:dyDescent="0.3">
      <c r="A1979" t="s">
        <v>2011</v>
      </c>
      <c r="B1979">
        <v>45944</v>
      </c>
      <c r="C1979" t="s">
        <v>16</v>
      </c>
      <c r="D1979" t="s">
        <v>11</v>
      </c>
      <c r="E1979" t="s">
        <v>17</v>
      </c>
      <c r="F1979" t="s">
        <v>37</v>
      </c>
      <c r="G1979" t="s">
        <v>14</v>
      </c>
      <c r="H1979">
        <v>131197</v>
      </c>
      <c r="I1979">
        <v>131300</v>
      </c>
    </row>
    <row r="1980" spans="1:9" x14ac:dyDescent="0.3">
      <c r="A1980" t="s">
        <v>2012</v>
      </c>
      <c r="B1980">
        <v>45944</v>
      </c>
      <c r="C1980" t="s">
        <v>36</v>
      </c>
      <c r="D1980" t="s">
        <v>11</v>
      </c>
      <c r="E1980" t="s">
        <v>37</v>
      </c>
      <c r="F1980" t="s">
        <v>18</v>
      </c>
      <c r="G1980" t="s">
        <v>19</v>
      </c>
      <c r="H1980">
        <v>84785</v>
      </c>
      <c r="I1980">
        <v>85600</v>
      </c>
    </row>
    <row r="1981" spans="1:9" x14ac:dyDescent="0.3">
      <c r="A1981" t="s">
        <v>2013</v>
      </c>
      <c r="B1981">
        <v>45944</v>
      </c>
      <c r="C1981" t="s">
        <v>25</v>
      </c>
      <c r="D1981" t="s">
        <v>11</v>
      </c>
      <c r="E1981" t="s">
        <v>22</v>
      </c>
      <c r="F1981" t="s">
        <v>23</v>
      </c>
      <c r="G1981" t="s">
        <v>14</v>
      </c>
      <c r="H1981">
        <v>63183</v>
      </c>
      <c r="I1981">
        <v>62800</v>
      </c>
    </row>
    <row r="1982" spans="1:9" x14ac:dyDescent="0.3">
      <c r="A1982" t="s">
        <v>2014</v>
      </c>
      <c r="B1982">
        <v>45945</v>
      </c>
      <c r="C1982" t="s">
        <v>10</v>
      </c>
      <c r="D1982" t="s">
        <v>11</v>
      </c>
      <c r="E1982" t="s">
        <v>12</v>
      </c>
      <c r="F1982" t="s">
        <v>42</v>
      </c>
      <c r="G1982" t="s">
        <v>19</v>
      </c>
      <c r="H1982">
        <v>84564</v>
      </c>
      <c r="I1982">
        <v>87600</v>
      </c>
    </row>
    <row r="1983" spans="1:9" x14ac:dyDescent="0.3">
      <c r="A1983" t="s">
        <v>2015</v>
      </c>
      <c r="B1983">
        <v>45945</v>
      </c>
      <c r="C1983" t="s">
        <v>10</v>
      </c>
      <c r="D1983" t="s">
        <v>11</v>
      </c>
      <c r="E1983" t="s">
        <v>12</v>
      </c>
      <c r="F1983" t="s">
        <v>13</v>
      </c>
      <c r="G1983" t="s">
        <v>14</v>
      </c>
      <c r="H1983">
        <v>222151</v>
      </c>
      <c r="I1983">
        <v>206700</v>
      </c>
    </row>
    <row r="1984" spans="1:9" x14ac:dyDescent="0.3">
      <c r="A1984" t="s">
        <v>2016</v>
      </c>
      <c r="B1984">
        <v>45945</v>
      </c>
      <c r="C1984" t="s">
        <v>10</v>
      </c>
      <c r="D1984" t="s">
        <v>11</v>
      </c>
      <c r="E1984" t="s">
        <v>12</v>
      </c>
      <c r="F1984" t="s">
        <v>13</v>
      </c>
      <c r="G1984" t="s">
        <v>14</v>
      </c>
      <c r="H1984">
        <v>217785</v>
      </c>
      <c r="I1984">
        <v>191200</v>
      </c>
    </row>
    <row r="1985" spans="1:9" x14ac:dyDescent="0.3">
      <c r="A1985" t="s">
        <v>2017</v>
      </c>
      <c r="B1985">
        <v>45945</v>
      </c>
      <c r="C1985" t="s">
        <v>21</v>
      </c>
      <c r="D1985" t="s">
        <v>11</v>
      </c>
      <c r="E1985" t="s">
        <v>22</v>
      </c>
      <c r="F1985" t="s">
        <v>46</v>
      </c>
      <c r="G1985" t="s">
        <v>19</v>
      </c>
      <c r="H1985">
        <v>17548</v>
      </c>
      <c r="I1985">
        <v>20800</v>
      </c>
    </row>
    <row r="1986" spans="1:9" x14ac:dyDescent="0.3">
      <c r="A1986" t="s">
        <v>2018</v>
      </c>
      <c r="B1986">
        <v>45945</v>
      </c>
      <c r="C1986" t="s">
        <v>21</v>
      </c>
      <c r="D1986" t="s">
        <v>11</v>
      </c>
      <c r="E1986" t="s">
        <v>22</v>
      </c>
      <c r="F1986" t="s">
        <v>46</v>
      </c>
      <c r="G1986" t="s">
        <v>19</v>
      </c>
      <c r="H1986">
        <v>42884</v>
      </c>
      <c r="I1986">
        <v>44100</v>
      </c>
    </row>
    <row r="1987" spans="1:9" x14ac:dyDescent="0.3">
      <c r="A1987" t="s">
        <v>2019</v>
      </c>
      <c r="B1987">
        <v>45945</v>
      </c>
      <c r="C1987" t="s">
        <v>21</v>
      </c>
      <c r="D1987" t="s">
        <v>11</v>
      </c>
      <c r="E1987" t="s">
        <v>22</v>
      </c>
      <c r="F1987" t="s">
        <v>18</v>
      </c>
      <c r="G1987" t="s">
        <v>19</v>
      </c>
      <c r="H1987">
        <v>114810</v>
      </c>
      <c r="I1987">
        <v>102200</v>
      </c>
    </row>
    <row r="1988" spans="1:9" x14ac:dyDescent="0.3">
      <c r="A1988" t="s">
        <v>2020</v>
      </c>
      <c r="B1988">
        <v>45945</v>
      </c>
      <c r="C1988" t="s">
        <v>25</v>
      </c>
      <c r="D1988" t="s">
        <v>11</v>
      </c>
      <c r="E1988" t="s">
        <v>22</v>
      </c>
      <c r="F1988" t="s">
        <v>33</v>
      </c>
      <c r="G1988" t="s">
        <v>19</v>
      </c>
      <c r="H1988">
        <v>33735</v>
      </c>
      <c r="I1988">
        <v>35300</v>
      </c>
    </row>
    <row r="1989" spans="1:9" x14ac:dyDescent="0.3">
      <c r="A1989" t="s">
        <v>2021</v>
      </c>
      <c r="B1989">
        <v>45945</v>
      </c>
      <c r="C1989" t="s">
        <v>25</v>
      </c>
      <c r="D1989" t="s">
        <v>11</v>
      </c>
      <c r="E1989" t="s">
        <v>22</v>
      </c>
      <c r="F1989" t="s">
        <v>42</v>
      </c>
      <c r="G1989" t="s">
        <v>19</v>
      </c>
      <c r="H1989">
        <v>56595</v>
      </c>
      <c r="I1989">
        <v>53400</v>
      </c>
    </row>
    <row r="1990" spans="1:9" x14ac:dyDescent="0.3">
      <c r="A1990" t="s">
        <v>2022</v>
      </c>
      <c r="B1990">
        <v>45945</v>
      </c>
      <c r="C1990" t="s">
        <v>31</v>
      </c>
      <c r="D1990" t="s">
        <v>11</v>
      </c>
      <c r="E1990" t="s">
        <v>17</v>
      </c>
      <c r="F1990" t="s">
        <v>23</v>
      </c>
      <c r="G1990" t="s">
        <v>14</v>
      </c>
      <c r="H1990">
        <v>114330</v>
      </c>
      <c r="I1990">
        <v>128900</v>
      </c>
    </row>
    <row r="1991" spans="1:9" x14ac:dyDescent="0.3">
      <c r="A1991" t="s">
        <v>2023</v>
      </c>
      <c r="B1991">
        <v>45946</v>
      </c>
      <c r="C1991" t="s">
        <v>62</v>
      </c>
      <c r="D1991" t="s">
        <v>11</v>
      </c>
      <c r="E1991" t="s">
        <v>22</v>
      </c>
      <c r="F1991" t="s">
        <v>18</v>
      </c>
      <c r="G1991" t="s">
        <v>19</v>
      </c>
      <c r="H1991">
        <v>65323</v>
      </c>
      <c r="I1991">
        <v>62000</v>
      </c>
    </row>
    <row r="1992" spans="1:9" x14ac:dyDescent="0.3">
      <c r="A1992" t="s">
        <v>2024</v>
      </c>
      <c r="B1992">
        <v>45946</v>
      </c>
      <c r="C1992" t="s">
        <v>62</v>
      </c>
      <c r="D1992" t="s">
        <v>11</v>
      </c>
      <c r="E1992" t="s">
        <v>22</v>
      </c>
      <c r="F1992" t="s">
        <v>12</v>
      </c>
      <c r="G1992" t="s">
        <v>14</v>
      </c>
      <c r="H1992">
        <v>175255</v>
      </c>
      <c r="I1992">
        <v>191600</v>
      </c>
    </row>
    <row r="1993" spans="1:9" x14ac:dyDescent="0.3">
      <c r="A1993" t="s">
        <v>2025</v>
      </c>
      <c r="B1993">
        <v>45946</v>
      </c>
      <c r="C1993" t="s">
        <v>62</v>
      </c>
      <c r="D1993" t="s">
        <v>11</v>
      </c>
      <c r="E1993" t="s">
        <v>22</v>
      </c>
      <c r="F1993" t="s">
        <v>26</v>
      </c>
      <c r="G1993" t="s">
        <v>14</v>
      </c>
      <c r="H1993">
        <v>53650</v>
      </c>
      <c r="I1993">
        <v>64400</v>
      </c>
    </row>
    <row r="1994" spans="1:9" x14ac:dyDescent="0.3">
      <c r="A1994" t="s">
        <v>2026</v>
      </c>
      <c r="B1994">
        <v>45946</v>
      </c>
      <c r="C1994" t="s">
        <v>10</v>
      </c>
      <c r="D1994" t="s">
        <v>11</v>
      </c>
      <c r="E1994" t="s">
        <v>12</v>
      </c>
      <c r="F1994" t="s">
        <v>56</v>
      </c>
      <c r="G1994" t="s">
        <v>19</v>
      </c>
      <c r="H1994">
        <v>72607</v>
      </c>
      <c r="I1994">
        <v>78800</v>
      </c>
    </row>
    <row r="1995" spans="1:9" x14ac:dyDescent="0.3">
      <c r="A1995" t="s">
        <v>2027</v>
      </c>
      <c r="B1995">
        <v>45946</v>
      </c>
      <c r="C1995" t="s">
        <v>16</v>
      </c>
      <c r="D1995" t="s">
        <v>11</v>
      </c>
      <c r="E1995" t="s">
        <v>17</v>
      </c>
      <c r="F1995" t="s">
        <v>26</v>
      </c>
      <c r="G1995" t="s">
        <v>14</v>
      </c>
      <c r="H1995">
        <v>172492</v>
      </c>
      <c r="I1995">
        <v>177000</v>
      </c>
    </row>
    <row r="1996" spans="1:9" x14ac:dyDescent="0.3">
      <c r="A1996" t="s">
        <v>2028</v>
      </c>
      <c r="B1996">
        <v>45946</v>
      </c>
      <c r="C1996" t="s">
        <v>21</v>
      </c>
      <c r="D1996" t="s">
        <v>11</v>
      </c>
      <c r="E1996" t="s">
        <v>22</v>
      </c>
      <c r="F1996" t="s">
        <v>39</v>
      </c>
      <c r="G1996" t="s">
        <v>19</v>
      </c>
      <c r="H1996">
        <v>107603</v>
      </c>
      <c r="I1996">
        <v>111900</v>
      </c>
    </row>
    <row r="1997" spans="1:9" x14ac:dyDescent="0.3">
      <c r="A1997" t="s">
        <v>2029</v>
      </c>
      <c r="B1997">
        <v>45946</v>
      </c>
      <c r="C1997" t="s">
        <v>31</v>
      </c>
      <c r="D1997" t="s">
        <v>11</v>
      </c>
      <c r="E1997" t="s">
        <v>17</v>
      </c>
      <c r="F1997" t="s">
        <v>23</v>
      </c>
      <c r="G1997" t="s">
        <v>14</v>
      </c>
      <c r="H1997">
        <v>197738</v>
      </c>
      <c r="I1997">
        <v>216800</v>
      </c>
    </row>
    <row r="1998" spans="1:9" x14ac:dyDescent="0.3">
      <c r="A1998" t="s">
        <v>2030</v>
      </c>
      <c r="B1998">
        <v>45946</v>
      </c>
      <c r="C1998" t="s">
        <v>55</v>
      </c>
      <c r="D1998" t="s">
        <v>11</v>
      </c>
      <c r="E1998" t="s">
        <v>37</v>
      </c>
      <c r="F1998" t="s">
        <v>33</v>
      </c>
      <c r="G1998" t="s">
        <v>19</v>
      </c>
      <c r="H1998">
        <v>75844</v>
      </c>
      <c r="I1998">
        <v>80800</v>
      </c>
    </row>
    <row r="1999" spans="1:9" x14ac:dyDescent="0.3">
      <c r="A1999" t="s">
        <v>2031</v>
      </c>
      <c r="B1999">
        <v>45946</v>
      </c>
      <c r="C1999" t="s">
        <v>55</v>
      </c>
      <c r="D1999" t="s">
        <v>11</v>
      </c>
      <c r="E1999" t="s">
        <v>37</v>
      </c>
      <c r="F1999" t="s">
        <v>26</v>
      </c>
      <c r="G1999" t="s">
        <v>14</v>
      </c>
      <c r="H1999">
        <v>91126</v>
      </c>
      <c r="I1999">
        <v>92400</v>
      </c>
    </row>
    <row r="2000" spans="1:9" x14ac:dyDescent="0.3">
      <c r="A2000" t="s">
        <v>2032</v>
      </c>
      <c r="B2000">
        <v>45947</v>
      </c>
      <c r="C2000" t="s">
        <v>36</v>
      </c>
      <c r="D2000" t="s">
        <v>11</v>
      </c>
      <c r="E2000" t="s">
        <v>37</v>
      </c>
      <c r="F2000" t="s">
        <v>56</v>
      </c>
      <c r="G2000" t="s">
        <v>19</v>
      </c>
      <c r="H2000">
        <v>71555</v>
      </c>
      <c r="I2000">
        <v>74600</v>
      </c>
    </row>
    <row r="2001" spans="1:9" x14ac:dyDescent="0.3">
      <c r="A2001" t="s">
        <v>2033</v>
      </c>
      <c r="B2001">
        <v>45947</v>
      </c>
      <c r="C2001" t="s">
        <v>36</v>
      </c>
      <c r="D2001" t="s">
        <v>11</v>
      </c>
      <c r="E2001" t="s">
        <v>37</v>
      </c>
      <c r="F2001" t="s">
        <v>13</v>
      </c>
      <c r="G2001" t="s">
        <v>14</v>
      </c>
      <c r="H2001">
        <v>195337</v>
      </c>
      <c r="I2001">
        <v>193300</v>
      </c>
    </row>
    <row r="2002" spans="1:9" x14ac:dyDescent="0.3">
      <c r="A2002" t="s">
        <v>2034</v>
      </c>
      <c r="B2002">
        <v>45947</v>
      </c>
      <c r="C2002" t="s">
        <v>25</v>
      </c>
      <c r="D2002" t="s">
        <v>11</v>
      </c>
      <c r="E2002" t="s">
        <v>22</v>
      </c>
      <c r="F2002" t="s">
        <v>39</v>
      </c>
      <c r="G2002" t="s">
        <v>19</v>
      </c>
      <c r="H2002">
        <v>66397</v>
      </c>
      <c r="I2002">
        <v>64400</v>
      </c>
    </row>
    <row r="2003" spans="1:9" x14ac:dyDescent="0.3">
      <c r="A2003" t="s">
        <v>2035</v>
      </c>
      <c r="B2003">
        <v>45947</v>
      </c>
      <c r="C2003" t="s">
        <v>25</v>
      </c>
      <c r="D2003" t="s">
        <v>11</v>
      </c>
      <c r="E2003" t="s">
        <v>22</v>
      </c>
      <c r="F2003" t="s">
        <v>59</v>
      </c>
      <c r="G2003" t="s">
        <v>14</v>
      </c>
      <c r="H2003">
        <v>106359</v>
      </c>
      <c r="I2003">
        <v>99900</v>
      </c>
    </row>
    <row r="2004" spans="1:9" x14ac:dyDescent="0.3">
      <c r="A2004" t="s">
        <v>2036</v>
      </c>
      <c r="B2004">
        <v>45947</v>
      </c>
      <c r="C2004" t="s">
        <v>31</v>
      </c>
      <c r="D2004" t="s">
        <v>11</v>
      </c>
      <c r="E2004" t="s">
        <v>17</v>
      </c>
      <c r="F2004" t="s">
        <v>23</v>
      </c>
      <c r="G2004" t="s">
        <v>14</v>
      </c>
      <c r="H2004">
        <v>201632</v>
      </c>
      <c r="I2004">
        <v>185800</v>
      </c>
    </row>
    <row r="2005" spans="1:9" x14ac:dyDescent="0.3">
      <c r="A2005" t="s">
        <v>2037</v>
      </c>
      <c r="B2005">
        <v>45947</v>
      </c>
      <c r="C2005" t="s">
        <v>55</v>
      </c>
      <c r="D2005" t="s">
        <v>11</v>
      </c>
      <c r="E2005" t="s">
        <v>37</v>
      </c>
      <c r="F2005" t="s">
        <v>39</v>
      </c>
      <c r="G2005" t="s">
        <v>19</v>
      </c>
      <c r="H2005">
        <v>99451</v>
      </c>
      <c r="I2005">
        <v>111800</v>
      </c>
    </row>
    <row r="2006" spans="1:9" x14ac:dyDescent="0.3">
      <c r="A2006" t="s">
        <v>2038</v>
      </c>
      <c r="B2006">
        <v>45948</v>
      </c>
      <c r="C2006" t="s">
        <v>16</v>
      </c>
      <c r="D2006" t="s">
        <v>11</v>
      </c>
      <c r="E2006" t="s">
        <v>17</v>
      </c>
      <c r="F2006" t="s">
        <v>37</v>
      </c>
      <c r="G2006" t="s">
        <v>14</v>
      </c>
      <c r="H2006">
        <v>160404</v>
      </c>
      <c r="I2006">
        <v>190400</v>
      </c>
    </row>
    <row r="2007" spans="1:9" x14ac:dyDescent="0.3">
      <c r="A2007" t="s">
        <v>2039</v>
      </c>
      <c r="B2007">
        <v>45948</v>
      </c>
      <c r="C2007" t="s">
        <v>36</v>
      </c>
      <c r="D2007" t="s">
        <v>11</v>
      </c>
      <c r="E2007" t="s">
        <v>37</v>
      </c>
      <c r="F2007" t="s">
        <v>59</v>
      </c>
      <c r="G2007" t="s">
        <v>14</v>
      </c>
      <c r="H2007">
        <v>76901</v>
      </c>
      <c r="I2007">
        <v>81600</v>
      </c>
    </row>
    <row r="2008" spans="1:9" x14ac:dyDescent="0.3">
      <c r="A2008" t="s">
        <v>2040</v>
      </c>
      <c r="B2008">
        <v>45948</v>
      </c>
      <c r="C2008" t="s">
        <v>25</v>
      </c>
      <c r="D2008" t="s">
        <v>11</v>
      </c>
      <c r="E2008" t="s">
        <v>22</v>
      </c>
      <c r="F2008" t="s">
        <v>23</v>
      </c>
      <c r="G2008" t="s">
        <v>14</v>
      </c>
      <c r="H2008">
        <v>201616</v>
      </c>
      <c r="I2008">
        <v>202100</v>
      </c>
    </row>
    <row r="2009" spans="1:9" x14ac:dyDescent="0.3">
      <c r="A2009" t="s">
        <v>2041</v>
      </c>
      <c r="B2009">
        <v>45948</v>
      </c>
      <c r="C2009" t="s">
        <v>55</v>
      </c>
      <c r="D2009" t="s">
        <v>11</v>
      </c>
      <c r="E2009" t="s">
        <v>37</v>
      </c>
      <c r="F2009" t="s">
        <v>33</v>
      </c>
      <c r="G2009" t="s">
        <v>19</v>
      </c>
      <c r="H2009">
        <v>79716</v>
      </c>
      <c r="I2009">
        <v>88400</v>
      </c>
    </row>
    <row r="2010" spans="1:9" x14ac:dyDescent="0.3">
      <c r="A2010" t="s">
        <v>2042</v>
      </c>
      <c r="B2010">
        <v>45949</v>
      </c>
      <c r="C2010" t="s">
        <v>62</v>
      </c>
      <c r="D2010" t="s">
        <v>11</v>
      </c>
      <c r="E2010" t="s">
        <v>22</v>
      </c>
      <c r="F2010" t="s">
        <v>33</v>
      </c>
      <c r="G2010" t="s">
        <v>19</v>
      </c>
      <c r="H2010">
        <v>27724</v>
      </c>
      <c r="I2010">
        <v>31200</v>
      </c>
    </row>
    <row r="2011" spans="1:9" x14ac:dyDescent="0.3">
      <c r="A2011" t="s">
        <v>2043</v>
      </c>
      <c r="B2011">
        <v>45949</v>
      </c>
      <c r="C2011" t="s">
        <v>10</v>
      </c>
      <c r="D2011" t="s">
        <v>11</v>
      </c>
      <c r="E2011" t="s">
        <v>12</v>
      </c>
      <c r="F2011" t="s">
        <v>39</v>
      </c>
      <c r="G2011" t="s">
        <v>19</v>
      </c>
      <c r="H2011">
        <v>110172</v>
      </c>
      <c r="I2011">
        <v>105600</v>
      </c>
    </row>
    <row r="2012" spans="1:9" x14ac:dyDescent="0.3">
      <c r="A2012" t="s">
        <v>2044</v>
      </c>
      <c r="B2012">
        <v>45949</v>
      </c>
      <c r="C2012" t="s">
        <v>10</v>
      </c>
      <c r="D2012" t="s">
        <v>11</v>
      </c>
      <c r="E2012" t="s">
        <v>12</v>
      </c>
      <c r="F2012" t="s">
        <v>39</v>
      </c>
      <c r="G2012" t="s">
        <v>19</v>
      </c>
      <c r="H2012">
        <v>56699</v>
      </c>
      <c r="I2012">
        <v>57800</v>
      </c>
    </row>
    <row r="2013" spans="1:9" x14ac:dyDescent="0.3">
      <c r="A2013" t="s">
        <v>2045</v>
      </c>
      <c r="B2013">
        <v>45949</v>
      </c>
      <c r="C2013" t="s">
        <v>16</v>
      </c>
      <c r="D2013" t="s">
        <v>11</v>
      </c>
      <c r="E2013" t="s">
        <v>17</v>
      </c>
      <c r="F2013" t="s">
        <v>33</v>
      </c>
      <c r="G2013" t="s">
        <v>19</v>
      </c>
      <c r="H2013">
        <v>22003</v>
      </c>
      <c r="I2013">
        <v>20800</v>
      </c>
    </row>
    <row r="2014" spans="1:9" x14ac:dyDescent="0.3">
      <c r="A2014" t="s">
        <v>2046</v>
      </c>
      <c r="B2014">
        <v>45949</v>
      </c>
      <c r="C2014" t="s">
        <v>25</v>
      </c>
      <c r="D2014" t="s">
        <v>11</v>
      </c>
      <c r="E2014" t="s">
        <v>22</v>
      </c>
      <c r="F2014" t="s">
        <v>39</v>
      </c>
      <c r="G2014" t="s">
        <v>19</v>
      </c>
      <c r="H2014">
        <v>53580</v>
      </c>
      <c r="I2014">
        <v>56100</v>
      </c>
    </row>
    <row r="2015" spans="1:9" x14ac:dyDescent="0.3">
      <c r="A2015" t="s">
        <v>2047</v>
      </c>
      <c r="B2015">
        <v>45949</v>
      </c>
      <c r="C2015" t="s">
        <v>25</v>
      </c>
      <c r="D2015" t="s">
        <v>11</v>
      </c>
      <c r="E2015" t="s">
        <v>22</v>
      </c>
      <c r="F2015" t="s">
        <v>39</v>
      </c>
      <c r="G2015" t="s">
        <v>19</v>
      </c>
      <c r="H2015">
        <v>27326</v>
      </c>
      <c r="I2015">
        <v>31800</v>
      </c>
    </row>
    <row r="2016" spans="1:9" x14ac:dyDescent="0.3">
      <c r="A2016" t="s">
        <v>2048</v>
      </c>
      <c r="B2016">
        <v>45949</v>
      </c>
      <c r="C2016" t="s">
        <v>25</v>
      </c>
      <c r="D2016" t="s">
        <v>11</v>
      </c>
      <c r="E2016" t="s">
        <v>22</v>
      </c>
      <c r="F2016" t="s">
        <v>59</v>
      </c>
      <c r="G2016" t="s">
        <v>14</v>
      </c>
      <c r="H2016">
        <v>149390</v>
      </c>
      <c r="I2016">
        <v>143900</v>
      </c>
    </row>
    <row r="2017" spans="1:9" x14ac:dyDescent="0.3">
      <c r="A2017" t="s">
        <v>2049</v>
      </c>
      <c r="B2017">
        <v>45949</v>
      </c>
      <c r="C2017" t="s">
        <v>31</v>
      </c>
      <c r="D2017" t="s">
        <v>11</v>
      </c>
      <c r="E2017" t="s">
        <v>17</v>
      </c>
      <c r="F2017" t="s">
        <v>56</v>
      </c>
      <c r="G2017" t="s">
        <v>19</v>
      </c>
      <c r="H2017">
        <v>43747</v>
      </c>
      <c r="I2017">
        <v>40900</v>
      </c>
    </row>
    <row r="2018" spans="1:9" x14ac:dyDescent="0.3">
      <c r="A2018" t="s">
        <v>2050</v>
      </c>
      <c r="B2018">
        <v>45949</v>
      </c>
      <c r="C2018" t="s">
        <v>31</v>
      </c>
      <c r="D2018" t="s">
        <v>11</v>
      </c>
      <c r="E2018" t="s">
        <v>17</v>
      </c>
      <c r="F2018" t="s">
        <v>56</v>
      </c>
      <c r="G2018" t="s">
        <v>19</v>
      </c>
      <c r="H2018">
        <v>111940</v>
      </c>
      <c r="I2018">
        <v>117300</v>
      </c>
    </row>
    <row r="2019" spans="1:9" x14ac:dyDescent="0.3">
      <c r="A2019" t="s">
        <v>2051</v>
      </c>
      <c r="B2019">
        <v>45949</v>
      </c>
      <c r="C2019" t="s">
        <v>31</v>
      </c>
      <c r="D2019" t="s">
        <v>11</v>
      </c>
      <c r="E2019" t="s">
        <v>17</v>
      </c>
      <c r="F2019" t="s">
        <v>12</v>
      </c>
      <c r="G2019" t="s">
        <v>14</v>
      </c>
      <c r="H2019">
        <v>234579</v>
      </c>
      <c r="I2019">
        <v>232900</v>
      </c>
    </row>
    <row r="2020" spans="1:9" x14ac:dyDescent="0.3">
      <c r="A2020" t="s">
        <v>2052</v>
      </c>
      <c r="B2020">
        <v>45949</v>
      </c>
      <c r="C2020" t="s">
        <v>55</v>
      </c>
      <c r="D2020" t="s">
        <v>11</v>
      </c>
      <c r="E2020" t="s">
        <v>37</v>
      </c>
      <c r="F2020" t="s">
        <v>59</v>
      </c>
      <c r="G2020" t="s">
        <v>14</v>
      </c>
      <c r="H2020">
        <v>77724</v>
      </c>
      <c r="I2020">
        <v>63400</v>
      </c>
    </row>
    <row r="2021" spans="1:9" x14ac:dyDescent="0.3">
      <c r="A2021" t="s">
        <v>2053</v>
      </c>
      <c r="B2021">
        <v>45949</v>
      </c>
      <c r="C2021" t="s">
        <v>55</v>
      </c>
      <c r="D2021" t="s">
        <v>11</v>
      </c>
      <c r="E2021" t="s">
        <v>37</v>
      </c>
      <c r="F2021" t="s">
        <v>59</v>
      </c>
      <c r="G2021" t="s">
        <v>14</v>
      </c>
      <c r="H2021">
        <v>106255</v>
      </c>
      <c r="I2021">
        <v>118600</v>
      </c>
    </row>
    <row r="2022" spans="1:9" x14ac:dyDescent="0.3">
      <c r="A2022" t="s">
        <v>2054</v>
      </c>
      <c r="B2022">
        <v>45950</v>
      </c>
      <c r="C2022" t="s">
        <v>62</v>
      </c>
      <c r="D2022" t="s">
        <v>11</v>
      </c>
      <c r="E2022" t="s">
        <v>22</v>
      </c>
      <c r="F2022" t="s">
        <v>46</v>
      </c>
      <c r="G2022" t="s">
        <v>19</v>
      </c>
      <c r="H2022">
        <v>45470</v>
      </c>
      <c r="I2022">
        <v>38800</v>
      </c>
    </row>
    <row r="2023" spans="1:9" x14ac:dyDescent="0.3">
      <c r="A2023" t="s">
        <v>2055</v>
      </c>
      <c r="B2023">
        <v>45950</v>
      </c>
      <c r="C2023" t="s">
        <v>62</v>
      </c>
      <c r="D2023" t="s">
        <v>11</v>
      </c>
      <c r="E2023" t="s">
        <v>22</v>
      </c>
      <c r="F2023" t="s">
        <v>59</v>
      </c>
      <c r="G2023" t="s">
        <v>14</v>
      </c>
      <c r="H2023">
        <v>106433</v>
      </c>
      <c r="I2023">
        <v>108000</v>
      </c>
    </row>
    <row r="2024" spans="1:9" x14ac:dyDescent="0.3">
      <c r="A2024" t="s">
        <v>2056</v>
      </c>
      <c r="B2024">
        <v>45950</v>
      </c>
      <c r="C2024" t="s">
        <v>10</v>
      </c>
      <c r="D2024" t="s">
        <v>11</v>
      </c>
      <c r="E2024" t="s">
        <v>12</v>
      </c>
      <c r="F2024" t="s">
        <v>18</v>
      </c>
      <c r="G2024" t="s">
        <v>19</v>
      </c>
      <c r="H2024">
        <v>12838</v>
      </c>
      <c r="I2024">
        <v>15000</v>
      </c>
    </row>
    <row r="2025" spans="1:9" x14ac:dyDescent="0.3">
      <c r="A2025" t="s">
        <v>2057</v>
      </c>
      <c r="B2025">
        <v>45950</v>
      </c>
      <c r="C2025" t="s">
        <v>10</v>
      </c>
      <c r="D2025" t="s">
        <v>11</v>
      </c>
      <c r="E2025" t="s">
        <v>12</v>
      </c>
      <c r="F2025" t="s">
        <v>42</v>
      </c>
      <c r="G2025" t="s">
        <v>19</v>
      </c>
      <c r="H2025">
        <v>29283</v>
      </c>
      <c r="I2025">
        <v>27600</v>
      </c>
    </row>
    <row r="2026" spans="1:9" x14ac:dyDescent="0.3">
      <c r="A2026" t="s">
        <v>2058</v>
      </c>
      <c r="B2026">
        <v>45950</v>
      </c>
      <c r="C2026" t="s">
        <v>16</v>
      </c>
      <c r="D2026" t="s">
        <v>11</v>
      </c>
      <c r="E2026" t="s">
        <v>17</v>
      </c>
      <c r="F2026" t="s">
        <v>13</v>
      </c>
      <c r="G2026" t="s">
        <v>14</v>
      </c>
      <c r="H2026">
        <v>234107</v>
      </c>
      <c r="I2026">
        <v>255200</v>
      </c>
    </row>
    <row r="2027" spans="1:9" x14ac:dyDescent="0.3">
      <c r="A2027" t="s">
        <v>2059</v>
      </c>
      <c r="B2027">
        <v>45950</v>
      </c>
      <c r="C2027" t="s">
        <v>36</v>
      </c>
      <c r="D2027" t="s">
        <v>11</v>
      </c>
      <c r="E2027" t="s">
        <v>37</v>
      </c>
      <c r="F2027" t="s">
        <v>37</v>
      </c>
      <c r="G2027" t="s">
        <v>14</v>
      </c>
      <c r="H2027">
        <v>249307</v>
      </c>
      <c r="I2027">
        <v>253600</v>
      </c>
    </row>
    <row r="2028" spans="1:9" x14ac:dyDescent="0.3">
      <c r="A2028" t="s">
        <v>2060</v>
      </c>
      <c r="B2028">
        <v>45950</v>
      </c>
      <c r="C2028" t="s">
        <v>25</v>
      </c>
      <c r="D2028" t="s">
        <v>11</v>
      </c>
      <c r="E2028" t="s">
        <v>22</v>
      </c>
      <c r="F2028" t="s">
        <v>56</v>
      </c>
      <c r="G2028" t="s">
        <v>19</v>
      </c>
      <c r="H2028">
        <v>113370</v>
      </c>
      <c r="I2028">
        <v>140900</v>
      </c>
    </row>
    <row r="2029" spans="1:9" x14ac:dyDescent="0.3">
      <c r="A2029" t="s">
        <v>2061</v>
      </c>
      <c r="B2029">
        <v>45950</v>
      </c>
      <c r="C2029" t="s">
        <v>25</v>
      </c>
      <c r="D2029" t="s">
        <v>11</v>
      </c>
      <c r="E2029" t="s">
        <v>22</v>
      </c>
      <c r="F2029" t="s">
        <v>26</v>
      </c>
      <c r="G2029" t="s">
        <v>14</v>
      </c>
      <c r="H2029">
        <v>172426</v>
      </c>
      <c r="I2029">
        <v>191100</v>
      </c>
    </row>
    <row r="2030" spans="1:9" x14ac:dyDescent="0.3">
      <c r="A2030" t="s">
        <v>2062</v>
      </c>
      <c r="B2030">
        <v>45950</v>
      </c>
      <c r="C2030" t="s">
        <v>55</v>
      </c>
      <c r="D2030" t="s">
        <v>11</v>
      </c>
      <c r="E2030" t="s">
        <v>37</v>
      </c>
      <c r="F2030" t="s">
        <v>56</v>
      </c>
      <c r="G2030" t="s">
        <v>19</v>
      </c>
      <c r="H2030">
        <v>28874</v>
      </c>
      <c r="I2030">
        <v>26900</v>
      </c>
    </row>
    <row r="2031" spans="1:9" x14ac:dyDescent="0.3">
      <c r="A2031" t="s">
        <v>2063</v>
      </c>
      <c r="B2031">
        <v>45950</v>
      </c>
      <c r="C2031" t="s">
        <v>55</v>
      </c>
      <c r="D2031" t="s">
        <v>11</v>
      </c>
      <c r="E2031" t="s">
        <v>37</v>
      </c>
      <c r="F2031" t="s">
        <v>33</v>
      </c>
      <c r="G2031" t="s">
        <v>19</v>
      </c>
      <c r="H2031">
        <v>19896</v>
      </c>
      <c r="I2031">
        <v>20100</v>
      </c>
    </row>
    <row r="2032" spans="1:9" x14ac:dyDescent="0.3">
      <c r="A2032" t="s">
        <v>2064</v>
      </c>
      <c r="B2032">
        <v>45950</v>
      </c>
      <c r="C2032" t="s">
        <v>55</v>
      </c>
      <c r="D2032" t="s">
        <v>11</v>
      </c>
      <c r="E2032" t="s">
        <v>37</v>
      </c>
      <c r="F2032" t="s">
        <v>46</v>
      </c>
      <c r="G2032" t="s">
        <v>19</v>
      </c>
      <c r="H2032">
        <v>18061</v>
      </c>
      <c r="I2032">
        <v>18100</v>
      </c>
    </row>
    <row r="2033" spans="1:9" x14ac:dyDescent="0.3">
      <c r="A2033" t="s">
        <v>2065</v>
      </c>
      <c r="B2033">
        <v>45951</v>
      </c>
      <c r="C2033" t="s">
        <v>62</v>
      </c>
      <c r="D2033" t="s">
        <v>11</v>
      </c>
      <c r="E2033" t="s">
        <v>22</v>
      </c>
      <c r="F2033" t="s">
        <v>23</v>
      </c>
      <c r="G2033" t="s">
        <v>14</v>
      </c>
      <c r="H2033">
        <v>145842</v>
      </c>
      <c r="I2033">
        <v>172100</v>
      </c>
    </row>
    <row r="2034" spans="1:9" x14ac:dyDescent="0.3">
      <c r="A2034" t="s">
        <v>2066</v>
      </c>
      <c r="B2034">
        <v>45951</v>
      </c>
      <c r="C2034" t="s">
        <v>16</v>
      </c>
      <c r="D2034" t="s">
        <v>11</v>
      </c>
      <c r="E2034" t="s">
        <v>17</v>
      </c>
      <c r="F2034" t="s">
        <v>37</v>
      </c>
      <c r="G2034" t="s">
        <v>14</v>
      </c>
      <c r="H2034">
        <v>70111</v>
      </c>
      <c r="I2034">
        <v>70200</v>
      </c>
    </row>
    <row r="2035" spans="1:9" x14ac:dyDescent="0.3">
      <c r="A2035" t="s">
        <v>2067</v>
      </c>
      <c r="B2035">
        <v>45951</v>
      </c>
      <c r="C2035" t="s">
        <v>21</v>
      </c>
      <c r="D2035" t="s">
        <v>11</v>
      </c>
      <c r="E2035" t="s">
        <v>22</v>
      </c>
      <c r="F2035" t="s">
        <v>56</v>
      </c>
      <c r="G2035" t="s">
        <v>19</v>
      </c>
      <c r="H2035">
        <v>68653</v>
      </c>
      <c r="I2035">
        <v>66000</v>
      </c>
    </row>
    <row r="2036" spans="1:9" x14ac:dyDescent="0.3">
      <c r="A2036" t="s">
        <v>2068</v>
      </c>
      <c r="B2036">
        <v>45951</v>
      </c>
      <c r="C2036" t="s">
        <v>25</v>
      </c>
      <c r="D2036" t="s">
        <v>11</v>
      </c>
      <c r="E2036" t="s">
        <v>22</v>
      </c>
      <c r="F2036" t="s">
        <v>33</v>
      </c>
      <c r="G2036" t="s">
        <v>19</v>
      </c>
      <c r="H2036">
        <v>27099</v>
      </c>
      <c r="I2036">
        <v>26300</v>
      </c>
    </row>
    <row r="2037" spans="1:9" x14ac:dyDescent="0.3">
      <c r="A2037" t="s">
        <v>2069</v>
      </c>
      <c r="B2037">
        <v>45951</v>
      </c>
      <c r="C2037" t="s">
        <v>31</v>
      </c>
      <c r="D2037" t="s">
        <v>11</v>
      </c>
      <c r="E2037" t="s">
        <v>17</v>
      </c>
      <c r="F2037" t="s">
        <v>39</v>
      </c>
      <c r="G2037" t="s">
        <v>19</v>
      </c>
      <c r="H2037">
        <v>90972</v>
      </c>
      <c r="I2037">
        <v>83400</v>
      </c>
    </row>
    <row r="2038" spans="1:9" x14ac:dyDescent="0.3">
      <c r="A2038" t="s">
        <v>2070</v>
      </c>
      <c r="B2038">
        <v>45952</v>
      </c>
      <c r="C2038" t="s">
        <v>62</v>
      </c>
      <c r="D2038" t="s">
        <v>11</v>
      </c>
      <c r="E2038" t="s">
        <v>22</v>
      </c>
      <c r="F2038" t="s">
        <v>18</v>
      </c>
      <c r="G2038" t="s">
        <v>19</v>
      </c>
      <c r="H2038">
        <v>44381</v>
      </c>
      <c r="I2038">
        <v>42500</v>
      </c>
    </row>
    <row r="2039" spans="1:9" x14ac:dyDescent="0.3">
      <c r="A2039" t="s">
        <v>2071</v>
      </c>
      <c r="B2039">
        <v>45952</v>
      </c>
      <c r="C2039" t="s">
        <v>62</v>
      </c>
      <c r="D2039" t="s">
        <v>11</v>
      </c>
      <c r="E2039" t="s">
        <v>22</v>
      </c>
      <c r="F2039" t="s">
        <v>42</v>
      </c>
      <c r="G2039" t="s">
        <v>19</v>
      </c>
      <c r="H2039">
        <v>67316</v>
      </c>
      <c r="I2039">
        <v>65300</v>
      </c>
    </row>
    <row r="2040" spans="1:9" x14ac:dyDescent="0.3">
      <c r="A2040" t="s">
        <v>2072</v>
      </c>
      <c r="B2040">
        <v>45952</v>
      </c>
      <c r="C2040" t="s">
        <v>10</v>
      </c>
      <c r="D2040" t="s">
        <v>11</v>
      </c>
      <c r="E2040" t="s">
        <v>12</v>
      </c>
      <c r="F2040" t="s">
        <v>33</v>
      </c>
      <c r="G2040" t="s">
        <v>19</v>
      </c>
      <c r="H2040">
        <v>33727</v>
      </c>
      <c r="I2040">
        <v>33200</v>
      </c>
    </row>
    <row r="2041" spans="1:9" x14ac:dyDescent="0.3">
      <c r="A2041" t="s">
        <v>2073</v>
      </c>
      <c r="B2041">
        <v>45952</v>
      </c>
      <c r="C2041" t="s">
        <v>10</v>
      </c>
      <c r="D2041" t="s">
        <v>11</v>
      </c>
      <c r="E2041" t="s">
        <v>12</v>
      </c>
      <c r="F2041" t="s">
        <v>39</v>
      </c>
      <c r="G2041" t="s">
        <v>19</v>
      </c>
      <c r="H2041">
        <v>22311</v>
      </c>
      <c r="I2041">
        <v>26300</v>
      </c>
    </row>
    <row r="2042" spans="1:9" x14ac:dyDescent="0.3">
      <c r="A2042" t="s">
        <v>2074</v>
      </c>
      <c r="B2042">
        <v>45952</v>
      </c>
      <c r="C2042" t="s">
        <v>16</v>
      </c>
      <c r="D2042" t="s">
        <v>11</v>
      </c>
      <c r="E2042" t="s">
        <v>17</v>
      </c>
      <c r="F2042" t="s">
        <v>56</v>
      </c>
      <c r="G2042" t="s">
        <v>19</v>
      </c>
      <c r="H2042">
        <v>15865</v>
      </c>
      <c r="I2042">
        <v>16900</v>
      </c>
    </row>
    <row r="2043" spans="1:9" x14ac:dyDescent="0.3">
      <c r="A2043" t="s">
        <v>2075</v>
      </c>
      <c r="B2043">
        <v>45952</v>
      </c>
      <c r="C2043" t="s">
        <v>16</v>
      </c>
      <c r="D2043" t="s">
        <v>11</v>
      </c>
      <c r="E2043" t="s">
        <v>17</v>
      </c>
      <c r="F2043" t="s">
        <v>18</v>
      </c>
      <c r="G2043" t="s">
        <v>19</v>
      </c>
      <c r="H2043">
        <v>68134</v>
      </c>
      <c r="I2043">
        <v>70300</v>
      </c>
    </row>
    <row r="2044" spans="1:9" x14ac:dyDescent="0.3">
      <c r="A2044" t="s">
        <v>2076</v>
      </c>
      <c r="B2044">
        <v>45952</v>
      </c>
      <c r="C2044" t="s">
        <v>16</v>
      </c>
      <c r="D2044" t="s">
        <v>11</v>
      </c>
      <c r="E2044" t="s">
        <v>17</v>
      </c>
      <c r="F2044" t="s">
        <v>26</v>
      </c>
      <c r="G2044" t="s">
        <v>14</v>
      </c>
      <c r="H2044">
        <v>218615</v>
      </c>
      <c r="I2044">
        <v>209600</v>
      </c>
    </row>
    <row r="2045" spans="1:9" x14ac:dyDescent="0.3">
      <c r="A2045" t="s">
        <v>2077</v>
      </c>
      <c r="B2045">
        <v>45952</v>
      </c>
      <c r="C2045" t="s">
        <v>16</v>
      </c>
      <c r="D2045" t="s">
        <v>11</v>
      </c>
      <c r="E2045" t="s">
        <v>17</v>
      </c>
      <c r="F2045" t="s">
        <v>59</v>
      </c>
      <c r="G2045" t="s">
        <v>14</v>
      </c>
      <c r="H2045">
        <v>221091</v>
      </c>
      <c r="I2045">
        <v>198600</v>
      </c>
    </row>
    <row r="2046" spans="1:9" x14ac:dyDescent="0.3">
      <c r="A2046" t="s">
        <v>2078</v>
      </c>
      <c r="B2046">
        <v>45952</v>
      </c>
      <c r="C2046" t="s">
        <v>36</v>
      </c>
      <c r="D2046" t="s">
        <v>11</v>
      </c>
      <c r="E2046" t="s">
        <v>37</v>
      </c>
      <c r="F2046" t="s">
        <v>12</v>
      </c>
      <c r="G2046" t="s">
        <v>14</v>
      </c>
      <c r="H2046">
        <v>219284</v>
      </c>
      <c r="I2046">
        <v>175000</v>
      </c>
    </row>
    <row r="2047" spans="1:9" x14ac:dyDescent="0.3">
      <c r="A2047" t="s">
        <v>2079</v>
      </c>
      <c r="B2047">
        <v>45952</v>
      </c>
      <c r="C2047" t="s">
        <v>21</v>
      </c>
      <c r="D2047" t="s">
        <v>11</v>
      </c>
      <c r="E2047" t="s">
        <v>22</v>
      </c>
      <c r="F2047" t="s">
        <v>39</v>
      </c>
      <c r="G2047" t="s">
        <v>19</v>
      </c>
      <c r="H2047">
        <v>26855</v>
      </c>
      <c r="I2047">
        <v>30800</v>
      </c>
    </row>
    <row r="2048" spans="1:9" x14ac:dyDescent="0.3">
      <c r="A2048" t="s">
        <v>2080</v>
      </c>
      <c r="B2048">
        <v>45952</v>
      </c>
      <c r="C2048" t="s">
        <v>25</v>
      </c>
      <c r="D2048" t="s">
        <v>11</v>
      </c>
      <c r="E2048" t="s">
        <v>22</v>
      </c>
      <c r="F2048" t="s">
        <v>23</v>
      </c>
      <c r="G2048" t="s">
        <v>14</v>
      </c>
      <c r="H2048">
        <v>126446</v>
      </c>
      <c r="I2048">
        <v>114700</v>
      </c>
    </row>
    <row r="2049" spans="1:9" x14ac:dyDescent="0.3">
      <c r="A2049" t="s">
        <v>2081</v>
      </c>
      <c r="B2049">
        <v>45953</v>
      </c>
      <c r="C2049" t="s">
        <v>36</v>
      </c>
      <c r="D2049" t="s">
        <v>11</v>
      </c>
      <c r="E2049" t="s">
        <v>37</v>
      </c>
      <c r="F2049" t="s">
        <v>42</v>
      </c>
      <c r="G2049" t="s">
        <v>19</v>
      </c>
      <c r="H2049">
        <v>14902</v>
      </c>
      <c r="I2049">
        <v>14200</v>
      </c>
    </row>
    <row r="2050" spans="1:9" x14ac:dyDescent="0.3">
      <c r="A2050" t="s">
        <v>2082</v>
      </c>
      <c r="B2050">
        <v>45953</v>
      </c>
      <c r="C2050" t="s">
        <v>25</v>
      </c>
      <c r="D2050" t="s">
        <v>11</v>
      </c>
      <c r="E2050" t="s">
        <v>22</v>
      </c>
      <c r="F2050" t="s">
        <v>39</v>
      </c>
      <c r="G2050" t="s">
        <v>19</v>
      </c>
      <c r="H2050">
        <v>77175</v>
      </c>
      <c r="I2050">
        <v>71600</v>
      </c>
    </row>
    <row r="2051" spans="1:9" x14ac:dyDescent="0.3">
      <c r="A2051" t="s">
        <v>2083</v>
      </c>
      <c r="B2051">
        <v>45953</v>
      </c>
      <c r="C2051" t="s">
        <v>31</v>
      </c>
      <c r="D2051" t="s">
        <v>11</v>
      </c>
      <c r="E2051" t="s">
        <v>17</v>
      </c>
      <c r="F2051" t="s">
        <v>18</v>
      </c>
      <c r="G2051" t="s">
        <v>19</v>
      </c>
      <c r="H2051">
        <v>37948</v>
      </c>
      <c r="I2051">
        <v>32700</v>
      </c>
    </row>
    <row r="2052" spans="1:9" x14ac:dyDescent="0.3">
      <c r="A2052" t="s">
        <v>2084</v>
      </c>
      <c r="B2052">
        <v>45953</v>
      </c>
      <c r="C2052" t="s">
        <v>55</v>
      </c>
      <c r="D2052" t="s">
        <v>11</v>
      </c>
      <c r="E2052" t="s">
        <v>37</v>
      </c>
      <c r="F2052" t="s">
        <v>18</v>
      </c>
      <c r="G2052" t="s">
        <v>19</v>
      </c>
      <c r="H2052">
        <v>21833</v>
      </c>
      <c r="I2052">
        <v>23100</v>
      </c>
    </row>
    <row r="2053" spans="1:9" x14ac:dyDescent="0.3">
      <c r="A2053" t="s">
        <v>2085</v>
      </c>
      <c r="B2053">
        <v>45954</v>
      </c>
      <c r="C2053" t="s">
        <v>62</v>
      </c>
      <c r="D2053" t="s">
        <v>11</v>
      </c>
      <c r="E2053" t="s">
        <v>22</v>
      </c>
      <c r="F2053" t="s">
        <v>46</v>
      </c>
      <c r="G2053" t="s">
        <v>19</v>
      </c>
      <c r="H2053">
        <v>81368</v>
      </c>
      <c r="I2053">
        <v>88400</v>
      </c>
    </row>
    <row r="2054" spans="1:9" x14ac:dyDescent="0.3">
      <c r="A2054" t="s">
        <v>2086</v>
      </c>
      <c r="B2054">
        <v>45954</v>
      </c>
      <c r="C2054" t="s">
        <v>62</v>
      </c>
      <c r="D2054" t="s">
        <v>11</v>
      </c>
      <c r="E2054" t="s">
        <v>22</v>
      </c>
      <c r="F2054" t="s">
        <v>37</v>
      </c>
      <c r="G2054" t="s">
        <v>14</v>
      </c>
      <c r="H2054">
        <v>215729</v>
      </c>
      <c r="I2054">
        <v>238400</v>
      </c>
    </row>
    <row r="2055" spans="1:9" x14ac:dyDescent="0.3">
      <c r="A2055" t="s">
        <v>2087</v>
      </c>
      <c r="B2055">
        <v>45954</v>
      </c>
      <c r="C2055" t="s">
        <v>16</v>
      </c>
      <c r="D2055" t="s">
        <v>11</v>
      </c>
      <c r="E2055" t="s">
        <v>17</v>
      </c>
      <c r="F2055" t="s">
        <v>33</v>
      </c>
      <c r="G2055" t="s">
        <v>19</v>
      </c>
      <c r="H2055">
        <v>76069</v>
      </c>
      <c r="I2055">
        <v>74700</v>
      </c>
    </row>
    <row r="2056" spans="1:9" x14ac:dyDescent="0.3">
      <c r="A2056" t="s">
        <v>2088</v>
      </c>
      <c r="B2056">
        <v>45954</v>
      </c>
      <c r="C2056" t="s">
        <v>16</v>
      </c>
      <c r="D2056" t="s">
        <v>11</v>
      </c>
      <c r="E2056" t="s">
        <v>17</v>
      </c>
      <c r="F2056" t="s">
        <v>37</v>
      </c>
      <c r="G2056" t="s">
        <v>14</v>
      </c>
      <c r="H2056">
        <v>78509</v>
      </c>
      <c r="I2056">
        <v>77600</v>
      </c>
    </row>
    <row r="2057" spans="1:9" x14ac:dyDescent="0.3">
      <c r="A2057" t="s">
        <v>2089</v>
      </c>
      <c r="B2057">
        <v>45954</v>
      </c>
      <c r="C2057" t="s">
        <v>21</v>
      </c>
      <c r="D2057" t="s">
        <v>11</v>
      </c>
      <c r="E2057" t="s">
        <v>22</v>
      </c>
      <c r="F2057" t="s">
        <v>46</v>
      </c>
      <c r="G2057" t="s">
        <v>19</v>
      </c>
      <c r="H2057">
        <v>51736</v>
      </c>
      <c r="I2057">
        <v>42600</v>
      </c>
    </row>
    <row r="2058" spans="1:9" x14ac:dyDescent="0.3">
      <c r="A2058" t="s">
        <v>2090</v>
      </c>
      <c r="B2058">
        <v>45954</v>
      </c>
      <c r="C2058" t="s">
        <v>25</v>
      </c>
      <c r="D2058" t="s">
        <v>11</v>
      </c>
      <c r="E2058" t="s">
        <v>22</v>
      </c>
      <c r="F2058" t="s">
        <v>59</v>
      </c>
      <c r="G2058" t="s">
        <v>14</v>
      </c>
      <c r="H2058">
        <v>205979</v>
      </c>
      <c r="I2058">
        <v>188200</v>
      </c>
    </row>
    <row r="2059" spans="1:9" x14ac:dyDescent="0.3">
      <c r="A2059" t="s">
        <v>2091</v>
      </c>
      <c r="B2059">
        <v>45954</v>
      </c>
      <c r="C2059" t="s">
        <v>25</v>
      </c>
      <c r="D2059" t="s">
        <v>11</v>
      </c>
      <c r="E2059" t="s">
        <v>22</v>
      </c>
      <c r="F2059" t="s">
        <v>26</v>
      </c>
      <c r="G2059" t="s">
        <v>14</v>
      </c>
      <c r="H2059">
        <v>210695</v>
      </c>
      <c r="I2059">
        <v>206400</v>
      </c>
    </row>
    <row r="2060" spans="1:9" x14ac:dyDescent="0.3">
      <c r="A2060" t="s">
        <v>2092</v>
      </c>
      <c r="B2060">
        <v>45954</v>
      </c>
      <c r="C2060" t="s">
        <v>55</v>
      </c>
      <c r="D2060" t="s">
        <v>11</v>
      </c>
      <c r="E2060" t="s">
        <v>37</v>
      </c>
      <c r="F2060" t="s">
        <v>46</v>
      </c>
      <c r="G2060" t="s">
        <v>19</v>
      </c>
      <c r="H2060">
        <v>92227</v>
      </c>
      <c r="I2060">
        <v>87400</v>
      </c>
    </row>
    <row r="2061" spans="1:9" x14ac:dyDescent="0.3">
      <c r="A2061" t="s">
        <v>2093</v>
      </c>
      <c r="B2061">
        <v>45954</v>
      </c>
      <c r="C2061" t="s">
        <v>55</v>
      </c>
      <c r="D2061" t="s">
        <v>11</v>
      </c>
      <c r="E2061" t="s">
        <v>37</v>
      </c>
      <c r="F2061" t="s">
        <v>37</v>
      </c>
      <c r="G2061" t="s">
        <v>14</v>
      </c>
      <c r="H2061">
        <v>201314</v>
      </c>
      <c r="I2061">
        <v>206800</v>
      </c>
    </row>
    <row r="2062" spans="1:9" x14ac:dyDescent="0.3">
      <c r="A2062" t="s">
        <v>2094</v>
      </c>
      <c r="B2062">
        <v>45955</v>
      </c>
      <c r="C2062" t="s">
        <v>62</v>
      </c>
      <c r="D2062" t="s">
        <v>11</v>
      </c>
      <c r="E2062" t="s">
        <v>22</v>
      </c>
      <c r="F2062" t="s">
        <v>59</v>
      </c>
      <c r="G2062" t="s">
        <v>14</v>
      </c>
      <c r="H2062">
        <v>179775</v>
      </c>
      <c r="I2062">
        <v>158800</v>
      </c>
    </row>
    <row r="2063" spans="1:9" x14ac:dyDescent="0.3">
      <c r="A2063" t="s">
        <v>2095</v>
      </c>
      <c r="B2063">
        <v>45955</v>
      </c>
      <c r="C2063" t="s">
        <v>62</v>
      </c>
      <c r="D2063" t="s">
        <v>11</v>
      </c>
      <c r="E2063" t="s">
        <v>22</v>
      </c>
      <c r="F2063" t="s">
        <v>59</v>
      </c>
      <c r="G2063" t="s">
        <v>14</v>
      </c>
      <c r="H2063">
        <v>225304</v>
      </c>
      <c r="I2063">
        <v>200300</v>
      </c>
    </row>
    <row r="2064" spans="1:9" x14ac:dyDescent="0.3">
      <c r="A2064" t="s">
        <v>2096</v>
      </c>
      <c r="B2064">
        <v>45955</v>
      </c>
      <c r="C2064" t="s">
        <v>10</v>
      </c>
      <c r="D2064" t="s">
        <v>11</v>
      </c>
      <c r="E2064" t="s">
        <v>12</v>
      </c>
      <c r="F2064" t="s">
        <v>37</v>
      </c>
      <c r="G2064" t="s">
        <v>14</v>
      </c>
      <c r="H2064">
        <v>236907</v>
      </c>
      <c r="I2064">
        <v>230900</v>
      </c>
    </row>
    <row r="2065" spans="1:9" x14ac:dyDescent="0.3">
      <c r="A2065" t="s">
        <v>2097</v>
      </c>
      <c r="B2065">
        <v>45955</v>
      </c>
      <c r="C2065" t="s">
        <v>10</v>
      </c>
      <c r="D2065" t="s">
        <v>11</v>
      </c>
      <c r="E2065" t="s">
        <v>12</v>
      </c>
      <c r="F2065" t="s">
        <v>23</v>
      </c>
      <c r="G2065" t="s">
        <v>14</v>
      </c>
      <c r="H2065">
        <v>244715</v>
      </c>
      <c r="I2065">
        <v>230800</v>
      </c>
    </row>
    <row r="2066" spans="1:9" x14ac:dyDescent="0.3">
      <c r="A2066" t="s">
        <v>2098</v>
      </c>
      <c r="B2066">
        <v>45955</v>
      </c>
      <c r="C2066" t="s">
        <v>16</v>
      </c>
      <c r="D2066" t="s">
        <v>11</v>
      </c>
      <c r="E2066" t="s">
        <v>17</v>
      </c>
      <c r="F2066" t="s">
        <v>18</v>
      </c>
      <c r="G2066" t="s">
        <v>19</v>
      </c>
      <c r="H2066">
        <v>68889</v>
      </c>
      <c r="I2066">
        <v>77800</v>
      </c>
    </row>
    <row r="2067" spans="1:9" x14ac:dyDescent="0.3">
      <c r="A2067" t="s">
        <v>2099</v>
      </c>
      <c r="B2067">
        <v>45955</v>
      </c>
      <c r="C2067" t="s">
        <v>16</v>
      </c>
      <c r="D2067" t="s">
        <v>11</v>
      </c>
      <c r="E2067" t="s">
        <v>17</v>
      </c>
      <c r="F2067" t="s">
        <v>13</v>
      </c>
      <c r="G2067" t="s">
        <v>14</v>
      </c>
      <c r="H2067">
        <v>93881</v>
      </c>
      <c r="I2067">
        <v>85700</v>
      </c>
    </row>
    <row r="2068" spans="1:9" x14ac:dyDescent="0.3">
      <c r="A2068" t="s">
        <v>2100</v>
      </c>
      <c r="B2068">
        <v>45955</v>
      </c>
      <c r="C2068" t="s">
        <v>16</v>
      </c>
      <c r="D2068" t="s">
        <v>11</v>
      </c>
      <c r="E2068" t="s">
        <v>17</v>
      </c>
      <c r="F2068" t="s">
        <v>59</v>
      </c>
      <c r="G2068" t="s">
        <v>14</v>
      </c>
      <c r="H2068">
        <v>160785</v>
      </c>
      <c r="I2068">
        <v>122700</v>
      </c>
    </row>
    <row r="2069" spans="1:9" x14ac:dyDescent="0.3">
      <c r="A2069" t="s">
        <v>2101</v>
      </c>
      <c r="B2069">
        <v>45955</v>
      </c>
      <c r="C2069" t="s">
        <v>36</v>
      </c>
      <c r="D2069" t="s">
        <v>11</v>
      </c>
      <c r="E2069" t="s">
        <v>37</v>
      </c>
      <c r="F2069" t="s">
        <v>23</v>
      </c>
      <c r="G2069" t="s">
        <v>14</v>
      </c>
      <c r="H2069">
        <v>143852</v>
      </c>
      <c r="I2069">
        <v>162900</v>
      </c>
    </row>
    <row r="2070" spans="1:9" x14ac:dyDescent="0.3">
      <c r="A2070" t="s">
        <v>2102</v>
      </c>
      <c r="B2070">
        <v>45955</v>
      </c>
      <c r="C2070" t="s">
        <v>36</v>
      </c>
      <c r="D2070" t="s">
        <v>11</v>
      </c>
      <c r="E2070" t="s">
        <v>37</v>
      </c>
      <c r="F2070" t="s">
        <v>13</v>
      </c>
      <c r="G2070" t="s">
        <v>14</v>
      </c>
      <c r="H2070">
        <v>37914</v>
      </c>
      <c r="I2070">
        <v>35900</v>
      </c>
    </row>
    <row r="2071" spans="1:9" x14ac:dyDescent="0.3">
      <c r="A2071" t="s">
        <v>2103</v>
      </c>
      <c r="B2071">
        <v>45955</v>
      </c>
      <c r="C2071" t="s">
        <v>25</v>
      </c>
      <c r="D2071" t="s">
        <v>11</v>
      </c>
      <c r="E2071" t="s">
        <v>22</v>
      </c>
      <c r="F2071" t="s">
        <v>18</v>
      </c>
      <c r="G2071" t="s">
        <v>19</v>
      </c>
      <c r="H2071">
        <v>107258</v>
      </c>
      <c r="I2071">
        <v>113100</v>
      </c>
    </row>
    <row r="2072" spans="1:9" x14ac:dyDescent="0.3">
      <c r="A2072" t="s">
        <v>2104</v>
      </c>
      <c r="B2072">
        <v>45955</v>
      </c>
      <c r="C2072" t="s">
        <v>25</v>
      </c>
      <c r="D2072" t="s">
        <v>11</v>
      </c>
      <c r="E2072" t="s">
        <v>22</v>
      </c>
      <c r="F2072" t="s">
        <v>46</v>
      </c>
      <c r="G2072" t="s">
        <v>19</v>
      </c>
      <c r="H2072">
        <v>74774</v>
      </c>
      <c r="I2072">
        <v>96500</v>
      </c>
    </row>
    <row r="2073" spans="1:9" x14ac:dyDescent="0.3">
      <c r="A2073" t="s">
        <v>2105</v>
      </c>
      <c r="B2073">
        <v>45955</v>
      </c>
      <c r="C2073" t="s">
        <v>31</v>
      </c>
      <c r="D2073" t="s">
        <v>11</v>
      </c>
      <c r="E2073" t="s">
        <v>17</v>
      </c>
      <c r="F2073" t="s">
        <v>37</v>
      </c>
      <c r="G2073" t="s">
        <v>14</v>
      </c>
      <c r="H2073">
        <v>76094</v>
      </c>
      <c r="I2073">
        <v>84200</v>
      </c>
    </row>
    <row r="2074" spans="1:9" x14ac:dyDescent="0.3">
      <c r="A2074" t="s">
        <v>2106</v>
      </c>
      <c r="B2074">
        <v>45956</v>
      </c>
      <c r="C2074" t="s">
        <v>62</v>
      </c>
      <c r="D2074" t="s">
        <v>11</v>
      </c>
      <c r="E2074" t="s">
        <v>22</v>
      </c>
      <c r="F2074" t="s">
        <v>33</v>
      </c>
      <c r="G2074" t="s">
        <v>19</v>
      </c>
      <c r="H2074">
        <v>116075</v>
      </c>
      <c r="I2074">
        <v>107100</v>
      </c>
    </row>
    <row r="2075" spans="1:9" x14ac:dyDescent="0.3">
      <c r="A2075" t="s">
        <v>2107</v>
      </c>
      <c r="B2075">
        <v>45956</v>
      </c>
      <c r="C2075" t="s">
        <v>62</v>
      </c>
      <c r="D2075" t="s">
        <v>11</v>
      </c>
      <c r="E2075" t="s">
        <v>22</v>
      </c>
      <c r="F2075" t="s">
        <v>12</v>
      </c>
      <c r="G2075" t="s">
        <v>14</v>
      </c>
      <c r="H2075">
        <v>52880</v>
      </c>
      <c r="I2075">
        <v>46800</v>
      </c>
    </row>
    <row r="2076" spans="1:9" x14ac:dyDescent="0.3">
      <c r="A2076" t="s">
        <v>2108</v>
      </c>
      <c r="B2076">
        <v>45956</v>
      </c>
      <c r="C2076" t="s">
        <v>31</v>
      </c>
      <c r="D2076" t="s">
        <v>11</v>
      </c>
      <c r="E2076" t="s">
        <v>17</v>
      </c>
      <c r="F2076" t="s">
        <v>33</v>
      </c>
      <c r="G2076" t="s">
        <v>19</v>
      </c>
      <c r="H2076">
        <v>35610</v>
      </c>
      <c r="I2076">
        <v>36500</v>
      </c>
    </row>
    <row r="2077" spans="1:9" x14ac:dyDescent="0.3">
      <c r="A2077" t="s">
        <v>2109</v>
      </c>
      <c r="B2077">
        <v>45957</v>
      </c>
      <c r="C2077" t="s">
        <v>10</v>
      </c>
      <c r="D2077" t="s">
        <v>11</v>
      </c>
      <c r="E2077" t="s">
        <v>12</v>
      </c>
      <c r="F2077" t="s">
        <v>46</v>
      </c>
      <c r="G2077" t="s">
        <v>19</v>
      </c>
      <c r="H2077">
        <v>95552</v>
      </c>
      <c r="I2077">
        <v>84900</v>
      </c>
    </row>
    <row r="2078" spans="1:9" x14ac:dyDescent="0.3">
      <c r="A2078" t="s">
        <v>2110</v>
      </c>
      <c r="B2078">
        <v>45957</v>
      </c>
      <c r="C2078" t="s">
        <v>10</v>
      </c>
      <c r="D2078" t="s">
        <v>11</v>
      </c>
      <c r="E2078" t="s">
        <v>12</v>
      </c>
      <c r="F2078" t="s">
        <v>33</v>
      </c>
      <c r="G2078" t="s">
        <v>19</v>
      </c>
      <c r="H2078">
        <v>66731</v>
      </c>
      <c r="I2078">
        <v>69500</v>
      </c>
    </row>
    <row r="2079" spans="1:9" x14ac:dyDescent="0.3">
      <c r="A2079" t="s">
        <v>2111</v>
      </c>
      <c r="B2079">
        <v>45957</v>
      </c>
      <c r="C2079" t="s">
        <v>16</v>
      </c>
      <c r="D2079" t="s">
        <v>11</v>
      </c>
      <c r="E2079" t="s">
        <v>17</v>
      </c>
      <c r="F2079" t="s">
        <v>12</v>
      </c>
      <c r="G2079" t="s">
        <v>14</v>
      </c>
      <c r="H2079">
        <v>108581</v>
      </c>
      <c r="I2079">
        <v>109400</v>
      </c>
    </row>
    <row r="2080" spans="1:9" x14ac:dyDescent="0.3">
      <c r="A2080" t="s">
        <v>2112</v>
      </c>
      <c r="B2080">
        <v>45957</v>
      </c>
      <c r="C2080" t="s">
        <v>36</v>
      </c>
      <c r="D2080" t="s">
        <v>11</v>
      </c>
      <c r="E2080" t="s">
        <v>37</v>
      </c>
      <c r="F2080" t="s">
        <v>18</v>
      </c>
      <c r="G2080" t="s">
        <v>19</v>
      </c>
      <c r="H2080">
        <v>14438</v>
      </c>
      <c r="I2080">
        <v>14600</v>
      </c>
    </row>
    <row r="2081" spans="1:9" x14ac:dyDescent="0.3">
      <c r="A2081" t="s">
        <v>2113</v>
      </c>
      <c r="B2081">
        <v>45957</v>
      </c>
      <c r="C2081" t="s">
        <v>21</v>
      </c>
      <c r="D2081" t="s">
        <v>11</v>
      </c>
      <c r="E2081" t="s">
        <v>22</v>
      </c>
      <c r="F2081" t="s">
        <v>56</v>
      </c>
      <c r="G2081" t="s">
        <v>19</v>
      </c>
      <c r="H2081">
        <v>92161</v>
      </c>
      <c r="I2081">
        <v>93300</v>
      </c>
    </row>
    <row r="2082" spans="1:9" x14ac:dyDescent="0.3">
      <c r="A2082" t="s">
        <v>2114</v>
      </c>
      <c r="B2082">
        <v>45957</v>
      </c>
      <c r="C2082" t="s">
        <v>21</v>
      </c>
      <c r="D2082" t="s">
        <v>11</v>
      </c>
      <c r="E2082" t="s">
        <v>22</v>
      </c>
      <c r="F2082" t="s">
        <v>37</v>
      </c>
      <c r="G2082" t="s">
        <v>14</v>
      </c>
      <c r="H2082">
        <v>237429</v>
      </c>
      <c r="I2082">
        <v>226700</v>
      </c>
    </row>
    <row r="2083" spans="1:9" x14ac:dyDescent="0.3">
      <c r="A2083" t="s">
        <v>2115</v>
      </c>
      <c r="B2083">
        <v>45957</v>
      </c>
      <c r="C2083" t="s">
        <v>21</v>
      </c>
      <c r="D2083" t="s">
        <v>11</v>
      </c>
      <c r="E2083" t="s">
        <v>22</v>
      </c>
      <c r="F2083" t="s">
        <v>26</v>
      </c>
      <c r="G2083" t="s">
        <v>14</v>
      </c>
      <c r="H2083">
        <v>203257</v>
      </c>
      <c r="I2083">
        <v>179700</v>
      </c>
    </row>
    <row r="2084" spans="1:9" x14ac:dyDescent="0.3">
      <c r="A2084" t="s">
        <v>2116</v>
      </c>
      <c r="B2084">
        <v>45957</v>
      </c>
      <c r="C2084" t="s">
        <v>31</v>
      </c>
      <c r="D2084" t="s">
        <v>11</v>
      </c>
      <c r="E2084" t="s">
        <v>17</v>
      </c>
      <c r="F2084" t="s">
        <v>42</v>
      </c>
      <c r="G2084" t="s">
        <v>19</v>
      </c>
      <c r="H2084">
        <v>46319</v>
      </c>
      <c r="I2084">
        <v>52000</v>
      </c>
    </row>
    <row r="2085" spans="1:9" x14ac:dyDescent="0.3">
      <c r="A2085" t="s">
        <v>2117</v>
      </c>
      <c r="B2085">
        <v>45957</v>
      </c>
      <c r="C2085" t="s">
        <v>31</v>
      </c>
      <c r="D2085" t="s">
        <v>11</v>
      </c>
      <c r="E2085" t="s">
        <v>17</v>
      </c>
      <c r="F2085" t="s">
        <v>37</v>
      </c>
      <c r="G2085" t="s">
        <v>14</v>
      </c>
      <c r="H2085">
        <v>227395</v>
      </c>
      <c r="I2085">
        <v>241600</v>
      </c>
    </row>
    <row r="2086" spans="1:9" x14ac:dyDescent="0.3">
      <c r="A2086" t="s">
        <v>2118</v>
      </c>
      <c r="B2086">
        <v>45957</v>
      </c>
      <c r="C2086" t="s">
        <v>31</v>
      </c>
      <c r="D2086" t="s">
        <v>11</v>
      </c>
      <c r="E2086" t="s">
        <v>17</v>
      </c>
      <c r="F2086" t="s">
        <v>12</v>
      </c>
      <c r="G2086" t="s">
        <v>14</v>
      </c>
      <c r="H2086">
        <v>152468</v>
      </c>
      <c r="I2086">
        <v>135200</v>
      </c>
    </row>
    <row r="2087" spans="1:9" x14ac:dyDescent="0.3">
      <c r="A2087" t="s">
        <v>2119</v>
      </c>
      <c r="B2087">
        <v>45957</v>
      </c>
      <c r="C2087" t="s">
        <v>55</v>
      </c>
      <c r="D2087" t="s">
        <v>11</v>
      </c>
      <c r="E2087" t="s">
        <v>37</v>
      </c>
      <c r="F2087" t="s">
        <v>13</v>
      </c>
      <c r="G2087" t="s">
        <v>14</v>
      </c>
      <c r="H2087">
        <v>158290</v>
      </c>
      <c r="I2087">
        <v>137700</v>
      </c>
    </row>
    <row r="2088" spans="1:9" x14ac:dyDescent="0.3">
      <c r="A2088" t="s">
        <v>2120</v>
      </c>
      <c r="B2088">
        <v>45958</v>
      </c>
      <c r="C2088" t="s">
        <v>36</v>
      </c>
      <c r="D2088" t="s">
        <v>11</v>
      </c>
      <c r="E2088" t="s">
        <v>37</v>
      </c>
      <c r="F2088" t="s">
        <v>56</v>
      </c>
      <c r="G2088" t="s">
        <v>19</v>
      </c>
      <c r="H2088">
        <v>40114</v>
      </c>
      <c r="I2088">
        <v>36300</v>
      </c>
    </row>
    <row r="2089" spans="1:9" x14ac:dyDescent="0.3">
      <c r="A2089" t="s">
        <v>2121</v>
      </c>
      <c r="B2089">
        <v>45958</v>
      </c>
      <c r="C2089" t="s">
        <v>36</v>
      </c>
      <c r="D2089" t="s">
        <v>11</v>
      </c>
      <c r="E2089" t="s">
        <v>37</v>
      </c>
      <c r="F2089" t="s">
        <v>26</v>
      </c>
      <c r="G2089" t="s">
        <v>14</v>
      </c>
      <c r="H2089">
        <v>186969</v>
      </c>
      <c r="I2089">
        <v>175600</v>
      </c>
    </row>
    <row r="2090" spans="1:9" x14ac:dyDescent="0.3">
      <c r="A2090" t="s">
        <v>2122</v>
      </c>
      <c r="B2090">
        <v>45958</v>
      </c>
      <c r="C2090" t="s">
        <v>31</v>
      </c>
      <c r="D2090" t="s">
        <v>11</v>
      </c>
      <c r="E2090" t="s">
        <v>17</v>
      </c>
      <c r="F2090" t="s">
        <v>56</v>
      </c>
      <c r="G2090" t="s">
        <v>19</v>
      </c>
      <c r="H2090">
        <v>90431</v>
      </c>
      <c r="I2090">
        <v>94000</v>
      </c>
    </row>
    <row r="2091" spans="1:9" x14ac:dyDescent="0.3">
      <c r="A2091" t="s">
        <v>2123</v>
      </c>
      <c r="B2091">
        <v>45958</v>
      </c>
      <c r="C2091" t="s">
        <v>55</v>
      </c>
      <c r="D2091" t="s">
        <v>11</v>
      </c>
      <c r="E2091" t="s">
        <v>37</v>
      </c>
      <c r="F2091" t="s">
        <v>18</v>
      </c>
      <c r="G2091" t="s">
        <v>19</v>
      </c>
      <c r="H2091">
        <v>73843</v>
      </c>
      <c r="I2091">
        <v>76600</v>
      </c>
    </row>
    <row r="2092" spans="1:9" x14ac:dyDescent="0.3">
      <c r="A2092" t="s">
        <v>2124</v>
      </c>
      <c r="B2092">
        <v>45959</v>
      </c>
      <c r="C2092" t="s">
        <v>62</v>
      </c>
      <c r="D2092" t="s">
        <v>11</v>
      </c>
      <c r="E2092" t="s">
        <v>22</v>
      </c>
      <c r="F2092" t="s">
        <v>46</v>
      </c>
      <c r="G2092" t="s">
        <v>19</v>
      </c>
      <c r="H2092">
        <v>86863</v>
      </c>
      <c r="I2092">
        <v>81700</v>
      </c>
    </row>
    <row r="2093" spans="1:9" x14ac:dyDescent="0.3">
      <c r="A2093" t="s">
        <v>2125</v>
      </c>
      <c r="B2093">
        <v>45959</v>
      </c>
      <c r="C2093" t="s">
        <v>62</v>
      </c>
      <c r="D2093" t="s">
        <v>11</v>
      </c>
      <c r="E2093" t="s">
        <v>22</v>
      </c>
      <c r="F2093" t="s">
        <v>13</v>
      </c>
      <c r="G2093" t="s">
        <v>14</v>
      </c>
      <c r="H2093">
        <v>239262</v>
      </c>
      <c r="I2093">
        <v>209700</v>
      </c>
    </row>
    <row r="2094" spans="1:9" x14ac:dyDescent="0.3">
      <c r="A2094" t="s">
        <v>2126</v>
      </c>
      <c r="B2094">
        <v>45959</v>
      </c>
      <c r="C2094" t="s">
        <v>16</v>
      </c>
      <c r="D2094" t="s">
        <v>11</v>
      </c>
      <c r="E2094" t="s">
        <v>17</v>
      </c>
      <c r="F2094" t="s">
        <v>12</v>
      </c>
      <c r="G2094" t="s">
        <v>14</v>
      </c>
      <c r="H2094">
        <v>187677</v>
      </c>
      <c r="I2094">
        <v>191100</v>
      </c>
    </row>
    <row r="2095" spans="1:9" x14ac:dyDescent="0.3">
      <c r="A2095" t="s">
        <v>2127</v>
      </c>
      <c r="B2095">
        <v>45959</v>
      </c>
      <c r="C2095" t="s">
        <v>16</v>
      </c>
      <c r="D2095" t="s">
        <v>11</v>
      </c>
      <c r="E2095" t="s">
        <v>17</v>
      </c>
      <c r="F2095" t="s">
        <v>26</v>
      </c>
      <c r="G2095" t="s">
        <v>14</v>
      </c>
      <c r="H2095">
        <v>84110</v>
      </c>
      <c r="I2095">
        <v>86600</v>
      </c>
    </row>
    <row r="2096" spans="1:9" x14ac:dyDescent="0.3">
      <c r="A2096" t="s">
        <v>2128</v>
      </c>
      <c r="B2096">
        <v>45959</v>
      </c>
      <c r="C2096" t="s">
        <v>16</v>
      </c>
      <c r="D2096" t="s">
        <v>11</v>
      </c>
      <c r="E2096" t="s">
        <v>17</v>
      </c>
      <c r="F2096" t="s">
        <v>13</v>
      </c>
      <c r="G2096" t="s">
        <v>14</v>
      </c>
      <c r="H2096">
        <v>75341</v>
      </c>
      <c r="I2096">
        <v>72700</v>
      </c>
    </row>
    <row r="2097" spans="1:9" x14ac:dyDescent="0.3">
      <c r="A2097" t="s">
        <v>2129</v>
      </c>
      <c r="B2097">
        <v>45959</v>
      </c>
      <c r="C2097" t="s">
        <v>36</v>
      </c>
      <c r="D2097" t="s">
        <v>11</v>
      </c>
      <c r="E2097" t="s">
        <v>37</v>
      </c>
      <c r="F2097" t="s">
        <v>33</v>
      </c>
      <c r="G2097" t="s">
        <v>19</v>
      </c>
      <c r="H2097">
        <v>49015</v>
      </c>
      <c r="I2097">
        <v>48500</v>
      </c>
    </row>
    <row r="2098" spans="1:9" x14ac:dyDescent="0.3">
      <c r="A2098" t="s">
        <v>2130</v>
      </c>
      <c r="B2098">
        <v>45959</v>
      </c>
      <c r="C2098" t="s">
        <v>36</v>
      </c>
      <c r="D2098" t="s">
        <v>11</v>
      </c>
      <c r="E2098" t="s">
        <v>37</v>
      </c>
      <c r="F2098" t="s">
        <v>39</v>
      </c>
      <c r="G2098" t="s">
        <v>19</v>
      </c>
      <c r="H2098">
        <v>77321</v>
      </c>
      <c r="I2098">
        <v>76000</v>
      </c>
    </row>
    <row r="2099" spans="1:9" x14ac:dyDescent="0.3">
      <c r="A2099" t="s">
        <v>2131</v>
      </c>
      <c r="B2099">
        <v>45959</v>
      </c>
      <c r="C2099" t="s">
        <v>31</v>
      </c>
      <c r="D2099" t="s">
        <v>11</v>
      </c>
      <c r="E2099" t="s">
        <v>17</v>
      </c>
      <c r="F2099" t="s">
        <v>39</v>
      </c>
      <c r="G2099" t="s">
        <v>19</v>
      </c>
      <c r="H2099">
        <v>50802</v>
      </c>
      <c r="I2099">
        <v>49400</v>
      </c>
    </row>
    <row r="2100" spans="1:9" x14ac:dyDescent="0.3">
      <c r="A2100" t="s">
        <v>2132</v>
      </c>
      <c r="B2100">
        <v>45959</v>
      </c>
      <c r="C2100" t="s">
        <v>55</v>
      </c>
      <c r="D2100" t="s">
        <v>11</v>
      </c>
      <c r="E2100" t="s">
        <v>37</v>
      </c>
      <c r="F2100" t="s">
        <v>39</v>
      </c>
      <c r="G2100" t="s">
        <v>19</v>
      </c>
      <c r="H2100">
        <v>97707</v>
      </c>
      <c r="I2100">
        <v>96200</v>
      </c>
    </row>
    <row r="2101" spans="1:9" x14ac:dyDescent="0.3">
      <c r="A2101" t="s">
        <v>2133</v>
      </c>
      <c r="B2101">
        <v>45960</v>
      </c>
      <c r="C2101" t="s">
        <v>16</v>
      </c>
      <c r="D2101" t="s">
        <v>11</v>
      </c>
      <c r="E2101" t="s">
        <v>17</v>
      </c>
      <c r="F2101" t="s">
        <v>42</v>
      </c>
      <c r="G2101" t="s">
        <v>19</v>
      </c>
      <c r="H2101">
        <v>53357</v>
      </c>
      <c r="I2101">
        <v>57300</v>
      </c>
    </row>
    <row r="2102" spans="1:9" x14ac:dyDescent="0.3">
      <c r="A2102" t="s">
        <v>2134</v>
      </c>
      <c r="B2102">
        <v>45960</v>
      </c>
      <c r="C2102" t="s">
        <v>16</v>
      </c>
      <c r="D2102" t="s">
        <v>11</v>
      </c>
      <c r="E2102" t="s">
        <v>17</v>
      </c>
      <c r="F2102" t="s">
        <v>12</v>
      </c>
      <c r="G2102" t="s">
        <v>14</v>
      </c>
      <c r="H2102">
        <v>58097</v>
      </c>
      <c r="I2102">
        <v>56600</v>
      </c>
    </row>
    <row r="2103" spans="1:9" x14ac:dyDescent="0.3">
      <c r="A2103" t="s">
        <v>2135</v>
      </c>
      <c r="B2103">
        <v>45960</v>
      </c>
      <c r="C2103" t="s">
        <v>16</v>
      </c>
      <c r="D2103" t="s">
        <v>11</v>
      </c>
      <c r="E2103" t="s">
        <v>17</v>
      </c>
      <c r="F2103" t="s">
        <v>23</v>
      </c>
      <c r="G2103" t="s">
        <v>14</v>
      </c>
      <c r="H2103">
        <v>150847</v>
      </c>
      <c r="I2103">
        <v>164200</v>
      </c>
    </row>
    <row r="2104" spans="1:9" x14ac:dyDescent="0.3">
      <c r="A2104" t="s">
        <v>2136</v>
      </c>
      <c r="B2104">
        <v>45960</v>
      </c>
      <c r="C2104" t="s">
        <v>36</v>
      </c>
      <c r="D2104" t="s">
        <v>11</v>
      </c>
      <c r="E2104" t="s">
        <v>37</v>
      </c>
      <c r="F2104" t="s">
        <v>12</v>
      </c>
      <c r="G2104" t="s">
        <v>14</v>
      </c>
      <c r="H2104">
        <v>93680</v>
      </c>
      <c r="I2104">
        <v>95300</v>
      </c>
    </row>
    <row r="2105" spans="1:9" x14ac:dyDescent="0.3">
      <c r="A2105" t="s">
        <v>2137</v>
      </c>
      <c r="B2105">
        <v>45960</v>
      </c>
      <c r="C2105" t="s">
        <v>25</v>
      </c>
      <c r="D2105" t="s">
        <v>11</v>
      </c>
      <c r="E2105" t="s">
        <v>22</v>
      </c>
      <c r="F2105" t="s">
        <v>33</v>
      </c>
      <c r="G2105" t="s">
        <v>19</v>
      </c>
      <c r="H2105">
        <v>59929</v>
      </c>
      <c r="I2105">
        <v>61300</v>
      </c>
    </row>
    <row r="2106" spans="1:9" x14ac:dyDescent="0.3">
      <c r="A2106" t="s">
        <v>2138</v>
      </c>
      <c r="B2106">
        <v>45960</v>
      </c>
      <c r="C2106" t="s">
        <v>31</v>
      </c>
      <c r="D2106" t="s">
        <v>11</v>
      </c>
      <c r="E2106" t="s">
        <v>17</v>
      </c>
      <c r="F2106" t="s">
        <v>39</v>
      </c>
      <c r="G2106" t="s">
        <v>19</v>
      </c>
      <c r="H2106">
        <v>21057</v>
      </c>
      <c r="I2106">
        <v>18900</v>
      </c>
    </row>
    <row r="2107" spans="1:9" x14ac:dyDescent="0.3">
      <c r="A2107" t="s">
        <v>2139</v>
      </c>
      <c r="B2107">
        <v>45961</v>
      </c>
      <c r="C2107" t="s">
        <v>10</v>
      </c>
      <c r="D2107" t="s">
        <v>11</v>
      </c>
      <c r="E2107" t="s">
        <v>12</v>
      </c>
      <c r="F2107" t="s">
        <v>33</v>
      </c>
      <c r="G2107" t="s">
        <v>19</v>
      </c>
      <c r="H2107">
        <v>55487</v>
      </c>
      <c r="I2107">
        <v>56800</v>
      </c>
    </row>
    <row r="2108" spans="1:9" x14ac:dyDescent="0.3">
      <c r="A2108" t="s">
        <v>2140</v>
      </c>
      <c r="B2108">
        <v>45961</v>
      </c>
      <c r="C2108" t="s">
        <v>16</v>
      </c>
      <c r="D2108" t="s">
        <v>11</v>
      </c>
      <c r="E2108" t="s">
        <v>17</v>
      </c>
      <c r="F2108" t="s">
        <v>39</v>
      </c>
      <c r="G2108" t="s">
        <v>19</v>
      </c>
      <c r="H2108">
        <v>14888</v>
      </c>
      <c r="I2108">
        <v>16300</v>
      </c>
    </row>
    <row r="2109" spans="1:9" x14ac:dyDescent="0.3">
      <c r="A2109" t="s">
        <v>2141</v>
      </c>
      <c r="B2109">
        <v>45961</v>
      </c>
      <c r="C2109" t="s">
        <v>55</v>
      </c>
      <c r="D2109" t="s">
        <v>11</v>
      </c>
      <c r="E2109" t="s">
        <v>37</v>
      </c>
      <c r="F2109" t="s">
        <v>18</v>
      </c>
      <c r="G2109" t="s">
        <v>19</v>
      </c>
      <c r="H2109">
        <v>39338</v>
      </c>
      <c r="I2109">
        <v>40000</v>
      </c>
    </row>
    <row r="2110" spans="1:9" x14ac:dyDescent="0.3">
      <c r="A2110" t="s">
        <v>2142</v>
      </c>
      <c r="B2110">
        <v>45962</v>
      </c>
      <c r="C2110" t="s">
        <v>16</v>
      </c>
      <c r="D2110" t="s">
        <v>11</v>
      </c>
      <c r="E2110" t="s">
        <v>17</v>
      </c>
      <c r="F2110" t="s">
        <v>33</v>
      </c>
      <c r="G2110" t="s">
        <v>19</v>
      </c>
      <c r="H2110">
        <v>113386</v>
      </c>
      <c r="I2110">
        <v>117000</v>
      </c>
    </row>
    <row r="2111" spans="1:9" x14ac:dyDescent="0.3">
      <c r="A2111" t="s">
        <v>2143</v>
      </c>
      <c r="B2111">
        <v>45962</v>
      </c>
      <c r="C2111" t="s">
        <v>36</v>
      </c>
      <c r="D2111" t="s">
        <v>11</v>
      </c>
      <c r="E2111" t="s">
        <v>37</v>
      </c>
      <c r="F2111" t="s">
        <v>42</v>
      </c>
      <c r="G2111" t="s">
        <v>19</v>
      </c>
      <c r="H2111">
        <v>85391</v>
      </c>
      <c r="I2111">
        <v>72200</v>
      </c>
    </row>
    <row r="2112" spans="1:9" x14ac:dyDescent="0.3">
      <c r="A2112" t="s">
        <v>2144</v>
      </c>
      <c r="B2112">
        <v>45962</v>
      </c>
      <c r="C2112" t="s">
        <v>21</v>
      </c>
      <c r="D2112" t="s">
        <v>11</v>
      </c>
      <c r="E2112" t="s">
        <v>22</v>
      </c>
      <c r="F2112" t="s">
        <v>42</v>
      </c>
      <c r="G2112" t="s">
        <v>19</v>
      </c>
      <c r="H2112">
        <v>30301</v>
      </c>
      <c r="I2112">
        <v>29000</v>
      </c>
    </row>
    <row r="2113" spans="1:9" x14ac:dyDescent="0.3">
      <c r="A2113" t="s">
        <v>2145</v>
      </c>
      <c r="B2113">
        <v>45962</v>
      </c>
      <c r="C2113" t="s">
        <v>25</v>
      </c>
      <c r="D2113" t="s">
        <v>11</v>
      </c>
      <c r="E2113" t="s">
        <v>22</v>
      </c>
      <c r="F2113" t="s">
        <v>42</v>
      </c>
      <c r="G2113" t="s">
        <v>19</v>
      </c>
      <c r="H2113">
        <v>90717</v>
      </c>
      <c r="I2113">
        <v>84500</v>
      </c>
    </row>
    <row r="2114" spans="1:9" x14ac:dyDescent="0.3">
      <c r="A2114" t="s">
        <v>2146</v>
      </c>
      <c r="B2114">
        <v>45962</v>
      </c>
      <c r="C2114" t="s">
        <v>31</v>
      </c>
      <c r="D2114" t="s">
        <v>11</v>
      </c>
      <c r="E2114" t="s">
        <v>17</v>
      </c>
      <c r="F2114" t="s">
        <v>26</v>
      </c>
      <c r="G2114" t="s">
        <v>14</v>
      </c>
      <c r="H2114">
        <v>193574</v>
      </c>
      <c r="I2114">
        <v>188000</v>
      </c>
    </row>
    <row r="2115" spans="1:9" x14ac:dyDescent="0.3">
      <c r="A2115" t="s">
        <v>2147</v>
      </c>
      <c r="B2115">
        <v>45963</v>
      </c>
      <c r="C2115" t="s">
        <v>62</v>
      </c>
      <c r="D2115" t="s">
        <v>11</v>
      </c>
      <c r="E2115" t="s">
        <v>22</v>
      </c>
      <c r="F2115" t="s">
        <v>56</v>
      </c>
      <c r="G2115" t="s">
        <v>19</v>
      </c>
      <c r="H2115">
        <v>109505</v>
      </c>
      <c r="I2115">
        <v>102300</v>
      </c>
    </row>
    <row r="2116" spans="1:9" x14ac:dyDescent="0.3">
      <c r="A2116" t="s">
        <v>2148</v>
      </c>
      <c r="B2116">
        <v>45963</v>
      </c>
      <c r="C2116" t="s">
        <v>10</v>
      </c>
      <c r="D2116" t="s">
        <v>11</v>
      </c>
      <c r="E2116" t="s">
        <v>12</v>
      </c>
      <c r="F2116" t="s">
        <v>56</v>
      </c>
      <c r="G2116" t="s">
        <v>19</v>
      </c>
      <c r="H2116">
        <v>23023</v>
      </c>
      <c r="I2116">
        <v>25900</v>
      </c>
    </row>
    <row r="2117" spans="1:9" x14ac:dyDescent="0.3">
      <c r="A2117" t="s">
        <v>2149</v>
      </c>
      <c r="B2117">
        <v>45963</v>
      </c>
      <c r="C2117" t="s">
        <v>10</v>
      </c>
      <c r="D2117" t="s">
        <v>11</v>
      </c>
      <c r="E2117" t="s">
        <v>12</v>
      </c>
      <c r="F2117" t="s">
        <v>18</v>
      </c>
      <c r="G2117" t="s">
        <v>19</v>
      </c>
      <c r="H2117">
        <v>88991</v>
      </c>
      <c r="I2117">
        <v>92300</v>
      </c>
    </row>
    <row r="2118" spans="1:9" x14ac:dyDescent="0.3">
      <c r="A2118" t="s">
        <v>2150</v>
      </c>
      <c r="B2118">
        <v>45963</v>
      </c>
      <c r="C2118" t="s">
        <v>10</v>
      </c>
      <c r="D2118" t="s">
        <v>11</v>
      </c>
      <c r="E2118" t="s">
        <v>12</v>
      </c>
      <c r="F2118" t="s">
        <v>33</v>
      </c>
      <c r="G2118" t="s">
        <v>19</v>
      </c>
      <c r="H2118">
        <v>74337</v>
      </c>
      <c r="I2118">
        <v>91600</v>
      </c>
    </row>
    <row r="2119" spans="1:9" x14ac:dyDescent="0.3">
      <c r="A2119" t="s">
        <v>2151</v>
      </c>
      <c r="B2119">
        <v>45963</v>
      </c>
      <c r="C2119" t="s">
        <v>16</v>
      </c>
      <c r="D2119" t="s">
        <v>11</v>
      </c>
      <c r="E2119" t="s">
        <v>17</v>
      </c>
      <c r="F2119" t="s">
        <v>26</v>
      </c>
      <c r="G2119" t="s">
        <v>14</v>
      </c>
      <c r="H2119">
        <v>238470</v>
      </c>
      <c r="I2119">
        <v>259000</v>
      </c>
    </row>
    <row r="2120" spans="1:9" x14ac:dyDescent="0.3">
      <c r="A2120" t="s">
        <v>2152</v>
      </c>
      <c r="B2120">
        <v>45963</v>
      </c>
      <c r="C2120" t="s">
        <v>36</v>
      </c>
      <c r="D2120" t="s">
        <v>11</v>
      </c>
      <c r="E2120" t="s">
        <v>37</v>
      </c>
      <c r="F2120" t="s">
        <v>18</v>
      </c>
      <c r="G2120" t="s">
        <v>19</v>
      </c>
      <c r="H2120">
        <v>67348</v>
      </c>
      <c r="I2120">
        <v>69900</v>
      </c>
    </row>
    <row r="2121" spans="1:9" x14ac:dyDescent="0.3">
      <c r="A2121" t="s">
        <v>2153</v>
      </c>
      <c r="B2121">
        <v>45963</v>
      </c>
      <c r="C2121" t="s">
        <v>36</v>
      </c>
      <c r="D2121" t="s">
        <v>11</v>
      </c>
      <c r="E2121" t="s">
        <v>37</v>
      </c>
      <c r="F2121" t="s">
        <v>12</v>
      </c>
      <c r="G2121" t="s">
        <v>14</v>
      </c>
      <c r="H2121">
        <v>193483</v>
      </c>
      <c r="I2121">
        <v>173800</v>
      </c>
    </row>
    <row r="2122" spans="1:9" x14ac:dyDescent="0.3">
      <c r="A2122" t="s">
        <v>2154</v>
      </c>
      <c r="B2122">
        <v>45963</v>
      </c>
      <c r="C2122" t="s">
        <v>21</v>
      </c>
      <c r="D2122" t="s">
        <v>11</v>
      </c>
      <c r="E2122" t="s">
        <v>22</v>
      </c>
      <c r="F2122" t="s">
        <v>33</v>
      </c>
      <c r="G2122" t="s">
        <v>19</v>
      </c>
      <c r="H2122">
        <v>86986</v>
      </c>
      <c r="I2122">
        <v>102500</v>
      </c>
    </row>
    <row r="2123" spans="1:9" x14ac:dyDescent="0.3">
      <c r="A2123" t="s">
        <v>2155</v>
      </c>
      <c r="B2123">
        <v>45963</v>
      </c>
      <c r="C2123" t="s">
        <v>21</v>
      </c>
      <c r="D2123" t="s">
        <v>11</v>
      </c>
      <c r="E2123" t="s">
        <v>22</v>
      </c>
      <c r="F2123" t="s">
        <v>13</v>
      </c>
      <c r="G2123" t="s">
        <v>14</v>
      </c>
      <c r="H2123">
        <v>211065</v>
      </c>
      <c r="I2123">
        <v>226600</v>
      </c>
    </row>
    <row r="2124" spans="1:9" x14ac:dyDescent="0.3">
      <c r="A2124" t="s">
        <v>2156</v>
      </c>
      <c r="B2124">
        <v>45963</v>
      </c>
      <c r="C2124" t="s">
        <v>31</v>
      </c>
      <c r="D2124" t="s">
        <v>11</v>
      </c>
      <c r="E2124" t="s">
        <v>17</v>
      </c>
      <c r="F2124" t="s">
        <v>59</v>
      </c>
      <c r="G2124" t="s">
        <v>14</v>
      </c>
      <c r="H2124">
        <v>215560</v>
      </c>
      <c r="I2124">
        <v>226700</v>
      </c>
    </row>
    <row r="2125" spans="1:9" x14ac:dyDescent="0.3">
      <c r="A2125" t="s">
        <v>2157</v>
      </c>
      <c r="B2125">
        <v>45964</v>
      </c>
      <c r="C2125" t="s">
        <v>62</v>
      </c>
      <c r="D2125" t="s">
        <v>11</v>
      </c>
      <c r="E2125" t="s">
        <v>22</v>
      </c>
      <c r="F2125" t="s">
        <v>12</v>
      </c>
      <c r="G2125" t="s">
        <v>14</v>
      </c>
      <c r="H2125">
        <v>167861</v>
      </c>
      <c r="I2125">
        <v>154700</v>
      </c>
    </row>
    <row r="2126" spans="1:9" x14ac:dyDescent="0.3">
      <c r="A2126" t="s">
        <v>2158</v>
      </c>
      <c r="B2126">
        <v>45964</v>
      </c>
      <c r="C2126" t="s">
        <v>16</v>
      </c>
      <c r="D2126" t="s">
        <v>11</v>
      </c>
      <c r="E2126" t="s">
        <v>17</v>
      </c>
      <c r="F2126" t="s">
        <v>39</v>
      </c>
      <c r="G2126" t="s">
        <v>19</v>
      </c>
      <c r="H2126">
        <v>57652</v>
      </c>
      <c r="I2126">
        <v>57500</v>
      </c>
    </row>
    <row r="2127" spans="1:9" x14ac:dyDescent="0.3">
      <c r="A2127" t="s">
        <v>2159</v>
      </c>
      <c r="B2127">
        <v>45964</v>
      </c>
      <c r="C2127" t="s">
        <v>21</v>
      </c>
      <c r="D2127" t="s">
        <v>11</v>
      </c>
      <c r="E2127" t="s">
        <v>22</v>
      </c>
      <c r="F2127" t="s">
        <v>26</v>
      </c>
      <c r="G2127" t="s">
        <v>14</v>
      </c>
      <c r="H2127">
        <v>233724</v>
      </c>
      <c r="I2127">
        <v>241300</v>
      </c>
    </row>
    <row r="2128" spans="1:9" x14ac:dyDescent="0.3">
      <c r="A2128" t="s">
        <v>2160</v>
      </c>
      <c r="B2128">
        <v>45965</v>
      </c>
      <c r="C2128" t="s">
        <v>62</v>
      </c>
      <c r="D2128" t="s">
        <v>11</v>
      </c>
      <c r="E2128" t="s">
        <v>22</v>
      </c>
      <c r="F2128" t="s">
        <v>18</v>
      </c>
      <c r="G2128" t="s">
        <v>19</v>
      </c>
      <c r="H2128">
        <v>109389</v>
      </c>
      <c r="I2128">
        <v>93200</v>
      </c>
    </row>
    <row r="2129" spans="1:9" x14ac:dyDescent="0.3">
      <c r="A2129" t="s">
        <v>2161</v>
      </c>
      <c r="B2129">
        <v>45965</v>
      </c>
      <c r="C2129" t="s">
        <v>62</v>
      </c>
      <c r="D2129" t="s">
        <v>11</v>
      </c>
      <c r="E2129" t="s">
        <v>22</v>
      </c>
      <c r="F2129" t="s">
        <v>37</v>
      </c>
      <c r="G2129" t="s">
        <v>14</v>
      </c>
      <c r="H2129">
        <v>213044</v>
      </c>
      <c r="I2129">
        <v>189900</v>
      </c>
    </row>
    <row r="2130" spans="1:9" x14ac:dyDescent="0.3">
      <c r="A2130" t="s">
        <v>2162</v>
      </c>
      <c r="B2130">
        <v>45965</v>
      </c>
      <c r="C2130" t="s">
        <v>16</v>
      </c>
      <c r="D2130" t="s">
        <v>11</v>
      </c>
      <c r="E2130" t="s">
        <v>17</v>
      </c>
      <c r="F2130" t="s">
        <v>33</v>
      </c>
      <c r="G2130" t="s">
        <v>19</v>
      </c>
      <c r="H2130">
        <v>71813</v>
      </c>
      <c r="I2130">
        <v>71700</v>
      </c>
    </row>
    <row r="2131" spans="1:9" x14ac:dyDescent="0.3">
      <c r="A2131" t="s">
        <v>2163</v>
      </c>
      <c r="B2131">
        <v>45965</v>
      </c>
      <c r="C2131" t="s">
        <v>36</v>
      </c>
      <c r="D2131" t="s">
        <v>11</v>
      </c>
      <c r="E2131" t="s">
        <v>37</v>
      </c>
      <c r="F2131" t="s">
        <v>33</v>
      </c>
      <c r="G2131" t="s">
        <v>19</v>
      </c>
      <c r="H2131">
        <v>91515</v>
      </c>
      <c r="I2131">
        <v>88800</v>
      </c>
    </row>
    <row r="2132" spans="1:9" x14ac:dyDescent="0.3">
      <c r="A2132" t="s">
        <v>2164</v>
      </c>
      <c r="B2132">
        <v>45965</v>
      </c>
      <c r="C2132" t="s">
        <v>36</v>
      </c>
      <c r="D2132" t="s">
        <v>11</v>
      </c>
      <c r="E2132" t="s">
        <v>37</v>
      </c>
      <c r="F2132" t="s">
        <v>13</v>
      </c>
      <c r="G2132" t="s">
        <v>14</v>
      </c>
      <c r="H2132">
        <v>94845</v>
      </c>
      <c r="I2132">
        <v>93300</v>
      </c>
    </row>
    <row r="2133" spans="1:9" x14ac:dyDescent="0.3">
      <c r="A2133" t="s">
        <v>2165</v>
      </c>
      <c r="B2133">
        <v>45965</v>
      </c>
      <c r="C2133" t="s">
        <v>21</v>
      </c>
      <c r="D2133" t="s">
        <v>11</v>
      </c>
      <c r="E2133" t="s">
        <v>22</v>
      </c>
      <c r="F2133" t="s">
        <v>13</v>
      </c>
      <c r="G2133" t="s">
        <v>14</v>
      </c>
      <c r="H2133">
        <v>244994</v>
      </c>
      <c r="I2133">
        <v>239000</v>
      </c>
    </row>
    <row r="2134" spans="1:9" x14ac:dyDescent="0.3">
      <c r="A2134" t="s">
        <v>2166</v>
      </c>
      <c r="B2134">
        <v>45965</v>
      </c>
      <c r="C2134" t="s">
        <v>25</v>
      </c>
      <c r="D2134" t="s">
        <v>11</v>
      </c>
      <c r="E2134" t="s">
        <v>22</v>
      </c>
      <c r="F2134" t="s">
        <v>26</v>
      </c>
      <c r="G2134" t="s">
        <v>14</v>
      </c>
      <c r="H2134">
        <v>225473</v>
      </c>
      <c r="I2134">
        <v>224700</v>
      </c>
    </row>
    <row r="2135" spans="1:9" x14ac:dyDescent="0.3">
      <c r="A2135" t="s">
        <v>2167</v>
      </c>
      <c r="B2135">
        <v>45966</v>
      </c>
      <c r="C2135" t="s">
        <v>10</v>
      </c>
      <c r="D2135" t="s">
        <v>11</v>
      </c>
      <c r="E2135" t="s">
        <v>12</v>
      </c>
      <c r="F2135" t="s">
        <v>12</v>
      </c>
      <c r="G2135" t="s">
        <v>14</v>
      </c>
      <c r="H2135">
        <v>167870</v>
      </c>
      <c r="I2135">
        <v>188400</v>
      </c>
    </row>
    <row r="2136" spans="1:9" x14ac:dyDescent="0.3">
      <c r="A2136" t="s">
        <v>2168</v>
      </c>
      <c r="B2136">
        <v>45966</v>
      </c>
      <c r="C2136" t="s">
        <v>16</v>
      </c>
      <c r="D2136" t="s">
        <v>11</v>
      </c>
      <c r="E2136" t="s">
        <v>17</v>
      </c>
      <c r="F2136" t="s">
        <v>56</v>
      </c>
      <c r="G2136" t="s">
        <v>19</v>
      </c>
      <c r="H2136">
        <v>16074</v>
      </c>
      <c r="I2136">
        <v>15300</v>
      </c>
    </row>
    <row r="2137" spans="1:9" x14ac:dyDescent="0.3">
      <c r="A2137" t="s">
        <v>2169</v>
      </c>
      <c r="B2137">
        <v>45966</v>
      </c>
      <c r="C2137" t="s">
        <v>36</v>
      </c>
      <c r="D2137" t="s">
        <v>11</v>
      </c>
      <c r="E2137" t="s">
        <v>37</v>
      </c>
      <c r="F2137" t="s">
        <v>12</v>
      </c>
      <c r="G2137" t="s">
        <v>14</v>
      </c>
      <c r="H2137">
        <v>128014</v>
      </c>
      <c r="I2137">
        <v>119700</v>
      </c>
    </row>
    <row r="2138" spans="1:9" x14ac:dyDescent="0.3">
      <c r="A2138" t="s">
        <v>2170</v>
      </c>
      <c r="B2138">
        <v>45966</v>
      </c>
      <c r="C2138" t="s">
        <v>55</v>
      </c>
      <c r="D2138" t="s">
        <v>11</v>
      </c>
      <c r="E2138" t="s">
        <v>37</v>
      </c>
      <c r="F2138" t="s">
        <v>42</v>
      </c>
      <c r="G2138" t="s">
        <v>19</v>
      </c>
      <c r="H2138">
        <v>87628</v>
      </c>
      <c r="I2138">
        <v>94000</v>
      </c>
    </row>
    <row r="2139" spans="1:9" x14ac:dyDescent="0.3">
      <c r="A2139" t="s">
        <v>2171</v>
      </c>
      <c r="B2139">
        <v>45967</v>
      </c>
      <c r="C2139" t="s">
        <v>10</v>
      </c>
      <c r="D2139" t="s">
        <v>11</v>
      </c>
      <c r="E2139" t="s">
        <v>12</v>
      </c>
      <c r="F2139" t="s">
        <v>39</v>
      </c>
      <c r="G2139" t="s">
        <v>19</v>
      </c>
      <c r="H2139">
        <v>119390</v>
      </c>
      <c r="I2139">
        <v>89600</v>
      </c>
    </row>
    <row r="2140" spans="1:9" x14ac:dyDescent="0.3">
      <c r="A2140" t="s">
        <v>2172</v>
      </c>
      <c r="B2140">
        <v>45967</v>
      </c>
      <c r="C2140" t="s">
        <v>36</v>
      </c>
      <c r="D2140" t="s">
        <v>11</v>
      </c>
      <c r="E2140" t="s">
        <v>37</v>
      </c>
      <c r="F2140" t="s">
        <v>13</v>
      </c>
      <c r="G2140" t="s">
        <v>14</v>
      </c>
      <c r="H2140">
        <v>167839</v>
      </c>
      <c r="I2140">
        <v>177500</v>
      </c>
    </row>
    <row r="2141" spans="1:9" x14ac:dyDescent="0.3">
      <c r="A2141" t="s">
        <v>2173</v>
      </c>
      <c r="B2141">
        <v>45967</v>
      </c>
      <c r="C2141" t="s">
        <v>21</v>
      </c>
      <c r="D2141" t="s">
        <v>11</v>
      </c>
      <c r="E2141" t="s">
        <v>22</v>
      </c>
      <c r="F2141" t="s">
        <v>37</v>
      </c>
      <c r="G2141" t="s">
        <v>14</v>
      </c>
      <c r="H2141">
        <v>73192</v>
      </c>
      <c r="I2141">
        <v>76700</v>
      </c>
    </row>
    <row r="2142" spans="1:9" x14ac:dyDescent="0.3">
      <c r="A2142" t="s">
        <v>2174</v>
      </c>
      <c r="B2142">
        <v>45967</v>
      </c>
      <c r="C2142" t="s">
        <v>21</v>
      </c>
      <c r="D2142" t="s">
        <v>11</v>
      </c>
      <c r="E2142" t="s">
        <v>22</v>
      </c>
      <c r="F2142" t="s">
        <v>13</v>
      </c>
      <c r="G2142" t="s">
        <v>14</v>
      </c>
      <c r="H2142">
        <v>76907</v>
      </c>
      <c r="I2142">
        <v>75800</v>
      </c>
    </row>
    <row r="2143" spans="1:9" x14ac:dyDescent="0.3">
      <c r="A2143" t="s">
        <v>2175</v>
      </c>
      <c r="B2143">
        <v>45967</v>
      </c>
      <c r="C2143" t="s">
        <v>55</v>
      </c>
      <c r="D2143" t="s">
        <v>11</v>
      </c>
      <c r="E2143" t="s">
        <v>37</v>
      </c>
      <c r="F2143" t="s">
        <v>59</v>
      </c>
      <c r="G2143" t="s">
        <v>14</v>
      </c>
      <c r="H2143">
        <v>152805</v>
      </c>
      <c r="I2143">
        <v>140500</v>
      </c>
    </row>
    <row r="2144" spans="1:9" x14ac:dyDescent="0.3">
      <c r="A2144" t="s">
        <v>2176</v>
      </c>
      <c r="B2144">
        <v>45968</v>
      </c>
      <c r="C2144" t="s">
        <v>16</v>
      </c>
      <c r="D2144" t="s">
        <v>11</v>
      </c>
      <c r="E2144" t="s">
        <v>17</v>
      </c>
      <c r="F2144" t="s">
        <v>39</v>
      </c>
      <c r="G2144" t="s">
        <v>19</v>
      </c>
      <c r="H2144">
        <v>22101</v>
      </c>
      <c r="I2144">
        <v>25900</v>
      </c>
    </row>
    <row r="2145" spans="1:9" x14ac:dyDescent="0.3">
      <c r="A2145" t="s">
        <v>2177</v>
      </c>
      <c r="B2145">
        <v>45968</v>
      </c>
      <c r="C2145" t="s">
        <v>16</v>
      </c>
      <c r="D2145" t="s">
        <v>11</v>
      </c>
      <c r="E2145" t="s">
        <v>17</v>
      </c>
      <c r="F2145" t="s">
        <v>23</v>
      </c>
      <c r="G2145" t="s">
        <v>14</v>
      </c>
      <c r="H2145">
        <v>174908</v>
      </c>
      <c r="I2145">
        <v>163800</v>
      </c>
    </row>
    <row r="2146" spans="1:9" x14ac:dyDescent="0.3">
      <c r="A2146" t="s">
        <v>2178</v>
      </c>
      <c r="B2146">
        <v>45968</v>
      </c>
      <c r="C2146" t="s">
        <v>36</v>
      </c>
      <c r="D2146" t="s">
        <v>11</v>
      </c>
      <c r="E2146" t="s">
        <v>37</v>
      </c>
      <c r="F2146" t="s">
        <v>23</v>
      </c>
      <c r="G2146" t="s">
        <v>14</v>
      </c>
      <c r="H2146">
        <v>226774</v>
      </c>
      <c r="I2146">
        <v>217100</v>
      </c>
    </row>
    <row r="2147" spans="1:9" x14ac:dyDescent="0.3">
      <c r="A2147" t="s">
        <v>2179</v>
      </c>
      <c r="B2147">
        <v>45968</v>
      </c>
      <c r="C2147" t="s">
        <v>36</v>
      </c>
      <c r="D2147" t="s">
        <v>11</v>
      </c>
      <c r="E2147" t="s">
        <v>37</v>
      </c>
      <c r="F2147" t="s">
        <v>12</v>
      </c>
      <c r="G2147" t="s">
        <v>14</v>
      </c>
      <c r="H2147">
        <v>173868</v>
      </c>
      <c r="I2147">
        <v>176400</v>
      </c>
    </row>
    <row r="2148" spans="1:9" x14ac:dyDescent="0.3">
      <c r="A2148" t="s">
        <v>2180</v>
      </c>
      <c r="B2148">
        <v>45968</v>
      </c>
      <c r="C2148" t="s">
        <v>21</v>
      </c>
      <c r="D2148" t="s">
        <v>11</v>
      </c>
      <c r="E2148" t="s">
        <v>22</v>
      </c>
      <c r="F2148" t="s">
        <v>42</v>
      </c>
      <c r="G2148" t="s">
        <v>19</v>
      </c>
      <c r="H2148">
        <v>40571</v>
      </c>
      <c r="I2148">
        <v>49100</v>
      </c>
    </row>
    <row r="2149" spans="1:9" x14ac:dyDescent="0.3">
      <c r="A2149" t="s">
        <v>2181</v>
      </c>
      <c r="B2149">
        <v>45968</v>
      </c>
      <c r="C2149" t="s">
        <v>21</v>
      </c>
      <c r="D2149" t="s">
        <v>11</v>
      </c>
      <c r="E2149" t="s">
        <v>22</v>
      </c>
      <c r="F2149" t="s">
        <v>23</v>
      </c>
      <c r="G2149" t="s">
        <v>14</v>
      </c>
      <c r="H2149">
        <v>240930</v>
      </c>
      <c r="I2149">
        <v>222000</v>
      </c>
    </row>
    <row r="2150" spans="1:9" x14ac:dyDescent="0.3">
      <c r="A2150" t="s">
        <v>2182</v>
      </c>
      <c r="B2150">
        <v>45968</v>
      </c>
      <c r="C2150" t="s">
        <v>25</v>
      </c>
      <c r="D2150" t="s">
        <v>11</v>
      </c>
      <c r="E2150" t="s">
        <v>22</v>
      </c>
      <c r="F2150" t="s">
        <v>46</v>
      </c>
      <c r="G2150" t="s">
        <v>19</v>
      </c>
      <c r="H2150">
        <v>58545</v>
      </c>
      <c r="I2150">
        <v>57600</v>
      </c>
    </row>
    <row r="2151" spans="1:9" x14ac:dyDescent="0.3">
      <c r="A2151" t="s">
        <v>2183</v>
      </c>
      <c r="B2151">
        <v>45968</v>
      </c>
      <c r="C2151" t="s">
        <v>31</v>
      </c>
      <c r="D2151" t="s">
        <v>11</v>
      </c>
      <c r="E2151" t="s">
        <v>17</v>
      </c>
      <c r="F2151" t="s">
        <v>33</v>
      </c>
      <c r="G2151" t="s">
        <v>19</v>
      </c>
      <c r="H2151">
        <v>90619</v>
      </c>
      <c r="I2151">
        <v>82600</v>
      </c>
    </row>
    <row r="2152" spans="1:9" x14ac:dyDescent="0.3">
      <c r="A2152" t="s">
        <v>2184</v>
      </c>
      <c r="B2152">
        <v>45968</v>
      </c>
      <c r="C2152" t="s">
        <v>55</v>
      </c>
      <c r="D2152" t="s">
        <v>11</v>
      </c>
      <c r="E2152" t="s">
        <v>37</v>
      </c>
      <c r="F2152" t="s">
        <v>23</v>
      </c>
      <c r="G2152" t="s">
        <v>14</v>
      </c>
      <c r="H2152">
        <v>224888</v>
      </c>
      <c r="I2152">
        <v>204500</v>
      </c>
    </row>
    <row r="2153" spans="1:9" x14ac:dyDescent="0.3">
      <c r="A2153" t="s">
        <v>2185</v>
      </c>
      <c r="B2153">
        <v>45969</v>
      </c>
      <c r="C2153" t="s">
        <v>10</v>
      </c>
      <c r="D2153" t="s">
        <v>11</v>
      </c>
      <c r="E2153" t="s">
        <v>12</v>
      </c>
      <c r="F2153" t="s">
        <v>56</v>
      </c>
      <c r="G2153" t="s">
        <v>19</v>
      </c>
      <c r="H2153">
        <v>12657</v>
      </c>
      <c r="I2153">
        <v>13200</v>
      </c>
    </row>
    <row r="2154" spans="1:9" x14ac:dyDescent="0.3">
      <c r="A2154" t="s">
        <v>2186</v>
      </c>
      <c r="B2154">
        <v>45969</v>
      </c>
      <c r="C2154" t="s">
        <v>10</v>
      </c>
      <c r="D2154" t="s">
        <v>11</v>
      </c>
      <c r="E2154" t="s">
        <v>12</v>
      </c>
      <c r="F2154" t="s">
        <v>26</v>
      </c>
      <c r="G2154" t="s">
        <v>14</v>
      </c>
      <c r="H2154">
        <v>167229</v>
      </c>
      <c r="I2154">
        <v>155700</v>
      </c>
    </row>
    <row r="2155" spans="1:9" x14ac:dyDescent="0.3">
      <c r="A2155" t="s">
        <v>2187</v>
      </c>
      <c r="B2155">
        <v>45969</v>
      </c>
      <c r="C2155" t="s">
        <v>16</v>
      </c>
      <c r="D2155" t="s">
        <v>11</v>
      </c>
      <c r="E2155" t="s">
        <v>17</v>
      </c>
      <c r="F2155" t="s">
        <v>56</v>
      </c>
      <c r="G2155" t="s">
        <v>19</v>
      </c>
      <c r="H2155">
        <v>16144</v>
      </c>
      <c r="I2155">
        <v>17500</v>
      </c>
    </row>
    <row r="2156" spans="1:9" x14ac:dyDescent="0.3">
      <c r="A2156" t="s">
        <v>2188</v>
      </c>
      <c r="B2156">
        <v>45969</v>
      </c>
      <c r="C2156" t="s">
        <v>16</v>
      </c>
      <c r="D2156" t="s">
        <v>11</v>
      </c>
      <c r="E2156" t="s">
        <v>17</v>
      </c>
      <c r="F2156" t="s">
        <v>37</v>
      </c>
      <c r="G2156" t="s">
        <v>14</v>
      </c>
      <c r="H2156">
        <v>175705</v>
      </c>
      <c r="I2156">
        <v>144100</v>
      </c>
    </row>
    <row r="2157" spans="1:9" x14ac:dyDescent="0.3">
      <c r="A2157" t="s">
        <v>2189</v>
      </c>
      <c r="B2157">
        <v>45969</v>
      </c>
      <c r="C2157" t="s">
        <v>36</v>
      </c>
      <c r="D2157" t="s">
        <v>11</v>
      </c>
      <c r="E2157" t="s">
        <v>37</v>
      </c>
      <c r="F2157" t="s">
        <v>33</v>
      </c>
      <c r="G2157" t="s">
        <v>19</v>
      </c>
      <c r="H2157">
        <v>17503</v>
      </c>
      <c r="I2157">
        <v>17900</v>
      </c>
    </row>
    <row r="2158" spans="1:9" x14ac:dyDescent="0.3">
      <c r="A2158" t="s">
        <v>2190</v>
      </c>
      <c r="B2158">
        <v>45969</v>
      </c>
      <c r="C2158" t="s">
        <v>31</v>
      </c>
      <c r="D2158" t="s">
        <v>11</v>
      </c>
      <c r="E2158" t="s">
        <v>17</v>
      </c>
      <c r="F2158" t="s">
        <v>42</v>
      </c>
      <c r="G2158" t="s">
        <v>19</v>
      </c>
      <c r="H2158">
        <v>33525</v>
      </c>
      <c r="I2158">
        <v>31200</v>
      </c>
    </row>
    <row r="2159" spans="1:9" x14ac:dyDescent="0.3">
      <c r="A2159" t="s">
        <v>2191</v>
      </c>
      <c r="B2159">
        <v>45969</v>
      </c>
      <c r="C2159" t="s">
        <v>31</v>
      </c>
      <c r="D2159" t="s">
        <v>11</v>
      </c>
      <c r="E2159" t="s">
        <v>17</v>
      </c>
      <c r="F2159" t="s">
        <v>18</v>
      </c>
      <c r="G2159" t="s">
        <v>19</v>
      </c>
      <c r="H2159">
        <v>12425</v>
      </c>
      <c r="I2159">
        <v>14100</v>
      </c>
    </row>
    <row r="2160" spans="1:9" x14ac:dyDescent="0.3">
      <c r="A2160" t="s">
        <v>2192</v>
      </c>
      <c r="B2160">
        <v>45969</v>
      </c>
      <c r="C2160" t="s">
        <v>55</v>
      </c>
      <c r="D2160" t="s">
        <v>11</v>
      </c>
      <c r="E2160" t="s">
        <v>37</v>
      </c>
      <c r="F2160" t="s">
        <v>18</v>
      </c>
      <c r="G2160" t="s">
        <v>19</v>
      </c>
      <c r="H2160">
        <v>20540</v>
      </c>
      <c r="I2160">
        <v>20300</v>
      </c>
    </row>
    <row r="2161" spans="1:9" x14ac:dyDescent="0.3">
      <c r="A2161" t="s">
        <v>2193</v>
      </c>
      <c r="B2161">
        <v>45970</v>
      </c>
      <c r="C2161" t="s">
        <v>62</v>
      </c>
      <c r="D2161" t="s">
        <v>11</v>
      </c>
      <c r="E2161" t="s">
        <v>22</v>
      </c>
      <c r="F2161" t="s">
        <v>26</v>
      </c>
      <c r="G2161" t="s">
        <v>14</v>
      </c>
      <c r="H2161">
        <v>63286</v>
      </c>
      <c r="I2161">
        <v>71700</v>
      </c>
    </row>
    <row r="2162" spans="1:9" x14ac:dyDescent="0.3">
      <c r="A2162" t="s">
        <v>2194</v>
      </c>
      <c r="B2162">
        <v>45970</v>
      </c>
      <c r="C2162" t="s">
        <v>10</v>
      </c>
      <c r="D2162" t="s">
        <v>11</v>
      </c>
      <c r="E2162" t="s">
        <v>12</v>
      </c>
      <c r="F2162" t="s">
        <v>42</v>
      </c>
      <c r="G2162" t="s">
        <v>19</v>
      </c>
      <c r="H2162">
        <v>55654</v>
      </c>
      <c r="I2162">
        <v>50600</v>
      </c>
    </row>
    <row r="2163" spans="1:9" x14ac:dyDescent="0.3">
      <c r="A2163" t="s">
        <v>2195</v>
      </c>
      <c r="B2163">
        <v>45970</v>
      </c>
      <c r="C2163" t="s">
        <v>16</v>
      </c>
      <c r="D2163" t="s">
        <v>11</v>
      </c>
      <c r="E2163" t="s">
        <v>17</v>
      </c>
      <c r="F2163" t="s">
        <v>39</v>
      </c>
      <c r="G2163" t="s">
        <v>19</v>
      </c>
      <c r="H2163">
        <v>106423</v>
      </c>
      <c r="I2163">
        <v>122200</v>
      </c>
    </row>
    <row r="2164" spans="1:9" x14ac:dyDescent="0.3">
      <c r="A2164" t="s">
        <v>2196</v>
      </c>
      <c r="B2164">
        <v>45970</v>
      </c>
      <c r="C2164" t="s">
        <v>25</v>
      </c>
      <c r="D2164" t="s">
        <v>11</v>
      </c>
      <c r="E2164" t="s">
        <v>22</v>
      </c>
      <c r="F2164" t="s">
        <v>18</v>
      </c>
      <c r="G2164" t="s">
        <v>19</v>
      </c>
      <c r="H2164">
        <v>34244</v>
      </c>
      <c r="I2164">
        <v>33000</v>
      </c>
    </row>
    <row r="2165" spans="1:9" x14ac:dyDescent="0.3">
      <c r="A2165" t="s">
        <v>2197</v>
      </c>
      <c r="B2165">
        <v>45971</v>
      </c>
      <c r="C2165" t="s">
        <v>16</v>
      </c>
      <c r="D2165" t="s">
        <v>11</v>
      </c>
      <c r="E2165" t="s">
        <v>17</v>
      </c>
      <c r="F2165" t="s">
        <v>42</v>
      </c>
      <c r="G2165" t="s">
        <v>19</v>
      </c>
      <c r="H2165">
        <v>81645</v>
      </c>
      <c r="I2165">
        <v>75600</v>
      </c>
    </row>
    <row r="2166" spans="1:9" x14ac:dyDescent="0.3">
      <c r="A2166" t="s">
        <v>2198</v>
      </c>
      <c r="B2166">
        <v>45971</v>
      </c>
      <c r="C2166" t="s">
        <v>36</v>
      </c>
      <c r="D2166" t="s">
        <v>11</v>
      </c>
      <c r="E2166" t="s">
        <v>37</v>
      </c>
      <c r="F2166" t="s">
        <v>12</v>
      </c>
      <c r="G2166" t="s">
        <v>14</v>
      </c>
      <c r="H2166">
        <v>210931</v>
      </c>
      <c r="I2166">
        <v>206100</v>
      </c>
    </row>
    <row r="2167" spans="1:9" x14ac:dyDescent="0.3">
      <c r="A2167" t="s">
        <v>2199</v>
      </c>
      <c r="B2167">
        <v>45971</v>
      </c>
      <c r="C2167" t="s">
        <v>55</v>
      </c>
      <c r="D2167" t="s">
        <v>11</v>
      </c>
      <c r="E2167" t="s">
        <v>37</v>
      </c>
      <c r="F2167" t="s">
        <v>56</v>
      </c>
      <c r="G2167" t="s">
        <v>19</v>
      </c>
      <c r="H2167">
        <v>15029</v>
      </c>
      <c r="I2167">
        <v>13200</v>
      </c>
    </row>
    <row r="2168" spans="1:9" x14ac:dyDescent="0.3">
      <c r="A2168" t="s">
        <v>2200</v>
      </c>
      <c r="B2168">
        <v>45971</v>
      </c>
      <c r="C2168" t="s">
        <v>55</v>
      </c>
      <c r="D2168" t="s">
        <v>11</v>
      </c>
      <c r="E2168" t="s">
        <v>37</v>
      </c>
      <c r="F2168" t="s">
        <v>56</v>
      </c>
      <c r="G2168" t="s">
        <v>19</v>
      </c>
      <c r="H2168">
        <v>90789</v>
      </c>
      <c r="I2168">
        <v>76800</v>
      </c>
    </row>
    <row r="2169" spans="1:9" x14ac:dyDescent="0.3">
      <c r="A2169" t="s">
        <v>2201</v>
      </c>
      <c r="B2169">
        <v>45972</v>
      </c>
      <c r="C2169" t="s">
        <v>62</v>
      </c>
      <c r="D2169" t="s">
        <v>11</v>
      </c>
      <c r="E2169" t="s">
        <v>22</v>
      </c>
      <c r="F2169" t="s">
        <v>46</v>
      </c>
      <c r="G2169" t="s">
        <v>19</v>
      </c>
      <c r="H2169">
        <v>85962</v>
      </c>
      <c r="I2169">
        <v>87000</v>
      </c>
    </row>
    <row r="2170" spans="1:9" x14ac:dyDescent="0.3">
      <c r="A2170" t="s">
        <v>2202</v>
      </c>
      <c r="B2170">
        <v>45972</v>
      </c>
      <c r="C2170" t="s">
        <v>10</v>
      </c>
      <c r="D2170" t="s">
        <v>11</v>
      </c>
      <c r="E2170" t="s">
        <v>12</v>
      </c>
      <c r="F2170" t="s">
        <v>56</v>
      </c>
      <c r="G2170" t="s">
        <v>19</v>
      </c>
      <c r="H2170">
        <v>41558</v>
      </c>
      <c r="I2170">
        <v>37200</v>
      </c>
    </row>
    <row r="2171" spans="1:9" x14ac:dyDescent="0.3">
      <c r="A2171" t="s">
        <v>2203</v>
      </c>
      <c r="B2171">
        <v>45972</v>
      </c>
      <c r="C2171" t="s">
        <v>10</v>
      </c>
      <c r="D2171" t="s">
        <v>11</v>
      </c>
      <c r="E2171" t="s">
        <v>12</v>
      </c>
      <c r="F2171" t="s">
        <v>18</v>
      </c>
      <c r="G2171" t="s">
        <v>19</v>
      </c>
      <c r="H2171">
        <v>108991</v>
      </c>
      <c r="I2171">
        <v>113300</v>
      </c>
    </row>
    <row r="2172" spans="1:9" x14ac:dyDescent="0.3">
      <c r="A2172" t="s">
        <v>2204</v>
      </c>
      <c r="B2172">
        <v>45972</v>
      </c>
      <c r="C2172" t="s">
        <v>16</v>
      </c>
      <c r="D2172" t="s">
        <v>11</v>
      </c>
      <c r="E2172" t="s">
        <v>17</v>
      </c>
      <c r="F2172" t="s">
        <v>46</v>
      </c>
      <c r="G2172" t="s">
        <v>19</v>
      </c>
      <c r="H2172">
        <v>35932</v>
      </c>
      <c r="I2172">
        <v>40500</v>
      </c>
    </row>
    <row r="2173" spans="1:9" x14ac:dyDescent="0.3">
      <c r="A2173" t="s">
        <v>2205</v>
      </c>
      <c r="B2173">
        <v>45972</v>
      </c>
      <c r="C2173" t="s">
        <v>16</v>
      </c>
      <c r="D2173" t="s">
        <v>11</v>
      </c>
      <c r="E2173" t="s">
        <v>17</v>
      </c>
      <c r="F2173" t="s">
        <v>59</v>
      </c>
      <c r="G2173" t="s">
        <v>14</v>
      </c>
      <c r="H2173">
        <v>205882</v>
      </c>
      <c r="I2173">
        <v>213800</v>
      </c>
    </row>
    <row r="2174" spans="1:9" x14ac:dyDescent="0.3">
      <c r="A2174" t="s">
        <v>2206</v>
      </c>
      <c r="B2174">
        <v>45972</v>
      </c>
      <c r="C2174" t="s">
        <v>36</v>
      </c>
      <c r="D2174" t="s">
        <v>11</v>
      </c>
      <c r="E2174" t="s">
        <v>37</v>
      </c>
      <c r="F2174" t="s">
        <v>56</v>
      </c>
      <c r="G2174" t="s">
        <v>19</v>
      </c>
      <c r="H2174">
        <v>42255</v>
      </c>
      <c r="I2174">
        <v>39700</v>
      </c>
    </row>
    <row r="2175" spans="1:9" x14ac:dyDescent="0.3">
      <c r="A2175" t="s">
        <v>2207</v>
      </c>
      <c r="B2175">
        <v>45972</v>
      </c>
      <c r="C2175" t="s">
        <v>36</v>
      </c>
      <c r="D2175" t="s">
        <v>11</v>
      </c>
      <c r="E2175" t="s">
        <v>37</v>
      </c>
      <c r="F2175" t="s">
        <v>23</v>
      </c>
      <c r="G2175" t="s">
        <v>14</v>
      </c>
      <c r="H2175">
        <v>183575</v>
      </c>
      <c r="I2175">
        <v>181600</v>
      </c>
    </row>
    <row r="2176" spans="1:9" x14ac:dyDescent="0.3">
      <c r="A2176" t="s">
        <v>2208</v>
      </c>
      <c r="B2176">
        <v>45972</v>
      </c>
      <c r="C2176" t="s">
        <v>21</v>
      </c>
      <c r="D2176" t="s">
        <v>11</v>
      </c>
      <c r="E2176" t="s">
        <v>22</v>
      </c>
      <c r="F2176" t="s">
        <v>42</v>
      </c>
      <c r="G2176" t="s">
        <v>19</v>
      </c>
      <c r="H2176">
        <v>96196</v>
      </c>
      <c r="I2176">
        <v>95200</v>
      </c>
    </row>
    <row r="2177" spans="1:9" x14ac:dyDescent="0.3">
      <c r="A2177" t="s">
        <v>2209</v>
      </c>
      <c r="B2177">
        <v>45972</v>
      </c>
      <c r="C2177" t="s">
        <v>55</v>
      </c>
      <c r="D2177" t="s">
        <v>11</v>
      </c>
      <c r="E2177" t="s">
        <v>37</v>
      </c>
      <c r="F2177" t="s">
        <v>59</v>
      </c>
      <c r="G2177" t="s">
        <v>14</v>
      </c>
      <c r="H2177">
        <v>125627</v>
      </c>
      <c r="I2177">
        <v>115000</v>
      </c>
    </row>
    <row r="2178" spans="1:9" x14ac:dyDescent="0.3">
      <c r="A2178" t="s">
        <v>2210</v>
      </c>
      <c r="B2178">
        <v>45972</v>
      </c>
      <c r="C2178" t="s">
        <v>55</v>
      </c>
      <c r="D2178" t="s">
        <v>11</v>
      </c>
      <c r="E2178" t="s">
        <v>37</v>
      </c>
      <c r="F2178" t="s">
        <v>37</v>
      </c>
      <c r="G2178" t="s">
        <v>14</v>
      </c>
      <c r="H2178">
        <v>236032</v>
      </c>
      <c r="I2178">
        <v>256000</v>
      </c>
    </row>
    <row r="2179" spans="1:9" x14ac:dyDescent="0.3">
      <c r="A2179" t="s">
        <v>2211</v>
      </c>
      <c r="B2179">
        <v>45973</v>
      </c>
      <c r="C2179" t="s">
        <v>62</v>
      </c>
      <c r="D2179" t="s">
        <v>11</v>
      </c>
      <c r="E2179" t="s">
        <v>22</v>
      </c>
      <c r="F2179" t="s">
        <v>12</v>
      </c>
      <c r="G2179" t="s">
        <v>14</v>
      </c>
      <c r="H2179">
        <v>117977</v>
      </c>
      <c r="I2179">
        <v>137500</v>
      </c>
    </row>
    <row r="2180" spans="1:9" x14ac:dyDescent="0.3">
      <c r="A2180" t="s">
        <v>2212</v>
      </c>
      <c r="B2180">
        <v>45973</v>
      </c>
      <c r="C2180" t="s">
        <v>10</v>
      </c>
      <c r="D2180" t="s">
        <v>11</v>
      </c>
      <c r="E2180" t="s">
        <v>12</v>
      </c>
      <c r="F2180" t="s">
        <v>56</v>
      </c>
      <c r="G2180" t="s">
        <v>19</v>
      </c>
      <c r="H2180">
        <v>12381</v>
      </c>
      <c r="I2180">
        <v>12500</v>
      </c>
    </row>
    <row r="2181" spans="1:9" x14ac:dyDescent="0.3">
      <c r="A2181" t="s">
        <v>2213</v>
      </c>
      <c r="B2181">
        <v>45973</v>
      </c>
      <c r="C2181" t="s">
        <v>16</v>
      </c>
      <c r="D2181" t="s">
        <v>11</v>
      </c>
      <c r="E2181" t="s">
        <v>17</v>
      </c>
      <c r="F2181" t="s">
        <v>13</v>
      </c>
      <c r="G2181" t="s">
        <v>14</v>
      </c>
      <c r="H2181">
        <v>27393</v>
      </c>
      <c r="I2181">
        <v>32900</v>
      </c>
    </row>
    <row r="2182" spans="1:9" x14ac:dyDescent="0.3">
      <c r="A2182" t="s">
        <v>2214</v>
      </c>
      <c r="B2182">
        <v>45973</v>
      </c>
      <c r="C2182" t="s">
        <v>36</v>
      </c>
      <c r="D2182" t="s">
        <v>11</v>
      </c>
      <c r="E2182" t="s">
        <v>37</v>
      </c>
      <c r="F2182" t="s">
        <v>37</v>
      </c>
      <c r="G2182" t="s">
        <v>14</v>
      </c>
      <c r="H2182">
        <v>161927</v>
      </c>
      <c r="I2182">
        <v>182100</v>
      </c>
    </row>
    <row r="2183" spans="1:9" x14ac:dyDescent="0.3">
      <c r="A2183" t="s">
        <v>2215</v>
      </c>
      <c r="B2183">
        <v>45973</v>
      </c>
      <c r="C2183" t="s">
        <v>21</v>
      </c>
      <c r="D2183" t="s">
        <v>11</v>
      </c>
      <c r="E2183" t="s">
        <v>22</v>
      </c>
      <c r="F2183" t="s">
        <v>23</v>
      </c>
      <c r="G2183" t="s">
        <v>14</v>
      </c>
      <c r="H2183">
        <v>121469</v>
      </c>
      <c r="I2183">
        <v>116000</v>
      </c>
    </row>
    <row r="2184" spans="1:9" x14ac:dyDescent="0.3">
      <c r="A2184" t="s">
        <v>2216</v>
      </c>
      <c r="B2184">
        <v>45973</v>
      </c>
      <c r="C2184" t="s">
        <v>25</v>
      </c>
      <c r="D2184" t="s">
        <v>11</v>
      </c>
      <c r="E2184" t="s">
        <v>22</v>
      </c>
      <c r="F2184" t="s">
        <v>37</v>
      </c>
      <c r="G2184" t="s">
        <v>14</v>
      </c>
      <c r="H2184">
        <v>29837</v>
      </c>
      <c r="I2184">
        <v>31600</v>
      </c>
    </row>
    <row r="2185" spans="1:9" x14ac:dyDescent="0.3">
      <c r="A2185" t="s">
        <v>2217</v>
      </c>
      <c r="B2185">
        <v>45974</v>
      </c>
      <c r="C2185" t="s">
        <v>62</v>
      </c>
      <c r="D2185" t="s">
        <v>11</v>
      </c>
      <c r="E2185" t="s">
        <v>22</v>
      </c>
      <c r="F2185" t="s">
        <v>18</v>
      </c>
      <c r="G2185" t="s">
        <v>19</v>
      </c>
      <c r="H2185">
        <v>51494</v>
      </c>
      <c r="I2185">
        <v>46800</v>
      </c>
    </row>
    <row r="2186" spans="1:9" x14ac:dyDescent="0.3">
      <c r="A2186" t="s">
        <v>2218</v>
      </c>
      <c r="B2186">
        <v>45974</v>
      </c>
      <c r="C2186" t="s">
        <v>62</v>
      </c>
      <c r="D2186" t="s">
        <v>11</v>
      </c>
      <c r="E2186" t="s">
        <v>22</v>
      </c>
      <c r="F2186" t="s">
        <v>59</v>
      </c>
      <c r="G2186" t="s">
        <v>14</v>
      </c>
      <c r="H2186">
        <v>142862</v>
      </c>
      <c r="I2186">
        <v>129600</v>
      </c>
    </row>
    <row r="2187" spans="1:9" x14ac:dyDescent="0.3">
      <c r="A2187" t="s">
        <v>2219</v>
      </c>
      <c r="B2187">
        <v>45974</v>
      </c>
      <c r="C2187" t="s">
        <v>10</v>
      </c>
      <c r="D2187" t="s">
        <v>11</v>
      </c>
      <c r="E2187" t="s">
        <v>12</v>
      </c>
      <c r="F2187" t="s">
        <v>59</v>
      </c>
      <c r="G2187" t="s">
        <v>14</v>
      </c>
      <c r="H2187">
        <v>197417</v>
      </c>
      <c r="I2187">
        <v>177600</v>
      </c>
    </row>
    <row r="2188" spans="1:9" x14ac:dyDescent="0.3">
      <c r="A2188" t="s">
        <v>2220</v>
      </c>
      <c r="B2188">
        <v>45974</v>
      </c>
      <c r="C2188" t="s">
        <v>16</v>
      </c>
      <c r="D2188" t="s">
        <v>11</v>
      </c>
      <c r="E2188" t="s">
        <v>17</v>
      </c>
      <c r="F2188" t="s">
        <v>13</v>
      </c>
      <c r="G2188" t="s">
        <v>14</v>
      </c>
      <c r="H2188">
        <v>165739</v>
      </c>
      <c r="I2188">
        <v>165100</v>
      </c>
    </row>
    <row r="2189" spans="1:9" x14ac:dyDescent="0.3">
      <c r="A2189" t="s">
        <v>2221</v>
      </c>
      <c r="B2189">
        <v>45974</v>
      </c>
      <c r="C2189" t="s">
        <v>36</v>
      </c>
      <c r="D2189" t="s">
        <v>11</v>
      </c>
      <c r="E2189" t="s">
        <v>37</v>
      </c>
      <c r="F2189" t="s">
        <v>46</v>
      </c>
      <c r="G2189" t="s">
        <v>19</v>
      </c>
      <c r="H2189">
        <v>41483</v>
      </c>
      <c r="I2189">
        <v>40300</v>
      </c>
    </row>
    <row r="2190" spans="1:9" x14ac:dyDescent="0.3">
      <c r="A2190" t="s">
        <v>2222</v>
      </c>
      <c r="B2190">
        <v>45974</v>
      </c>
      <c r="C2190" t="s">
        <v>21</v>
      </c>
      <c r="D2190" t="s">
        <v>11</v>
      </c>
      <c r="E2190" t="s">
        <v>22</v>
      </c>
      <c r="F2190" t="s">
        <v>56</v>
      </c>
      <c r="G2190" t="s">
        <v>19</v>
      </c>
      <c r="H2190">
        <v>22068</v>
      </c>
      <c r="I2190">
        <v>22900</v>
      </c>
    </row>
    <row r="2191" spans="1:9" x14ac:dyDescent="0.3">
      <c r="A2191" t="s">
        <v>2223</v>
      </c>
      <c r="B2191">
        <v>45974</v>
      </c>
      <c r="C2191" t="s">
        <v>25</v>
      </c>
      <c r="D2191" t="s">
        <v>11</v>
      </c>
      <c r="E2191" t="s">
        <v>22</v>
      </c>
      <c r="F2191" t="s">
        <v>13</v>
      </c>
      <c r="G2191" t="s">
        <v>14</v>
      </c>
      <c r="H2191">
        <v>30799</v>
      </c>
      <c r="I2191">
        <v>29200</v>
      </c>
    </row>
    <row r="2192" spans="1:9" x14ac:dyDescent="0.3">
      <c r="A2192" t="s">
        <v>2224</v>
      </c>
      <c r="B2192">
        <v>45974</v>
      </c>
      <c r="C2192" t="s">
        <v>25</v>
      </c>
      <c r="D2192" t="s">
        <v>11</v>
      </c>
      <c r="E2192" t="s">
        <v>22</v>
      </c>
      <c r="F2192" t="s">
        <v>12</v>
      </c>
      <c r="G2192" t="s">
        <v>14</v>
      </c>
      <c r="H2192">
        <v>152430</v>
      </c>
      <c r="I2192">
        <v>146500</v>
      </c>
    </row>
    <row r="2193" spans="1:9" x14ac:dyDescent="0.3">
      <c r="A2193" t="s">
        <v>2225</v>
      </c>
      <c r="B2193">
        <v>45974</v>
      </c>
      <c r="C2193" t="s">
        <v>31</v>
      </c>
      <c r="D2193" t="s">
        <v>11</v>
      </c>
      <c r="E2193" t="s">
        <v>17</v>
      </c>
      <c r="F2193" t="s">
        <v>37</v>
      </c>
      <c r="G2193" t="s">
        <v>14</v>
      </c>
      <c r="H2193">
        <v>186731</v>
      </c>
      <c r="I2193">
        <v>201000</v>
      </c>
    </row>
    <row r="2194" spans="1:9" x14ac:dyDescent="0.3">
      <c r="A2194" t="s">
        <v>2226</v>
      </c>
      <c r="B2194">
        <v>45975</v>
      </c>
      <c r="C2194" t="s">
        <v>16</v>
      </c>
      <c r="D2194" t="s">
        <v>11</v>
      </c>
      <c r="E2194" t="s">
        <v>17</v>
      </c>
      <c r="F2194" t="s">
        <v>18</v>
      </c>
      <c r="G2194" t="s">
        <v>19</v>
      </c>
      <c r="H2194">
        <v>74152</v>
      </c>
      <c r="I2194">
        <v>69400</v>
      </c>
    </row>
    <row r="2195" spans="1:9" x14ac:dyDescent="0.3">
      <c r="A2195" t="s">
        <v>2227</v>
      </c>
      <c r="B2195">
        <v>45975</v>
      </c>
      <c r="C2195" t="s">
        <v>36</v>
      </c>
      <c r="D2195" t="s">
        <v>11</v>
      </c>
      <c r="E2195" t="s">
        <v>37</v>
      </c>
      <c r="F2195" t="s">
        <v>56</v>
      </c>
      <c r="G2195" t="s">
        <v>19</v>
      </c>
      <c r="H2195">
        <v>118347</v>
      </c>
      <c r="I2195">
        <v>144000</v>
      </c>
    </row>
    <row r="2196" spans="1:9" x14ac:dyDescent="0.3">
      <c r="A2196" t="s">
        <v>2228</v>
      </c>
      <c r="B2196">
        <v>45975</v>
      </c>
      <c r="C2196" t="s">
        <v>36</v>
      </c>
      <c r="D2196" t="s">
        <v>11</v>
      </c>
      <c r="E2196" t="s">
        <v>37</v>
      </c>
      <c r="F2196" t="s">
        <v>59</v>
      </c>
      <c r="G2196" t="s">
        <v>14</v>
      </c>
      <c r="H2196">
        <v>52098</v>
      </c>
      <c r="I2196">
        <v>48600</v>
      </c>
    </row>
    <row r="2197" spans="1:9" x14ac:dyDescent="0.3">
      <c r="A2197" t="s">
        <v>2229</v>
      </c>
      <c r="B2197">
        <v>45975</v>
      </c>
      <c r="C2197" t="s">
        <v>36</v>
      </c>
      <c r="D2197" t="s">
        <v>11</v>
      </c>
      <c r="E2197" t="s">
        <v>37</v>
      </c>
      <c r="F2197" t="s">
        <v>37</v>
      </c>
      <c r="G2197" t="s">
        <v>14</v>
      </c>
      <c r="H2197">
        <v>173535</v>
      </c>
      <c r="I2197">
        <v>150700</v>
      </c>
    </row>
    <row r="2198" spans="1:9" x14ac:dyDescent="0.3">
      <c r="A2198" t="s">
        <v>2230</v>
      </c>
      <c r="B2198">
        <v>45975</v>
      </c>
      <c r="C2198" t="s">
        <v>31</v>
      </c>
      <c r="D2198" t="s">
        <v>11</v>
      </c>
      <c r="E2198" t="s">
        <v>17</v>
      </c>
      <c r="F2198" t="s">
        <v>26</v>
      </c>
      <c r="G2198" t="s">
        <v>14</v>
      </c>
      <c r="H2198">
        <v>154970</v>
      </c>
      <c r="I2198">
        <v>177200</v>
      </c>
    </row>
    <row r="2199" spans="1:9" x14ac:dyDescent="0.3">
      <c r="A2199" t="s">
        <v>2231</v>
      </c>
      <c r="B2199">
        <v>45976</v>
      </c>
      <c r="C2199" t="s">
        <v>16</v>
      </c>
      <c r="D2199" t="s">
        <v>11</v>
      </c>
      <c r="E2199" t="s">
        <v>17</v>
      </c>
      <c r="F2199" t="s">
        <v>18</v>
      </c>
      <c r="G2199" t="s">
        <v>19</v>
      </c>
      <c r="H2199">
        <v>72549</v>
      </c>
      <c r="I2199">
        <v>73000</v>
      </c>
    </row>
    <row r="2200" spans="1:9" x14ac:dyDescent="0.3">
      <c r="A2200" t="s">
        <v>2232</v>
      </c>
      <c r="B2200">
        <v>45976</v>
      </c>
      <c r="C2200" t="s">
        <v>16</v>
      </c>
      <c r="D2200" t="s">
        <v>11</v>
      </c>
      <c r="E2200" t="s">
        <v>17</v>
      </c>
      <c r="F2200" t="s">
        <v>42</v>
      </c>
      <c r="G2200" t="s">
        <v>19</v>
      </c>
      <c r="H2200">
        <v>44426</v>
      </c>
      <c r="I2200">
        <v>39200</v>
      </c>
    </row>
    <row r="2201" spans="1:9" x14ac:dyDescent="0.3">
      <c r="A2201" t="s">
        <v>2233</v>
      </c>
      <c r="B2201">
        <v>45976</v>
      </c>
      <c r="C2201" t="s">
        <v>16</v>
      </c>
      <c r="D2201" t="s">
        <v>11</v>
      </c>
      <c r="E2201" t="s">
        <v>17</v>
      </c>
      <c r="F2201" t="s">
        <v>23</v>
      </c>
      <c r="G2201" t="s">
        <v>14</v>
      </c>
      <c r="H2201">
        <v>83057</v>
      </c>
      <c r="I2201">
        <v>84500</v>
      </c>
    </row>
    <row r="2202" spans="1:9" x14ac:dyDescent="0.3">
      <c r="A2202" t="s">
        <v>2234</v>
      </c>
      <c r="B2202">
        <v>45976</v>
      </c>
      <c r="C2202" t="s">
        <v>36</v>
      </c>
      <c r="D2202" t="s">
        <v>11</v>
      </c>
      <c r="E2202" t="s">
        <v>37</v>
      </c>
      <c r="F2202" t="s">
        <v>56</v>
      </c>
      <c r="G2202" t="s">
        <v>19</v>
      </c>
      <c r="H2202">
        <v>45311</v>
      </c>
      <c r="I2202">
        <v>41400</v>
      </c>
    </row>
    <row r="2203" spans="1:9" x14ac:dyDescent="0.3">
      <c r="A2203" t="s">
        <v>2235</v>
      </c>
      <c r="B2203">
        <v>45976</v>
      </c>
      <c r="C2203" t="s">
        <v>21</v>
      </c>
      <c r="D2203" t="s">
        <v>11</v>
      </c>
      <c r="E2203" t="s">
        <v>22</v>
      </c>
      <c r="F2203" t="s">
        <v>37</v>
      </c>
      <c r="G2203" t="s">
        <v>14</v>
      </c>
      <c r="H2203">
        <v>157477</v>
      </c>
      <c r="I2203">
        <v>152200</v>
      </c>
    </row>
    <row r="2204" spans="1:9" x14ac:dyDescent="0.3">
      <c r="A2204" t="s">
        <v>2236</v>
      </c>
      <c r="B2204">
        <v>45976</v>
      </c>
      <c r="C2204" t="s">
        <v>21</v>
      </c>
      <c r="D2204" t="s">
        <v>11</v>
      </c>
      <c r="E2204" t="s">
        <v>22</v>
      </c>
      <c r="F2204" t="s">
        <v>26</v>
      </c>
      <c r="G2204" t="s">
        <v>14</v>
      </c>
      <c r="H2204">
        <v>59577</v>
      </c>
      <c r="I2204">
        <v>63600</v>
      </c>
    </row>
    <row r="2205" spans="1:9" x14ac:dyDescent="0.3">
      <c r="A2205" t="s">
        <v>2237</v>
      </c>
      <c r="B2205">
        <v>45976</v>
      </c>
      <c r="C2205" t="s">
        <v>21</v>
      </c>
      <c r="D2205" t="s">
        <v>11</v>
      </c>
      <c r="E2205" t="s">
        <v>22</v>
      </c>
      <c r="F2205" t="s">
        <v>12</v>
      </c>
      <c r="G2205" t="s">
        <v>14</v>
      </c>
      <c r="H2205">
        <v>217244</v>
      </c>
      <c r="I2205">
        <v>224800</v>
      </c>
    </row>
    <row r="2206" spans="1:9" x14ac:dyDescent="0.3">
      <c r="A2206" t="s">
        <v>2238</v>
      </c>
      <c r="B2206">
        <v>45977</v>
      </c>
      <c r="C2206" t="s">
        <v>62</v>
      </c>
      <c r="D2206" t="s">
        <v>11</v>
      </c>
      <c r="E2206" t="s">
        <v>22</v>
      </c>
      <c r="F2206" t="s">
        <v>18</v>
      </c>
      <c r="G2206" t="s">
        <v>19</v>
      </c>
      <c r="H2206">
        <v>56102</v>
      </c>
      <c r="I2206">
        <v>52600</v>
      </c>
    </row>
    <row r="2207" spans="1:9" x14ac:dyDescent="0.3">
      <c r="A2207" t="s">
        <v>2239</v>
      </c>
      <c r="B2207">
        <v>45977</v>
      </c>
      <c r="C2207" t="s">
        <v>62</v>
      </c>
      <c r="D2207" t="s">
        <v>11</v>
      </c>
      <c r="E2207" t="s">
        <v>22</v>
      </c>
      <c r="F2207" t="s">
        <v>56</v>
      </c>
      <c r="G2207" t="s">
        <v>19</v>
      </c>
      <c r="H2207">
        <v>104512</v>
      </c>
      <c r="I2207">
        <v>104500</v>
      </c>
    </row>
    <row r="2208" spans="1:9" x14ac:dyDescent="0.3">
      <c r="A2208" t="s">
        <v>2240</v>
      </c>
      <c r="B2208">
        <v>45977</v>
      </c>
      <c r="C2208" t="s">
        <v>16</v>
      </c>
      <c r="D2208" t="s">
        <v>11</v>
      </c>
      <c r="E2208" t="s">
        <v>17</v>
      </c>
      <c r="F2208" t="s">
        <v>26</v>
      </c>
      <c r="G2208" t="s">
        <v>14</v>
      </c>
      <c r="H2208">
        <v>101306</v>
      </c>
      <c r="I2208">
        <v>85300</v>
      </c>
    </row>
    <row r="2209" spans="1:9" x14ac:dyDescent="0.3">
      <c r="A2209" t="s">
        <v>2241</v>
      </c>
      <c r="B2209">
        <v>45977</v>
      </c>
      <c r="C2209" t="s">
        <v>36</v>
      </c>
      <c r="D2209" t="s">
        <v>11</v>
      </c>
      <c r="E2209" t="s">
        <v>37</v>
      </c>
      <c r="F2209" t="s">
        <v>46</v>
      </c>
      <c r="G2209" t="s">
        <v>19</v>
      </c>
      <c r="H2209">
        <v>38711</v>
      </c>
      <c r="I2209">
        <v>37600</v>
      </c>
    </row>
    <row r="2210" spans="1:9" x14ac:dyDescent="0.3">
      <c r="A2210" t="s">
        <v>2242</v>
      </c>
      <c r="B2210">
        <v>45977</v>
      </c>
      <c r="C2210" t="s">
        <v>25</v>
      </c>
      <c r="D2210" t="s">
        <v>11</v>
      </c>
      <c r="E2210" t="s">
        <v>22</v>
      </c>
      <c r="F2210" t="s">
        <v>56</v>
      </c>
      <c r="G2210" t="s">
        <v>19</v>
      </c>
      <c r="H2210">
        <v>59954</v>
      </c>
      <c r="I2210">
        <v>69800</v>
      </c>
    </row>
    <row r="2211" spans="1:9" x14ac:dyDescent="0.3">
      <c r="A2211" t="s">
        <v>2243</v>
      </c>
      <c r="B2211">
        <v>45977</v>
      </c>
      <c r="C2211" t="s">
        <v>25</v>
      </c>
      <c r="D2211" t="s">
        <v>11</v>
      </c>
      <c r="E2211" t="s">
        <v>22</v>
      </c>
      <c r="F2211" t="s">
        <v>42</v>
      </c>
      <c r="G2211" t="s">
        <v>19</v>
      </c>
      <c r="H2211">
        <v>75319</v>
      </c>
      <c r="I2211">
        <v>81800</v>
      </c>
    </row>
    <row r="2212" spans="1:9" x14ac:dyDescent="0.3">
      <c r="A2212" t="s">
        <v>2244</v>
      </c>
      <c r="B2212">
        <v>45977</v>
      </c>
      <c r="C2212" t="s">
        <v>31</v>
      </c>
      <c r="D2212" t="s">
        <v>11</v>
      </c>
      <c r="E2212" t="s">
        <v>17</v>
      </c>
      <c r="F2212" t="s">
        <v>56</v>
      </c>
      <c r="G2212" t="s">
        <v>19</v>
      </c>
      <c r="H2212">
        <v>109668</v>
      </c>
      <c r="I2212">
        <v>97000</v>
      </c>
    </row>
    <row r="2213" spans="1:9" x14ac:dyDescent="0.3">
      <c r="A2213" t="s">
        <v>2245</v>
      </c>
      <c r="B2213">
        <v>45977</v>
      </c>
      <c r="C2213" t="s">
        <v>55</v>
      </c>
      <c r="D2213" t="s">
        <v>11</v>
      </c>
      <c r="E2213" t="s">
        <v>37</v>
      </c>
      <c r="F2213" t="s">
        <v>33</v>
      </c>
      <c r="G2213" t="s">
        <v>19</v>
      </c>
      <c r="H2213">
        <v>105344</v>
      </c>
      <c r="I2213">
        <v>87400</v>
      </c>
    </row>
    <row r="2214" spans="1:9" x14ac:dyDescent="0.3">
      <c r="A2214" t="s">
        <v>2246</v>
      </c>
      <c r="B2214">
        <v>45978</v>
      </c>
      <c r="C2214" t="s">
        <v>16</v>
      </c>
      <c r="D2214" t="s">
        <v>11</v>
      </c>
      <c r="E2214" t="s">
        <v>17</v>
      </c>
      <c r="F2214" t="s">
        <v>39</v>
      </c>
      <c r="G2214" t="s">
        <v>19</v>
      </c>
      <c r="H2214">
        <v>100178</v>
      </c>
      <c r="I2214">
        <v>108000</v>
      </c>
    </row>
    <row r="2215" spans="1:9" x14ac:dyDescent="0.3">
      <c r="A2215" t="s">
        <v>2247</v>
      </c>
      <c r="B2215">
        <v>45978</v>
      </c>
      <c r="C2215" t="s">
        <v>16</v>
      </c>
      <c r="D2215" t="s">
        <v>11</v>
      </c>
      <c r="E2215" t="s">
        <v>17</v>
      </c>
      <c r="F2215" t="s">
        <v>18</v>
      </c>
      <c r="G2215" t="s">
        <v>19</v>
      </c>
      <c r="H2215">
        <v>37271</v>
      </c>
      <c r="I2215">
        <v>39900</v>
      </c>
    </row>
    <row r="2216" spans="1:9" x14ac:dyDescent="0.3">
      <c r="A2216" t="s">
        <v>2248</v>
      </c>
      <c r="B2216">
        <v>45978</v>
      </c>
      <c r="C2216" t="s">
        <v>16</v>
      </c>
      <c r="D2216" t="s">
        <v>11</v>
      </c>
      <c r="E2216" t="s">
        <v>17</v>
      </c>
      <c r="F2216" t="s">
        <v>26</v>
      </c>
      <c r="G2216" t="s">
        <v>14</v>
      </c>
      <c r="H2216">
        <v>219337</v>
      </c>
      <c r="I2216">
        <v>206100</v>
      </c>
    </row>
    <row r="2217" spans="1:9" x14ac:dyDescent="0.3">
      <c r="A2217" t="s">
        <v>2249</v>
      </c>
      <c r="B2217">
        <v>45978</v>
      </c>
      <c r="C2217" t="s">
        <v>21</v>
      </c>
      <c r="D2217" t="s">
        <v>11</v>
      </c>
      <c r="E2217" t="s">
        <v>22</v>
      </c>
      <c r="F2217" t="s">
        <v>18</v>
      </c>
      <c r="G2217" t="s">
        <v>19</v>
      </c>
      <c r="H2217">
        <v>54257</v>
      </c>
      <c r="I2217">
        <v>61800</v>
      </c>
    </row>
    <row r="2218" spans="1:9" x14ac:dyDescent="0.3">
      <c r="A2218" t="s">
        <v>2250</v>
      </c>
      <c r="B2218">
        <v>45978</v>
      </c>
      <c r="C2218" t="s">
        <v>21</v>
      </c>
      <c r="D2218" t="s">
        <v>11</v>
      </c>
      <c r="E2218" t="s">
        <v>22</v>
      </c>
      <c r="F2218" t="s">
        <v>46</v>
      </c>
      <c r="G2218" t="s">
        <v>19</v>
      </c>
      <c r="H2218">
        <v>90729</v>
      </c>
      <c r="I2218">
        <v>99700</v>
      </c>
    </row>
    <row r="2219" spans="1:9" x14ac:dyDescent="0.3">
      <c r="A2219" t="s">
        <v>2251</v>
      </c>
      <c r="B2219">
        <v>45978</v>
      </c>
      <c r="C2219" t="s">
        <v>21</v>
      </c>
      <c r="D2219" t="s">
        <v>11</v>
      </c>
      <c r="E2219" t="s">
        <v>22</v>
      </c>
      <c r="F2219" t="s">
        <v>13</v>
      </c>
      <c r="G2219" t="s">
        <v>14</v>
      </c>
      <c r="H2219">
        <v>122278</v>
      </c>
      <c r="I2219">
        <v>116300</v>
      </c>
    </row>
    <row r="2220" spans="1:9" x14ac:dyDescent="0.3">
      <c r="A2220" t="s">
        <v>2252</v>
      </c>
      <c r="B2220">
        <v>45978</v>
      </c>
      <c r="C2220" t="s">
        <v>21</v>
      </c>
      <c r="D2220" t="s">
        <v>11</v>
      </c>
      <c r="E2220" t="s">
        <v>22</v>
      </c>
      <c r="F2220" t="s">
        <v>26</v>
      </c>
      <c r="G2220" t="s">
        <v>14</v>
      </c>
      <c r="H2220">
        <v>234794</v>
      </c>
      <c r="I2220">
        <v>223500</v>
      </c>
    </row>
    <row r="2221" spans="1:9" x14ac:dyDescent="0.3">
      <c r="A2221" t="s">
        <v>2253</v>
      </c>
      <c r="B2221">
        <v>45978</v>
      </c>
      <c r="C2221" t="s">
        <v>25</v>
      </c>
      <c r="D2221" t="s">
        <v>11</v>
      </c>
      <c r="E2221" t="s">
        <v>22</v>
      </c>
      <c r="F2221" t="s">
        <v>18</v>
      </c>
      <c r="G2221" t="s">
        <v>19</v>
      </c>
      <c r="H2221">
        <v>84347</v>
      </c>
      <c r="I2221">
        <v>78300</v>
      </c>
    </row>
    <row r="2222" spans="1:9" x14ac:dyDescent="0.3">
      <c r="A2222" t="s">
        <v>2254</v>
      </c>
      <c r="B2222">
        <v>45978</v>
      </c>
      <c r="C2222" t="s">
        <v>25</v>
      </c>
      <c r="D2222" t="s">
        <v>11</v>
      </c>
      <c r="E2222" t="s">
        <v>22</v>
      </c>
      <c r="F2222" t="s">
        <v>12</v>
      </c>
      <c r="G2222" t="s">
        <v>14</v>
      </c>
      <c r="H2222">
        <v>43015</v>
      </c>
      <c r="I2222">
        <v>47200</v>
      </c>
    </row>
    <row r="2223" spans="1:9" x14ac:dyDescent="0.3">
      <c r="A2223" t="s">
        <v>2255</v>
      </c>
      <c r="B2223">
        <v>45978</v>
      </c>
      <c r="C2223" t="s">
        <v>31</v>
      </c>
      <c r="D2223" t="s">
        <v>11</v>
      </c>
      <c r="E2223" t="s">
        <v>17</v>
      </c>
      <c r="F2223" t="s">
        <v>18</v>
      </c>
      <c r="G2223" t="s">
        <v>19</v>
      </c>
      <c r="H2223">
        <v>46547</v>
      </c>
      <c r="I2223">
        <v>48300</v>
      </c>
    </row>
    <row r="2224" spans="1:9" x14ac:dyDescent="0.3">
      <c r="A2224" t="s">
        <v>2256</v>
      </c>
      <c r="B2224">
        <v>45979</v>
      </c>
      <c r="C2224" t="s">
        <v>62</v>
      </c>
      <c r="D2224" t="s">
        <v>11</v>
      </c>
      <c r="E2224" t="s">
        <v>22</v>
      </c>
      <c r="F2224" t="s">
        <v>13</v>
      </c>
      <c r="G2224" t="s">
        <v>14</v>
      </c>
      <c r="H2224">
        <v>239724</v>
      </c>
      <c r="I2224">
        <v>215600</v>
      </c>
    </row>
    <row r="2225" spans="1:9" x14ac:dyDescent="0.3">
      <c r="A2225" t="s">
        <v>2257</v>
      </c>
      <c r="B2225">
        <v>45979</v>
      </c>
      <c r="C2225" t="s">
        <v>62</v>
      </c>
      <c r="D2225" t="s">
        <v>11</v>
      </c>
      <c r="E2225" t="s">
        <v>22</v>
      </c>
      <c r="F2225" t="s">
        <v>23</v>
      </c>
      <c r="G2225" t="s">
        <v>14</v>
      </c>
      <c r="H2225">
        <v>105842</v>
      </c>
      <c r="I2225">
        <v>98700</v>
      </c>
    </row>
    <row r="2226" spans="1:9" x14ac:dyDescent="0.3">
      <c r="A2226" t="s">
        <v>2258</v>
      </c>
      <c r="B2226">
        <v>45979</v>
      </c>
      <c r="C2226" t="s">
        <v>10</v>
      </c>
      <c r="D2226" t="s">
        <v>11</v>
      </c>
      <c r="E2226" t="s">
        <v>12</v>
      </c>
      <c r="F2226" t="s">
        <v>39</v>
      </c>
      <c r="G2226" t="s">
        <v>19</v>
      </c>
      <c r="H2226">
        <v>25987</v>
      </c>
      <c r="I2226">
        <v>23200</v>
      </c>
    </row>
    <row r="2227" spans="1:9" x14ac:dyDescent="0.3">
      <c r="A2227" t="s">
        <v>2259</v>
      </c>
      <c r="B2227">
        <v>45979</v>
      </c>
      <c r="C2227" t="s">
        <v>16</v>
      </c>
      <c r="D2227" t="s">
        <v>11</v>
      </c>
      <c r="E2227" t="s">
        <v>17</v>
      </c>
      <c r="F2227" t="s">
        <v>42</v>
      </c>
      <c r="G2227" t="s">
        <v>19</v>
      </c>
      <c r="H2227">
        <v>30429</v>
      </c>
      <c r="I2227">
        <v>31600</v>
      </c>
    </row>
    <row r="2228" spans="1:9" x14ac:dyDescent="0.3">
      <c r="A2228" t="s">
        <v>2260</v>
      </c>
      <c r="B2228">
        <v>45979</v>
      </c>
      <c r="C2228" t="s">
        <v>21</v>
      </c>
      <c r="D2228" t="s">
        <v>11</v>
      </c>
      <c r="E2228" t="s">
        <v>22</v>
      </c>
      <c r="F2228" t="s">
        <v>56</v>
      </c>
      <c r="G2228" t="s">
        <v>19</v>
      </c>
      <c r="H2228">
        <v>72893</v>
      </c>
      <c r="I2228">
        <v>73800</v>
      </c>
    </row>
    <row r="2229" spans="1:9" x14ac:dyDescent="0.3">
      <c r="A2229" t="s">
        <v>2261</v>
      </c>
      <c r="B2229">
        <v>45979</v>
      </c>
      <c r="C2229" t="s">
        <v>25</v>
      </c>
      <c r="D2229" t="s">
        <v>11</v>
      </c>
      <c r="E2229" t="s">
        <v>22</v>
      </c>
      <c r="F2229" t="s">
        <v>26</v>
      </c>
      <c r="G2229" t="s">
        <v>14</v>
      </c>
      <c r="H2229">
        <v>120509</v>
      </c>
      <c r="I2229">
        <v>125600</v>
      </c>
    </row>
    <row r="2230" spans="1:9" x14ac:dyDescent="0.3">
      <c r="A2230" t="s">
        <v>2262</v>
      </c>
      <c r="B2230">
        <v>45979</v>
      </c>
      <c r="C2230" t="s">
        <v>25</v>
      </c>
      <c r="D2230" t="s">
        <v>11</v>
      </c>
      <c r="E2230" t="s">
        <v>22</v>
      </c>
      <c r="F2230" t="s">
        <v>23</v>
      </c>
      <c r="G2230" t="s">
        <v>14</v>
      </c>
      <c r="H2230">
        <v>129992</v>
      </c>
      <c r="I2230">
        <v>142200</v>
      </c>
    </row>
    <row r="2231" spans="1:9" x14ac:dyDescent="0.3">
      <c r="A2231" t="s">
        <v>2263</v>
      </c>
      <c r="B2231">
        <v>45979</v>
      </c>
      <c r="C2231" t="s">
        <v>25</v>
      </c>
      <c r="D2231" t="s">
        <v>11</v>
      </c>
      <c r="E2231" t="s">
        <v>22</v>
      </c>
      <c r="F2231" t="s">
        <v>37</v>
      </c>
      <c r="G2231" t="s">
        <v>14</v>
      </c>
      <c r="H2231">
        <v>64394</v>
      </c>
      <c r="I2231">
        <v>56500</v>
      </c>
    </row>
    <row r="2232" spans="1:9" x14ac:dyDescent="0.3">
      <c r="A2232" t="s">
        <v>2264</v>
      </c>
      <c r="B2232">
        <v>45979</v>
      </c>
      <c r="C2232" t="s">
        <v>55</v>
      </c>
      <c r="D2232" t="s">
        <v>11</v>
      </c>
      <c r="E2232" t="s">
        <v>37</v>
      </c>
      <c r="F2232" t="s">
        <v>26</v>
      </c>
      <c r="G2232" t="s">
        <v>14</v>
      </c>
      <c r="H2232">
        <v>82123</v>
      </c>
      <c r="I2232">
        <v>69900</v>
      </c>
    </row>
    <row r="2233" spans="1:9" x14ac:dyDescent="0.3">
      <c r="A2233" t="s">
        <v>2265</v>
      </c>
      <c r="B2233">
        <v>45980</v>
      </c>
      <c r="C2233" t="s">
        <v>62</v>
      </c>
      <c r="D2233" t="s">
        <v>11</v>
      </c>
      <c r="E2233" t="s">
        <v>22</v>
      </c>
      <c r="F2233" t="s">
        <v>23</v>
      </c>
      <c r="G2233" t="s">
        <v>14</v>
      </c>
      <c r="H2233">
        <v>44051</v>
      </c>
      <c r="I2233">
        <v>43000</v>
      </c>
    </row>
    <row r="2234" spans="1:9" x14ac:dyDescent="0.3">
      <c r="A2234" t="s">
        <v>2266</v>
      </c>
      <c r="B2234">
        <v>45980</v>
      </c>
      <c r="C2234" t="s">
        <v>16</v>
      </c>
      <c r="D2234" t="s">
        <v>11</v>
      </c>
      <c r="E2234" t="s">
        <v>17</v>
      </c>
      <c r="F2234" t="s">
        <v>46</v>
      </c>
      <c r="G2234" t="s">
        <v>19</v>
      </c>
      <c r="H2234">
        <v>23828</v>
      </c>
      <c r="I2234">
        <v>24200</v>
      </c>
    </row>
    <row r="2235" spans="1:9" x14ac:dyDescent="0.3">
      <c r="A2235" t="s">
        <v>2267</v>
      </c>
      <c r="B2235">
        <v>45980</v>
      </c>
      <c r="C2235" t="s">
        <v>36</v>
      </c>
      <c r="D2235" t="s">
        <v>11</v>
      </c>
      <c r="E2235" t="s">
        <v>37</v>
      </c>
      <c r="F2235" t="s">
        <v>23</v>
      </c>
      <c r="G2235" t="s">
        <v>14</v>
      </c>
      <c r="H2235">
        <v>67180</v>
      </c>
      <c r="I2235">
        <v>64400</v>
      </c>
    </row>
    <row r="2236" spans="1:9" x14ac:dyDescent="0.3">
      <c r="A2236" t="s">
        <v>2268</v>
      </c>
      <c r="B2236">
        <v>45980</v>
      </c>
      <c r="C2236" t="s">
        <v>25</v>
      </c>
      <c r="D2236" t="s">
        <v>11</v>
      </c>
      <c r="E2236" t="s">
        <v>22</v>
      </c>
      <c r="F2236" t="s">
        <v>33</v>
      </c>
      <c r="G2236" t="s">
        <v>19</v>
      </c>
      <c r="H2236">
        <v>82139</v>
      </c>
      <c r="I2236">
        <v>73300</v>
      </c>
    </row>
    <row r="2237" spans="1:9" x14ac:dyDescent="0.3">
      <c r="A2237" t="s">
        <v>2269</v>
      </c>
      <c r="B2237">
        <v>45980</v>
      </c>
      <c r="C2237" t="s">
        <v>55</v>
      </c>
      <c r="D2237" t="s">
        <v>11</v>
      </c>
      <c r="E2237" t="s">
        <v>37</v>
      </c>
      <c r="F2237" t="s">
        <v>39</v>
      </c>
      <c r="G2237" t="s">
        <v>19</v>
      </c>
      <c r="H2237">
        <v>93641</v>
      </c>
      <c r="I2237">
        <v>79300</v>
      </c>
    </row>
    <row r="2238" spans="1:9" x14ac:dyDescent="0.3">
      <c r="A2238" t="s">
        <v>2270</v>
      </c>
      <c r="B2238">
        <v>45980</v>
      </c>
      <c r="C2238" t="s">
        <v>55</v>
      </c>
      <c r="D2238" t="s">
        <v>11</v>
      </c>
      <c r="E2238" t="s">
        <v>37</v>
      </c>
      <c r="F2238" t="s">
        <v>46</v>
      </c>
      <c r="G2238" t="s">
        <v>19</v>
      </c>
      <c r="H2238">
        <v>41841</v>
      </c>
      <c r="I2238">
        <v>45600</v>
      </c>
    </row>
    <row r="2239" spans="1:9" x14ac:dyDescent="0.3">
      <c r="A2239" t="s">
        <v>2271</v>
      </c>
      <c r="B2239">
        <v>45980</v>
      </c>
      <c r="C2239" t="s">
        <v>55</v>
      </c>
      <c r="D2239" t="s">
        <v>11</v>
      </c>
      <c r="E2239" t="s">
        <v>37</v>
      </c>
      <c r="F2239" t="s">
        <v>26</v>
      </c>
      <c r="G2239" t="s">
        <v>14</v>
      </c>
      <c r="H2239">
        <v>128195</v>
      </c>
      <c r="I2239">
        <v>136300</v>
      </c>
    </row>
    <row r="2240" spans="1:9" x14ac:dyDescent="0.3">
      <c r="A2240" t="s">
        <v>2272</v>
      </c>
      <c r="B2240">
        <v>45981</v>
      </c>
      <c r="C2240" t="s">
        <v>62</v>
      </c>
      <c r="D2240" t="s">
        <v>11</v>
      </c>
      <c r="E2240" t="s">
        <v>22</v>
      </c>
      <c r="F2240" t="s">
        <v>26</v>
      </c>
      <c r="G2240" t="s">
        <v>14</v>
      </c>
      <c r="H2240">
        <v>95680</v>
      </c>
      <c r="I2240">
        <v>104800</v>
      </c>
    </row>
    <row r="2241" spans="1:9" x14ac:dyDescent="0.3">
      <c r="A2241" t="s">
        <v>2273</v>
      </c>
      <c r="B2241">
        <v>45981</v>
      </c>
      <c r="C2241" t="s">
        <v>36</v>
      </c>
      <c r="D2241" t="s">
        <v>11</v>
      </c>
      <c r="E2241" t="s">
        <v>37</v>
      </c>
      <c r="F2241" t="s">
        <v>26</v>
      </c>
      <c r="G2241" t="s">
        <v>14</v>
      </c>
      <c r="H2241">
        <v>51829</v>
      </c>
      <c r="I2241">
        <v>55600</v>
      </c>
    </row>
    <row r="2242" spans="1:9" x14ac:dyDescent="0.3">
      <c r="A2242" t="s">
        <v>2274</v>
      </c>
      <c r="B2242">
        <v>45981</v>
      </c>
      <c r="C2242" t="s">
        <v>21</v>
      </c>
      <c r="D2242" t="s">
        <v>11</v>
      </c>
      <c r="E2242" t="s">
        <v>22</v>
      </c>
      <c r="F2242" t="s">
        <v>33</v>
      </c>
      <c r="G2242" t="s">
        <v>19</v>
      </c>
      <c r="H2242">
        <v>94982</v>
      </c>
      <c r="I2242">
        <v>97300</v>
      </c>
    </row>
    <row r="2243" spans="1:9" x14ac:dyDescent="0.3">
      <c r="A2243" t="s">
        <v>2275</v>
      </c>
      <c r="B2243">
        <v>45981</v>
      </c>
      <c r="C2243" t="s">
        <v>21</v>
      </c>
      <c r="D2243" t="s">
        <v>11</v>
      </c>
      <c r="E2243" t="s">
        <v>22</v>
      </c>
      <c r="F2243" t="s">
        <v>39</v>
      </c>
      <c r="G2243" t="s">
        <v>19</v>
      </c>
      <c r="H2243">
        <v>44652</v>
      </c>
      <c r="I2243">
        <v>40900</v>
      </c>
    </row>
    <row r="2244" spans="1:9" x14ac:dyDescent="0.3">
      <c r="A2244" t="s">
        <v>2276</v>
      </c>
      <c r="B2244">
        <v>45981</v>
      </c>
      <c r="C2244" t="s">
        <v>25</v>
      </c>
      <c r="D2244" t="s">
        <v>11</v>
      </c>
      <c r="E2244" t="s">
        <v>22</v>
      </c>
      <c r="F2244" t="s">
        <v>37</v>
      </c>
      <c r="G2244" t="s">
        <v>14</v>
      </c>
      <c r="H2244">
        <v>172235</v>
      </c>
      <c r="I2244">
        <v>154500</v>
      </c>
    </row>
    <row r="2245" spans="1:9" x14ac:dyDescent="0.3">
      <c r="A2245" t="s">
        <v>2277</v>
      </c>
      <c r="B2245">
        <v>45981</v>
      </c>
      <c r="C2245" t="s">
        <v>31</v>
      </c>
      <c r="D2245" t="s">
        <v>11</v>
      </c>
      <c r="E2245" t="s">
        <v>17</v>
      </c>
      <c r="F2245" t="s">
        <v>23</v>
      </c>
      <c r="G2245" t="s">
        <v>14</v>
      </c>
      <c r="H2245">
        <v>44837</v>
      </c>
      <c r="I2245">
        <v>38500</v>
      </c>
    </row>
    <row r="2246" spans="1:9" x14ac:dyDescent="0.3">
      <c r="A2246" t="s">
        <v>2278</v>
      </c>
      <c r="B2246">
        <v>45981</v>
      </c>
      <c r="C2246" t="s">
        <v>55</v>
      </c>
      <c r="D2246" t="s">
        <v>11</v>
      </c>
      <c r="E2246" t="s">
        <v>37</v>
      </c>
      <c r="F2246" t="s">
        <v>23</v>
      </c>
      <c r="G2246" t="s">
        <v>14</v>
      </c>
      <c r="H2246">
        <v>228287</v>
      </c>
      <c r="I2246">
        <v>214900</v>
      </c>
    </row>
    <row r="2247" spans="1:9" x14ac:dyDescent="0.3">
      <c r="A2247" t="s">
        <v>2279</v>
      </c>
      <c r="B2247">
        <v>45981</v>
      </c>
      <c r="C2247" t="s">
        <v>55</v>
      </c>
      <c r="D2247" t="s">
        <v>11</v>
      </c>
      <c r="E2247" t="s">
        <v>37</v>
      </c>
      <c r="F2247" t="s">
        <v>37</v>
      </c>
      <c r="G2247" t="s">
        <v>14</v>
      </c>
      <c r="H2247">
        <v>113476</v>
      </c>
      <c r="I2247">
        <v>101900</v>
      </c>
    </row>
    <row r="2248" spans="1:9" x14ac:dyDescent="0.3">
      <c r="A2248" t="s">
        <v>2280</v>
      </c>
      <c r="B2248">
        <v>45982</v>
      </c>
      <c r="C2248" t="s">
        <v>62</v>
      </c>
      <c r="D2248" t="s">
        <v>11</v>
      </c>
      <c r="E2248" t="s">
        <v>22</v>
      </c>
      <c r="F2248" t="s">
        <v>18</v>
      </c>
      <c r="G2248" t="s">
        <v>19</v>
      </c>
      <c r="H2248">
        <v>88336</v>
      </c>
      <c r="I2248">
        <v>97600</v>
      </c>
    </row>
    <row r="2249" spans="1:9" x14ac:dyDescent="0.3">
      <c r="A2249" t="s">
        <v>2281</v>
      </c>
      <c r="B2249">
        <v>45982</v>
      </c>
      <c r="C2249" t="s">
        <v>62</v>
      </c>
      <c r="D2249" t="s">
        <v>11</v>
      </c>
      <c r="E2249" t="s">
        <v>22</v>
      </c>
      <c r="F2249" t="s">
        <v>59</v>
      </c>
      <c r="G2249" t="s">
        <v>14</v>
      </c>
      <c r="H2249">
        <v>138847</v>
      </c>
      <c r="I2249">
        <v>154500</v>
      </c>
    </row>
    <row r="2250" spans="1:9" x14ac:dyDescent="0.3">
      <c r="A2250" t="s">
        <v>2282</v>
      </c>
      <c r="B2250">
        <v>45982</v>
      </c>
      <c r="C2250" t="s">
        <v>16</v>
      </c>
      <c r="D2250" t="s">
        <v>11</v>
      </c>
      <c r="E2250" t="s">
        <v>17</v>
      </c>
      <c r="F2250" t="s">
        <v>39</v>
      </c>
      <c r="G2250" t="s">
        <v>19</v>
      </c>
      <c r="H2250">
        <v>119150</v>
      </c>
      <c r="I2250">
        <v>99100</v>
      </c>
    </row>
    <row r="2251" spans="1:9" x14ac:dyDescent="0.3">
      <c r="A2251" t="s">
        <v>2283</v>
      </c>
      <c r="B2251">
        <v>45982</v>
      </c>
      <c r="C2251" t="s">
        <v>16</v>
      </c>
      <c r="D2251" t="s">
        <v>11</v>
      </c>
      <c r="E2251" t="s">
        <v>17</v>
      </c>
      <c r="F2251" t="s">
        <v>12</v>
      </c>
      <c r="G2251" t="s">
        <v>14</v>
      </c>
      <c r="H2251">
        <v>224560</v>
      </c>
      <c r="I2251">
        <v>234400</v>
      </c>
    </row>
    <row r="2252" spans="1:9" x14ac:dyDescent="0.3">
      <c r="A2252" t="s">
        <v>2284</v>
      </c>
      <c r="B2252">
        <v>45982</v>
      </c>
      <c r="C2252" t="s">
        <v>16</v>
      </c>
      <c r="D2252" t="s">
        <v>11</v>
      </c>
      <c r="E2252" t="s">
        <v>17</v>
      </c>
      <c r="F2252" t="s">
        <v>26</v>
      </c>
      <c r="G2252" t="s">
        <v>14</v>
      </c>
      <c r="H2252">
        <v>63985</v>
      </c>
      <c r="I2252">
        <v>60000</v>
      </c>
    </row>
    <row r="2253" spans="1:9" x14ac:dyDescent="0.3">
      <c r="A2253" t="s">
        <v>2285</v>
      </c>
      <c r="B2253">
        <v>45982</v>
      </c>
      <c r="C2253" t="s">
        <v>25</v>
      </c>
      <c r="D2253" t="s">
        <v>11</v>
      </c>
      <c r="E2253" t="s">
        <v>22</v>
      </c>
      <c r="F2253" t="s">
        <v>56</v>
      </c>
      <c r="G2253" t="s">
        <v>19</v>
      </c>
      <c r="H2253">
        <v>53664</v>
      </c>
      <c r="I2253">
        <v>58600</v>
      </c>
    </row>
    <row r="2254" spans="1:9" x14ac:dyDescent="0.3">
      <c r="A2254" t="s">
        <v>2286</v>
      </c>
      <c r="B2254">
        <v>45982</v>
      </c>
      <c r="C2254" t="s">
        <v>25</v>
      </c>
      <c r="D2254" t="s">
        <v>11</v>
      </c>
      <c r="E2254" t="s">
        <v>22</v>
      </c>
      <c r="F2254" t="s">
        <v>37</v>
      </c>
      <c r="G2254" t="s">
        <v>14</v>
      </c>
      <c r="H2254">
        <v>66092</v>
      </c>
      <c r="I2254">
        <v>75800</v>
      </c>
    </row>
    <row r="2255" spans="1:9" x14ac:dyDescent="0.3">
      <c r="A2255" t="s">
        <v>2287</v>
      </c>
      <c r="B2255">
        <v>45982</v>
      </c>
      <c r="C2255" t="s">
        <v>25</v>
      </c>
      <c r="D2255" t="s">
        <v>11</v>
      </c>
      <c r="E2255" t="s">
        <v>22</v>
      </c>
      <c r="F2255" t="s">
        <v>26</v>
      </c>
      <c r="G2255" t="s">
        <v>14</v>
      </c>
      <c r="H2255">
        <v>40706</v>
      </c>
      <c r="I2255">
        <v>43200</v>
      </c>
    </row>
    <row r="2256" spans="1:9" x14ac:dyDescent="0.3">
      <c r="A2256" t="s">
        <v>2288</v>
      </c>
      <c r="B2256">
        <v>45982</v>
      </c>
      <c r="C2256" t="s">
        <v>25</v>
      </c>
      <c r="D2256" t="s">
        <v>11</v>
      </c>
      <c r="E2256" t="s">
        <v>22</v>
      </c>
      <c r="F2256" t="s">
        <v>26</v>
      </c>
      <c r="G2256" t="s">
        <v>14</v>
      </c>
      <c r="H2256">
        <v>173113</v>
      </c>
      <c r="I2256">
        <v>155400</v>
      </c>
    </row>
    <row r="2257" spans="1:9" x14ac:dyDescent="0.3">
      <c r="A2257" t="s">
        <v>2289</v>
      </c>
      <c r="B2257">
        <v>45982</v>
      </c>
      <c r="C2257" t="s">
        <v>31</v>
      </c>
      <c r="D2257" t="s">
        <v>11</v>
      </c>
      <c r="E2257" t="s">
        <v>17</v>
      </c>
      <c r="F2257" t="s">
        <v>56</v>
      </c>
      <c r="G2257" t="s">
        <v>19</v>
      </c>
      <c r="H2257">
        <v>89729</v>
      </c>
      <c r="I2257">
        <v>80000</v>
      </c>
    </row>
    <row r="2258" spans="1:9" x14ac:dyDescent="0.3">
      <c r="A2258" t="s">
        <v>2290</v>
      </c>
      <c r="B2258">
        <v>45983</v>
      </c>
      <c r="C2258" t="s">
        <v>62</v>
      </c>
      <c r="D2258" t="s">
        <v>11</v>
      </c>
      <c r="E2258" t="s">
        <v>22</v>
      </c>
      <c r="F2258" t="s">
        <v>59</v>
      </c>
      <c r="G2258" t="s">
        <v>14</v>
      </c>
      <c r="H2258">
        <v>228789</v>
      </c>
      <c r="I2258">
        <v>215200</v>
      </c>
    </row>
    <row r="2259" spans="1:9" x14ac:dyDescent="0.3">
      <c r="A2259" t="s">
        <v>2291</v>
      </c>
      <c r="B2259">
        <v>45983</v>
      </c>
      <c r="C2259" t="s">
        <v>10</v>
      </c>
      <c r="D2259" t="s">
        <v>11</v>
      </c>
      <c r="E2259" t="s">
        <v>12</v>
      </c>
      <c r="F2259" t="s">
        <v>33</v>
      </c>
      <c r="G2259" t="s">
        <v>19</v>
      </c>
      <c r="H2259">
        <v>119048</v>
      </c>
      <c r="I2259">
        <v>118600</v>
      </c>
    </row>
    <row r="2260" spans="1:9" x14ac:dyDescent="0.3">
      <c r="A2260" t="s">
        <v>2292</v>
      </c>
      <c r="B2260">
        <v>45983</v>
      </c>
      <c r="C2260" t="s">
        <v>10</v>
      </c>
      <c r="D2260" t="s">
        <v>11</v>
      </c>
      <c r="E2260" t="s">
        <v>12</v>
      </c>
      <c r="F2260" t="s">
        <v>23</v>
      </c>
      <c r="G2260" t="s">
        <v>14</v>
      </c>
      <c r="H2260">
        <v>27178</v>
      </c>
      <c r="I2260">
        <v>23600</v>
      </c>
    </row>
    <row r="2261" spans="1:9" x14ac:dyDescent="0.3">
      <c r="A2261" t="s">
        <v>2293</v>
      </c>
      <c r="B2261">
        <v>45983</v>
      </c>
      <c r="C2261" t="s">
        <v>21</v>
      </c>
      <c r="D2261" t="s">
        <v>11</v>
      </c>
      <c r="E2261" t="s">
        <v>22</v>
      </c>
      <c r="F2261" t="s">
        <v>33</v>
      </c>
      <c r="G2261" t="s">
        <v>19</v>
      </c>
      <c r="H2261">
        <v>28420</v>
      </c>
      <c r="I2261">
        <v>25500</v>
      </c>
    </row>
    <row r="2262" spans="1:9" x14ac:dyDescent="0.3">
      <c r="A2262" t="s">
        <v>2294</v>
      </c>
      <c r="B2262">
        <v>45983</v>
      </c>
      <c r="C2262" t="s">
        <v>31</v>
      </c>
      <c r="D2262" t="s">
        <v>11</v>
      </c>
      <c r="E2262" t="s">
        <v>17</v>
      </c>
      <c r="F2262" t="s">
        <v>33</v>
      </c>
      <c r="G2262" t="s">
        <v>19</v>
      </c>
      <c r="H2262">
        <v>31543</v>
      </c>
      <c r="I2262">
        <v>34500</v>
      </c>
    </row>
    <row r="2263" spans="1:9" x14ac:dyDescent="0.3">
      <c r="A2263" t="s">
        <v>2295</v>
      </c>
      <c r="B2263">
        <v>45983</v>
      </c>
      <c r="C2263" t="s">
        <v>55</v>
      </c>
      <c r="D2263" t="s">
        <v>11</v>
      </c>
      <c r="E2263" t="s">
        <v>37</v>
      </c>
      <c r="F2263" t="s">
        <v>37</v>
      </c>
      <c r="G2263" t="s">
        <v>14</v>
      </c>
      <c r="H2263">
        <v>119935</v>
      </c>
      <c r="I2263">
        <v>121700</v>
      </c>
    </row>
    <row r="2264" spans="1:9" x14ac:dyDescent="0.3">
      <c r="A2264" t="s">
        <v>2296</v>
      </c>
      <c r="B2264">
        <v>45984</v>
      </c>
      <c r="C2264" t="s">
        <v>10</v>
      </c>
      <c r="D2264" t="s">
        <v>11</v>
      </c>
      <c r="E2264" t="s">
        <v>12</v>
      </c>
      <c r="F2264" t="s">
        <v>26</v>
      </c>
      <c r="G2264" t="s">
        <v>14</v>
      </c>
      <c r="H2264">
        <v>189180</v>
      </c>
      <c r="I2264">
        <v>165800</v>
      </c>
    </row>
    <row r="2265" spans="1:9" x14ac:dyDescent="0.3">
      <c r="A2265" t="s">
        <v>2297</v>
      </c>
      <c r="B2265">
        <v>45984</v>
      </c>
      <c r="C2265" t="s">
        <v>25</v>
      </c>
      <c r="D2265" t="s">
        <v>11</v>
      </c>
      <c r="E2265" t="s">
        <v>22</v>
      </c>
      <c r="F2265" t="s">
        <v>33</v>
      </c>
      <c r="G2265" t="s">
        <v>19</v>
      </c>
      <c r="H2265">
        <v>95334</v>
      </c>
      <c r="I2265">
        <v>83800</v>
      </c>
    </row>
    <row r="2266" spans="1:9" x14ac:dyDescent="0.3">
      <c r="A2266" t="s">
        <v>2298</v>
      </c>
      <c r="B2266">
        <v>45985</v>
      </c>
      <c r="C2266" t="s">
        <v>62</v>
      </c>
      <c r="D2266" t="s">
        <v>11</v>
      </c>
      <c r="E2266" t="s">
        <v>22</v>
      </c>
      <c r="F2266" t="s">
        <v>33</v>
      </c>
      <c r="G2266" t="s">
        <v>19</v>
      </c>
      <c r="H2266">
        <v>87016</v>
      </c>
      <c r="I2266">
        <v>100000</v>
      </c>
    </row>
    <row r="2267" spans="1:9" x14ac:dyDescent="0.3">
      <c r="A2267" t="s">
        <v>2299</v>
      </c>
      <c r="B2267">
        <v>45985</v>
      </c>
      <c r="C2267" t="s">
        <v>10</v>
      </c>
      <c r="D2267" t="s">
        <v>11</v>
      </c>
      <c r="E2267" t="s">
        <v>12</v>
      </c>
      <c r="F2267" t="s">
        <v>23</v>
      </c>
      <c r="G2267" t="s">
        <v>14</v>
      </c>
      <c r="H2267">
        <v>38306</v>
      </c>
      <c r="I2267">
        <v>36400</v>
      </c>
    </row>
    <row r="2268" spans="1:9" x14ac:dyDescent="0.3">
      <c r="A2268" t="s">
        <v>2300</v>
      </c>
      <c r="B2268">
        <v>45985</v>
      </c>
      <c r="C2268" t="s">
        <v>16</v>
      </c>
      <c r="D2268" t="s">
        <v>11</v>
      </c>
      <c r="E2268" t="s">
        <v>17</v>
      </c>
      <c r="F2268" t="s">
        <v>37</v>
      </c>
      <c r="G2268" t="s">
        <v>14</v>
      </c>
      <c r="H2268">
        <v>152845</v>
      </c>
      <c r="I2268">
        <v>151500</v>
      </c>
    </row>
    <row r="2269" spans="1:9" x14ac:dyDescent="0.3">
      <c r="A2269" t="s">
        <v>2301</v>
      </c>
      <c r="B2269">
        <v>45986</v>
      </c>
      <c r="C2269" t="s">
        <v>62</v>
      </c>
      <c r="D2269" t="s">
        <v>11</v>
      </c>
      <c r="E2269" t="s">
        <v>22</v>
      </c>
      <c r="F2269" t="s">
        <v>56</v>
      </c>
      <c r="G2269" t="s">
        <v>19</v>
      </c>
      <c r="H2269">
        <v>111278</v>
      </c>
      <c r="I2269">
        <v>109100</v>
      </c>
    </row>
    <row r="2270" spans="1:9" x14ac:dyDescent="0.3">
      <c r="A2270" t="s">
        <v>2302</v>
      </c>
      <c r="B2270">
        <v>45986</v>
      </c>
      <c r="C2270" t="s">
        <v>16</v>
      </c>
      <c r="D2270" t="s">
        <v>11</v>
      </c>
      <c r="E2270" t="s">
        <v>17</v>
      </c>
      <c r="F2270" t="s">
        <v>33</v>
      </c>
      <c r="G2270" t="s">
        <v>19</v>
      </c>
      <c r="H2270">
        <v>60843</v>
      </c>
      <c r="I2270">
        <v>66500</v>
      </c>
    </row>
    <row r="2271" spans="1:9" x14ac:dyDescent="0.3">
      <c r="A2271" t="s">
        <v>2303</v>
      </c>
      <c r="B2271">
        <v>45986</v>
      </c>
      <c r="C2271" t="s">
        <v>25</v>
      </c>
      <c r="D2271" t="s">
        <v>11</v>
      </c>
      <c r="E2271" t="s">
        <v>22</v>
      </c>
      <c r="F2271" t="s">
        <v>59</v>
      </c>
      <c r="G2271" t="s">
        <v>14</v>
      </c>
      <c r="H2271">
        <v>247053</v>
      </c>
      <c r="I2271">
        <v>269600</v>
      </c>
    </row>
    <row r="2272" spans="1:9" x14ac:dyDescent="0.3">
      <c r="A2272" t="s">
        <v>2304</v>
      </c>
      <c r="B2272">
        <v>45986</v>
      </c>
      <c r="C2272" t="s">
        <v>31</v>
      </c>
      <c r="D2272" t="s">
        <v>11</v>
      </c>
      <c r="E2272" t="s">
        <v>17</v>
      </c>
      <c r="F2272" t="s">
        <v>59</v>
      </c>
      <c r="G2272" t="s">
        <v>14</v>
      </c>
      <c r="H2272">
        <v>156567</v>
      </c>
      <c r="I2272">
        <v>164800</v>
      </c>
    </row>
    <row r="2273" spans="1:9" x14ac:dyDescent="0.3">
      <c r="A2273" t="s">
        <v>2305</v>
      </c>
      <c r="B2273">
        <v>45986</v>
      </c>
      <c r="C2273" t="s">
        <v>55</v>
      </c>
      <c r="D2273" t="s">
        <v>11</v>
      </c>
      <c r="E2273" t="s">
        <v>37</v>
      </c>
      <c r="F2273" t="s">
        <v>42</v>
      </c>
      <c r="G2273" t="s">
        <v>19</v>
      </c>
      <c r="H2273">
        <v>96563</v>
      </c>
      <c r="I2273">
        <v>106900</v>
      </c>
    </row>
    <row r="2274" spans="1:9" x14ac:dyDescent="0.3">
      <c r="A2274" t="s">
        <v>2306</v>
      </c>
      <c r="B2274">
        <v>45986</v>
      </c>
      <c r="C2274" t="s">
        <v>55</v>
      </c>
      <c r="D2274" t="s">
        <v>11</v>
      </c>
      <c r="E2274" t="s">
        <v>37</v>
      </c>
      <c r="F2274" t="s">
        <v>56</v>
      </c>
      <c r="G2274" t="s">
        <v>19</v>
      </c>
      <c r="H2274">
        <v>109506</v>
      </c>
      <c r="I2274">
        <v>118300</v>
      </c>
    </row>
    <row r="2275" spans="1:9" x14ac:dyDescent="0.3">
      <c r="A2275" t="s">
        <v>2307</v>
      </c>
      <c r="B2275">
        <v>45987</v>
      </c>
      <c r="C2275" t="s">
        <v>10</v>
      </c>
      <c r="D2275" t="s">
        <v>11</v>
      </c>
      <c r="E2275" t="s">
        <v>12</v>
      </c>
      <c r="F2275" t="s">
        <v>18</v>
      </c>
      <c r="G2275" t="s">
        <v>19</v>
      </c>
      <c r="H2275">
        <v>56053</v>
      </c>
      <c r="I2275">
        <v>51300</v>
      </c>
    </row>
    <row r="2276" spans="1:9" x14ac:dyDescent="0.3">
      <c r="A2276" t="s">
        <v>2308</v>
      </c>
      <c r="B2276">
        <v>45987</v>
      </c>
      <c r="C2276" t="s">
        <v>10</v>
      </c>
      <c r="D2276" t="s">
        <v>11</v>
      </c>
      <c r="E2276" t="s">
        <v>12</v>
      </c>
      <c r="F2276" t="s">
        <v>26</v>
      </c>
      <c r="G2276" t="s">
        <v>14</v>
      </c>
      <c r="H2276">
        <v>215025</v>
      </c>
      <c r="I2276">
        <v>162600</v>
      </c>
    </row>
    <row r="2277" spans="1:9" x14ac:dyDescent="0.3">
      <c r="A2277" t="s">
        <v>2309</v>
      </c>
      <c r="B2277">
        <v>45987</v>
      </c>
      <c r="C2277" t="s">
        <v>36</v>
      </c>
      <c r="D2277" t="s">
        <v>11</v>
      </c>
      <c r="E2277" t="s">
        <v>37</v>
      </c>
      <c r="F2277" t="s">
        <v>56</v>
      </c>
      <c r="G2277" t="s">
        <v>19</v>
      </c>
      <c r="H2277">
        <v>97032</v>
      </c>
      <c r="I2277">
        <v>92300</v>
      </c>
    </row>
    <row r="2278" spans="1:9" x14ac:dyDescent="0.3">
      <c r="A2278" t="s">
        <v>2310</v>
      </c>
      <c r="B2278">
        <v>45987</v>
      </c>
      <c r="C2278" t="s">
        <v>36</v>
      </c>
      <c r="D2278" t="s">
        <v>11</v>
      </c>
      <c r="E2278" t="s">
        <v>37</v>
      </c>
      <c r="F2278" t="s">
        <v>26</v>
      </c>
      <c r="G2278" t="s">
        <v>14</v>
      </c>
      <c r="H2278">
        <v>27686</v>
      </c>
      <c r="I2278">
        <v>27400</v>
      </c>
    </row>
    <row r="2279" spans="1:9" x14ac:dyDescent="0.3">
      <c r="A2279" t="s">
        <v>2311</v>
      </c>
      <c r="B2279">
        <v>45987</v>
      </c>
      <c r="C2279" t="s">
        <v>21</v>
      </c>
      <c r="D2279" t="s">
        <v>11</v>
      </c>
      <c r="E2279" t="s">
        <v>22</v>
      </c>
      <c r="F2279" t="s">
        <v>56</v>
      </c>
      <c r="G2279" t="s">
        <v>19</v>
      </c>
      <c r="H2279">
        <v>95299</v>
      </c>
      <c r="I2279">
        <v>92900</v>
      </c>
    </row>
    <row r="2280" spans="1:9" x14ac:dyDescent="0.3">
      <c r="A2280" t="s">
        <v>2312</v>
      </c>
      <c r="B2280">
        <v>45987</v>
      </c>
      <c r="C2280" t="s">
        <v>21</v>
      </c>
      <c r="D2280" t="s">
        <v>11</v>
      </c>
      <c r="E2280" t="s">
        <v>22</v>
      </c>
      <c r="F2280" t="s">
        <v>33</v>
      </c>
      <c r="G2280" t="s">
        <v>19</v>
      </c>
      <c r="H2280">
        <v>115674</v>
      </c>
      <c r="I2280">
        <v>106700</v>
      </c>
    </row>
    <row r="2281" spans="1:9" x14ac:dyDescent="0.3">
      <c r="A2281" t="s">
        <v>2313</v>
      </c>
      <c r="B2281">
        <v>45987</v>
      </c>
      <c r="C2281" t="s">
        <v>21</v>
      </c>
      <c r="D2281" t="s">
        <v>11</v>
      </c>
      <c r="E2281" t="s">
        <v>22</v>
      </c>
      <c r="F2281" t="s">
        <v>12</v>
      </c>
      <c r="G2281" t="s">
        <v>14</v>
      </c>
      <c r="H2281">
        <v>243664</v>
      </c>
      <c r="I2281">
        <v>270700</v>
      </c>
    </row>
    <row r="2282" spans="1:9" x14ac:dyDescent="0.3">
      <c r="A2282" t="s">
        <v>2314</v>
      </c>
      <c r="B2282">
        <v>45987</v>
      </c>
      <c r="C2282" t="s">
        <v>55</v>
      </c>
      <c r="D2282" t="s">
        <v>11</v>
      </c>
      <c r="E2282" t="s">
        <v>37</v>
      </c>
      <c r="F2282" t="s">
        <v>23</v>
      </c>
      <c r="G2282" t="s">
        <v>14</v>
      </c>
      <c r="H2282">
        <v>225841</v>
      </c>
      <c r="I2282">
        <v>253000</v>
      </c>
    </row>
    <row r="2283" spans="1:9" x14ac:dyDescent="0.3">
      <c r="A2283" t="s">
        <v>2315</v>
      </c>
      <c r="B2283">
        <v>45988</v>
      </c>
      <c r="C2283" t="s">
        <v>25</v>
      </c>
      <c r="D2283" t="s">
        <v>11</v>
      </c>
      <c r="E2283" t="s">
        <v>22</v>
      </c>
      <c r="F2283" t="s">
        <v>56</v>
      </c>
      <c r="G2283" t="s">
        <v>19</v>
      </c>
      <c r="H2283">
        <v>64778</v>
      </c>
      <c r="I2283">
        <v>67100</v>
      </c>
    </row>
    <row r="2284" spans="1:9" x14ac:dyDescent="0.3">
      <c r="A2284" t="s">
        <v>2316</v>
      </c>
      <c r="B2284">
        <v>45988</v>
      </c>
      <c r="C2284" t="s">
        <v>25</v>
      </c>
      <c r="D2284" t="s">
        <v>11</v>
      </c>
      <c r="E2284" t="s">
        <v>22</v>
      </c>
      <c r="F2284" t="s">
        <v>59</v>
      </c>
      <c r="G2284" t="s">
        <v>14</v>
      </c>
      <c r="H2284">
        <v>156304</v>
      </c>
      <c r="I2284">
        <v>184200</v>
      </c>
    </row>
    <row r="2285" spans="1:9" x14ac:dyDescent="0.3">
      <c r="A2285" t="s">
        <v>2317</v>
      </c>
      <c r="B2285">
        <v>45988</v>
      </c>
      <c r="C2285" t="s">
        <v>31</v>
      </c>
      <c r="D2285" t="s">
        <v>11</v>
      </c>
      <c r="E2285" t="s">
        <v>17</v>
      </c>
      <c r="F2285" t="s">
        <v>37</v>
      </c>
      <c r="G2285" t="s">
        <v>14</v>
      </c>
      <c r="H2285">
        <v>220097</v>
      </c>
      <c r="I2285">
        <v>242000</v>
      </c>
    </row>
    <row r="2286" spans="1:9" x14ac:dyDescent="0.3">
      <c r="A2286" t="s">
        <v>2318</v>
      </c>
      <c r="B2286">
        <v>45989</v>
      </c>
      <c r="C2286" t="s">
        <v>62</v>
      </c>
      <c r="D2286" t="s">
        <v>11</v>
      </c>
      <c r="E2286" t="s">
        <v>22</v>
      </c>
      <c r="F2286" t="s">
        <v>13</v>
      </c>
      <c r="G2286" t="s">
        <v>14</v>
      </c>
      <c r="H2286">
        <v>97786</v>
      </c>
      <c r="I2286">
        <v>112200</v>
      </c>
    </row>
    <row r="2287" spans="1:9" x14ac:dyDescent="0.3">
      <c r="A2287" t="s">
        <v>2319</v>
      </c>
      <c r="B2287">
        <v>45989</v>
      </c>
      <c r="C2287" t="s">
        <v>16</v>
      </c>
      <c r="D2287" t="s">
        <v>11</v>
      </c>
      <c r="E2287" t="s">
        <v>17</v>
      </c>
      <c r="F2287" t="s">
        <v>18</v>
      </c>
      <c r="G2287" t="s">
        <v>19</v>
      </c>
      <c r="H2287">
        <v>69349</v>
      </c>
      <c r="I2287">
        <v>66500</v>
      </c>
    </row>
    <row r="2288" spans="1:9" x14ac:dyDescent="0.3">
      <c r="A2288" t="s">
        <v>2320</v>
      </c>
      <c r="B2288">
        <v>45989</v>
      </c>
      <c r="C2288" t="s">
        <v>36</v>
      </c>
      <c r="D2288" t="s">
        <v>11</v>
      </c>
      <c r="E2288" t="s">
        <v>37</v>
      </c>
      <c r="F2288" t="s">
        <v>13</v>
      </c>
      <c r="G2288" t="s">
        <v>14</v>
      </c>
      <c r="H2288">
        <v>189480</v>
      </c>
      <c r="I2288">
        <v>191100</v>
      </c>
    </row>
    <row r="2289" spans="1:9" x14ac:dyDescent="0.3">
      <c r="A2289" t="s">
        <v>2321</v>
      </c>
      <c r="B2289">
        <v>45989</v>
      </c>
      <c r="C2289" t="s">
        <v>21</v>
      </c>
      <c r="D2289" t="s">
        <v>11</v>
      </c>
      <c r="E2289" t="s">
        <v>22</v>
      </c>
      <c r="F2289" t="s">
        <v>26</v>
      </c>
      <c r="G2289" t="s">
        <v>14</v>
      </c>
      <c r="H2289">
        <v>87690</v>
      </c>
      <c r="I2289">
        <v>65000</v>
      </c>
    </row>
    <row r="2290" spans="1:9" x14ac:dyDescent="0.3">
      <c r="A2290" t="s">
        <v>2322</v>
      </c>
      <c r="B2290">
        <v>45989</v>
      </c>
      <c r="C2290" t="s">
        <v>25</v>
      </c>
      <c r="D2290" t="s">
        <v>11</v>
      </c>
      <c r="E2290" t="s">
        <v>22</v>
      </c>
      <c r="F2290" t="s">
        <v>12</v>
      </c>
      <c r="G2290" t="s">
        <v>14</v>
      </c>
      <c r="H2290">
        <v>212718</v>
      </c>
      <c r="I2290">
        <v>177700</v>
      </c>
    </row>
    <row r="2291" spans="1:9" x14ac:dyDescent="0.3">
      <c r="A2291" t="s">
        <v>2323</v>
      </c>
      <c r="B2291">
        <v>45989</v>
      </c>
      <c r="C2291" t="s">
        <v>31</v>
      </c>
      <c r="D2291" t="s">
        <v>11</v>
      </c>
      <c r="E2291" t="s">
        <v>17</v>
      </c>
      <c r="F2291" t="s">
        <v>46</v>
      </c>
      <c r="G2291" t="s">
        <v>19</v>
      </c>
      <c r="H2291">
        <v>60524</v>
      </c>
      <c r="I2291">
        <v>50500</v>
      </c>
    </row>
    <row r="2292" spans="1:9" x14ac:dyDescent="0.3">
      <c r="A2292" t="s">
        <v>2324</v>
      </c>
      <c r="B2292">
        <v>45990</v>
      </c>
      <c r="C2292" t="s">
        <v>62</v>
      </c>
      <c r="D2292" t="s">
        <v>11</v>
      </c>
      <c r="E2292" t="s">
        <v>22</v>
      </c>
      <c r="F2292" t="s">
        <v>13</v>
      </c>
      <c r="G2292" t="s">
        <v>14</v>
      </c>
      <c r="H2292">
        <v>219617</v>
      </c>
      <c r="I2292">
        <v>223600</v>
      </c>
    </row>
    <row r="2293" spans="1:9" x14ac:dyDescent="0.3">
      <c r="A2293" t="s">
        <v>2325</v>
      </c>
      <c r="B2293">
        <v>45990</v>
      </c>
      <c r="C2293" t="s">
        <v>10</v>
      </c>
      <c r="D2293" t="s">
        <v>11</v>
      </c>
      <c r="E2293" t="s">
        <v>12</v>
      </c>
      <c r="F2293" t="s">
        <v>23</v>
      </c>
      <c r="G2293" t="s">
        <v>14</v>
      </c>
      <c r="H2293">
        <v>71531</v>
      </c>
      <c r="I2293">
        <v>84000</v>
      </c>
    </row>
    <row r="2294" spans="1:9" x14ac:dyDescent="0.3">
      <c r="A2294" t="s">
        <v>2326</v>
      </c>
      <c r="B2294">
        <v>45990</v>
      </c>
      <c r="C2294" t="s">
        <v>25</v>
      </c>
      <c r="D2294" t="s">
        <v>11</v>
      </c>
      <c r="E2294" t="s">
        <v>22</v>
      </c>
      <c r="F2294" t="s">
        <v>23</v>
      </c>
      <c r="G2294" t="s">
        <v>14</v>
      </c>
      <c r="H2294">
        <v>67599</v>
      </c>
      <c r="I2294">
        <v>66400</v>
      </c>
    </row>
    <row r="2295" spans="1:9" x14ac:dyDescent="0.3">
      <c r="A2295" t="s">
        <v>2327</v>
      </c>
      <c r="B2295">
        <v>45990</v>
      </c>
      <c r="C2295" t="s">
        <v>31</v>
      </c>
      <c r="D2295" t="s">
        <v>11</v>
      </c>
      <c r="E2295" t="s">
        <v>17</v>
      </c>
      <c r="F2295" t="s">
        <v>56</v>
      </c>
      <c r="G2295" t="s">
        <v>19</v>
      </c>
      <c r="H2295">
        <v>16870</v>
      </c>
      <c r="I2295">
        <v>14800</v>
      </c>
    </row>
    <row r="2296" spans="1:9" x14ac:dyDescent="0.3">
      <c r="A2296" t="s">
        <v>2328</v>
      </c>
      <c r="B2296">
        <v>45990</v>
      </c>
      <c r="C2296" t="s">
        <v>55</v>
      </c>
      <c r="D2296" t="s">
        <v>11</v>
      </c>
      <c r="E2296" t="s">
        <v>37</v>
      </c>
      <c r="F2296" t="s">
        <v>59</v>
      </c>
      <c r="G2296" t="s">
        <v>14</v>
      </c>
      <c r="H2296">
        <v>88376</v>
      </c>
      <c r="I2296">
        <v>82400</v>
      </c>
    </row>
    <row r="2297" spans="1:9" x14ac:dyDescent="0.3">
      <c r="A2297" t="s">
        <v>2329</v>
      </c>
      <c r="B2297">
        <v>45991</v>
      </c>
      <c r="C2297" t="s">
        <v>62</v>
      </c>
      <c r="D2297" t="s">
        <v>11</v>
      </c>
      <c r="E2297" t="s">
        <v>22</v>
      </c>
      <c r="F2297" t="s">
        <v>56</v>
      </c>
      <c r="G2297" t="s">
        <v>19</v>
      </c>
      <c r="H2297">
        <v>109692</v>
      </c>
      <c r="I2297">
        <v>104500</v>
      </c>
    </row>
    <row r="2298" spans="1:9" x14ac:dyDescent="0.3">
      <c r="A2298" t="s">
        <v>2330</v>
      </c>
      <c r="B2298">
        <v>45991</v>
      </c>
      <c r="C2298" t="s">
        <v>62</v>
      </c>
      <c r="D2298" t="s">
        <v>11</v>
      </c>
      <c r="E2298" t="s">
        <v>22</v>
      </c>
      <c r="F2298" t="s">
        <v>23</v>
      </c>
      <c r="G2298" t="s">
        <v>14</v>
      </c>
      <c r="H2298">
        <v>38171</v>
      </c>
      <c r="I2298">
        <v>37200</v>
      </c>
    </row>
    <row r="2299" spans="1:9" x14ac:dyDescent="0.3">
      <c r="A2299" t="s">
        <v>2331</v>
      </c>
      <c r="B2299">
        <v>45991</v>
      </c>
      <c r="C2299" t="s">
        <v>62</v>
      </c>
      <c r="D2299" t="s">
        <v>11</v>
      </c>
      <c r="E2299" t="s">
        <v>22</v>
      </c>
      <c r="F2299" t="s">
        <v>13</v>
      </c>
      <c r="G2299" t="s">
        <v>14</v>
      </c>
      <c r="H2299">
        <v>110369</v>
      </c>
      <c r="I2299">
        <v>117500</v>
      </c>
    </row>
    <row r="2300" spans="1:9" x14ac:dyDescent="0.3">
      <c r="A2300" t="s">
        <v>2332</v>
      </c>
      <c r="B2300">
        <v>45991</v>
      </c>
      <c r="C2300" t="s">
        <v>10</v>
      </c>
      <c r="D2300" t="s">
        <v>11</v>
      </c>
      <c r="E2300" t="s">
        <v>12</v>
      </c>
      <c r="F2300" t="s">
        <v>37</v>
      </c>
      <c r="G2300" t="s">
        <v>14</v>
      </c>
      <c r="H2300">
        <v>229957</v>
      </c>
      <c r="I2300">
        <v>192600</v>
      </c>
    </row>
    <row r="2301" spans="1:9" x14ac:dyDescent="0.3">
      <c r="A2301" t="s">
        <v>2333</v>
      </c>
      <c r="B2301">
        <v>45991</v>
      </c>
      <c r="C2301" t="s">
        <v>10</v>
      </c>
      <c r="D2301" t="s">
        <v>11</v>
      </c>
      <c r="E2301" t="s">
        <v>12</v>
      </c>
      <c r="F2301" t="s">
        <v>23</v>
      </c>
      <c r="G2301" t="s">
        <v>14</v>
      </c>
      <c r="H2301">
        <v>238456</v>
      </c>
      <c r="I2301">
        <v>241900</v>
      </c>
    </row>
    <row r="2302" spans="1:9" x14ac:dyDescent="0.3">
      <c r="A2302" t="s">
        <v>2334</v>
      </c>
      <c r="B2302">
        <v>45991</v>
      </c>
      <c r="C2302" t="s">
        <v>16</v>
      </c>
      <c r="D2302" t="s">
        <v>11</v>
      </c>
      <c r="E2302" t="s">
        <v>17</v>
      </c>
      <c r="F2302" t="s">
        <v>26</v>
      </c>
      <c r="G2302" t="s">
        <v>14</v>
      </c>
      <c r="H2302">
        <v>33215</v>
      </c>
      <c r="I2302">
        <v>34500</v>
      </c>
    </row>
    <row r="2303" spans="1:9" x14ac:dyDescent="0.3">
      <c r="A2303" t="s">
        <v>2335</v>
      </c>
      <c r="B2303">
        <v>45991</v>
      </c>
      <c r="C2303" t="s">
        <v>36</v>
      </c>
      <c r="D2303" t="s">
        <v>11</v>
      </c>
      <c r="E2303" t="s">
        <v>37</v>
      </c>
      <c r="F2303" t="s">
        <v>37</v>
      </c>
      <c r="G2303" t="s">
        <v>14</v>
      </c>
      <c r="H2303">
        <v>34787</v>
      </c>
      <c r="I2303">
        <v>32200</v>
      </c>
    </row>
    <row r="2304" spans="1:9" x14ac:dyDescent="0.3">
      <c r="A2304" t="s">
        <v>2336</v>
      </c>
      <c r="B2304">
        <v>45991</v>
      </c>
      <c r="C2304" t="s">
        <v>21</v>
      </c>
      <c r="D2304" t="s">
        <v>11</v>
      </c>
      <c r="E2304" t="s">
        <v>22</v>
      </c>
      <c r="F2304" t="s">
        <v>46</v>
      </c>
      <c r="G2304" t="s">
        <v>19</v>
      </c>
      <c r="H2304">
        <v>96296</v>
      </c>
      <c r="I2304">
        <v>101000</v>
      </c>
    </row>
    <row r="2305" spans="1:9" x14ac:dyDescent="0.3">
      <c r="A2305" t="s">
        <v>2337</v>
      </c>
      <c r="B2305">
        <v>45991</v>
      </c>
      <c r="C2305" t="s">
        <v>21</v>
      </c>
      <c r="D2305" t="s">
        <v>11</v>
      </c>
      <c r="E2305" t="s">
        <v>22</v>
      </c>
      <c r="F2305" t="s">
        <v>12</v>
      </c>
      <c r="G2305" t="s">
        <v>14</v>
      </c>
      <c r="H2305">
        <v>224791</v>
      </c>
      <c r="I2305">
        <v>207200</v>
      </c>
    </row>
    <row r="2306" spans="1:9" x14ac:dyDescent="0.3">
      <c r="A2306" t="s">
        <v>2338</v>
      </c>
      <c r="B2306">
        <v>45991</v>
      </c>
      <c r="C2306" t="s">
        <v>25</v>
      </c>
      <c r="D2306" t="s">
        <v>11</v>
      </c>
      <c r="E2306" t="s">
        <v>22</v>
      </c>
      <c r="F2306" t="s">
        <v>39</v>
      </c>
      <c r="G2306" t="s">
        <v>19</v>
      </c>
      <c r="H2306">
        <v>113636</v>
      </c>
      <c r="I2306">
        <v>131400</v>
      </c>
    </row>
    <row r="2307" spans="1:9" x14ac:dyDescent="0.3">
      <c r="A2307" t="s">
        <v>2339</v>
      </c>
      <c r="B2307">
        <v>45991</v>
      </c>
      <c r="C2307" t="s">
        <v>25</v>
      </c>
      <c r="D2307" t="s">
        <v>11</v>
      </c>
      <c r="E2307" t="s">
        <v>22</v>
      </c>
      <c r="F2307" t="s">
        <v>37</v>
      </c>
      <c r="G2307" t="s">
        <v>14</v>
      </c>
      <c r="H2307">
        <v>201152</v>
      </c>
      <c r="I2307">
        <v>228600</v>
      </c>
    </row>
    <row r="2308" spans="1:9" x14ac:dyDescent="0.3">
      <c r="A2308" t="s">
        <v>2340</v>
      </c>
      <c r="B2308">
        <v>45991</v>
      </c>
      <c r="C2308" t="s">
        <v>55</v>
      </c>
      <c r="D2308" t="s">
        <v>11</v>
      </c>
      <c r="E2308" t="s">
        <v>37</v>
      </c>
      <c r="F2308" t="s">
        <v>33</v>
      </c>
      <c r="G2308" t="s">
        <v>19</v>
      </c>
      <c r="H2308">
        <v>39592</v>
      </c>
      <c r="I2308">
        <v>39700</v>
      </c>
    </row>
    <row r="2309" spans="1:9" x14ac:dyDescent="0.3">
      <c r="A2309" t="s">
        <v>2341</v>
      </c>
      <c r="B2309">
        <v>45991</v>
      </c>
      <c r="C2309" t="s">
        <v>55</v>
      </c>
      <c r="D2309" t="s">
        <v>11</v>
      </c>
      <c r="E2309" t="s">
        <v>37</v>
      </c>
      <c r="F2309" t="s">
        <v>26</v>
      </c>
      <c r="G2309" t="s">
        <v>14</v>
      </c>
      <c r="H2309">
        <v>100006</v>
      </c>
      <c r="I2309">
        <v>102100</v>
      </c>
    </row>
    <row r="2310" spans="1:9" x14ac:dyDescent="0.3">
      <c r="A2310" t="s">
        <v>2342</v>
      </c>
      <c r="B2310">
        <v>45992</v>
      </c>
      <c r="C2310" t="s">
        <v>62</v>
      </c>
      <c r="D2310" t="s">
        <v>11</v>
      </c>
      <c r="E2310" t="s">
        <v>22</v>
      </c>
      <c r="F2310" t="s">
        <v>23</v>
      </c>
      <c r="G2310" t="s">
        <v>14</v>
      </c>
      <c r="H2310">
        <v>83308</v>
      </c>
      <c r="I2310">
        <v>79900</v>
      </c>
    </row>
    <row r="2311" spans="1:9" x14ac:dyDescent="0.3">
      <c r="A2311" t="s">
        <v>2343</v>
      </c>
      <c r="B2311">
        <v>45992</v>
      </c>
      <c r="C2311" t="s">
        <v>21</v>
      </c>
      <c r="D2311" t="s">
        <v>11</v>
      </c>
      <c r="E2311" t="s">
        <v>22</v>
      </c>
      <c r="F2311" t="s">
        <v>37</v>
      </c>
      <c r="G2311" t="s">
        <v>14</v>
      </c>
      <c r="H2311">
        <v>164596</v>
      </c>
      <c r="I2311">
        <v>186700</v>
      </c>
    </row>
    <row r="2312" spans="1:9" x14ac:dyDescent="0.3">
      <c r="A2312" t="s">
        <v>2344</v>
      </c>
      <c r="B2312">
        <v>45992</v>
      </c>
      <c r="C2312" t="s">
        <v>25</v>
      </c>
      <c r="D2312" t="s">
        <v>11</v>
      </c>
      <c r="E2312" t="s">
        <v>22</v>
      </c>
      <c r="F2312" t="s">
        <v>33</v>
      </c>
      <c r="G2312" t="s">
        <v>19</v>
      </c>
      <c r="H2312">
        <v>102332</v>
      </c>
      <c r="I2312">
        <v>100100</v>
      </c>
    </row>
    <row r="2313" spans="1:9" x14ac:dyDescent="0.3">
      <c r="A2313" t="s">
        <v>2345</v>
      </c>
      <c r="B2313">
        <v>45992</v>
      </c>
      <c r="C2313" t="s">
        <v>25</v>
      </c>
      <c r="D2313" t="s">
        <v>11</v>
      </c>
      <c r="E2313" t="s">
        <v>22</v>
      </c>
      <c r="F2313" t="s">
        <v>33</v>
      </c>
      <c r="G2313" t="s">
        <v>19</v>
      </c>
      <c r="H2313">
        <v>103630</v>
      </c>
      <c r="I2313">
        <v>106800</v>
      </c>
    </row>
    <row r="2314" spans="1:9" x14ac:dyDescent="0.3">
      <c r="A2314" t="s">
        <v>2346</v>
      </c>
      <c r="B2314">
        <v>45992</v>
      </c>
      <c r="C2314" t="s">
        <v>25</v>
      </c>
      <c r="D2314" t="s">
        <v>11</v>
      </c>
      <c r="E2314" t="s">
        <v>22</v>
      </c>
      <c r="F2314" t="s">
        <v>59</v>
      </c>
      <c r="G2314" t="s">
        <v>14</v>
      </c>
      <c r="H2314">
        <v>39647</v>
      </c>
      <c r="I2314">
        <v>44000</v>
      </c>
    </row>
    <row r="2315" spans="1:9" x14ac:dyDescent="0.3">
      <c r="A2315" t="s">
        <v>2347</v>
      </c>
      <c r="B2315">
        <v>45992</v>
      </c>
      <c r="C2315" t="s">
        <v>25</v>
      </c>
      <c r="D2315" t="s">
        <v>11</v>
      </c>
      <c r="E2315" t="s">
        <v>22</v>
      </c>
      <c r="F2315" t="s">
        <v>59</v>
      </c>
      <c r="G2315" t="s">
        <v>14</v>
      </c>
      <c r="H2315">
        <v>79266</v>
      </c>
      <c r="I2315">
        <v>65800</v>
      </c>
    </row>
    <row r="2316" spans="1:9" x14ac:dyDescent="0.3">
      <c r="A2316" t="s">
        <v>2348</v>
      </c>
      <c r="B2316">
        <v>45992</v>
      </c>
      <c r="C2316" t="s">
        <v>31</v>
      </c>
      <c r="D2316" t="s">
        <v>11</v>
      </c>
      <c r="E2316" t="s">
        <v>17</v>
      </c>
      <c r="F2316" t="s">
        <v>59</v>
      </c>
      <c r="G2316" t="s">
        <v>14</v>
      </c>
      <c r="H2316">
        <v>164739</v>
      </c>
      <c r="I2316">
        <v>183700</v>
      </c>
    </row>
    <row r="2317" spans="1:9" x14ac:dyDescent="0.3">
      <c r="A2317" t="s">
        <v>2349</v>
      </c>
      <c r="B2317">
        <v>45993</v>
      </c>
      <c r="C2317" t="s">
        <v>62</v>
      </c>
      <c r="D2317" t="s">
        <v>11</v>
      </c>
      <c r="E2317" t="s">
        <v>22</v>
      </c>
      <c r="F2317" t="s">
        <v>56</v>
      </c>
      <c r="G2317" t="s">
        <v>19</v>
      </c>
      <c r="H2317">
        <v>54555</v>
      </c>
      <c r="I2317">
        <v>55300</v>
      </c>
    </row>
    <row r="2318" spans="1:9" x14ac:dyDescent="0.3">
      <c r="A2318" t="s">
        <v>2350</v>
      </c>
      <c r="B2318">
        <v>45993</v>
      </c>
      <c r="C2318" t="s">
        <v>16</v>
      </c>
      <c r="D2318" t="s">
        <v>11</v>
      </c>
      <c r="E2318" t="s">
        <v>17</v>
      </c>
      <c r="F2318" t="s">
        <v>59</v>
      </c>
      <c r="G2318" t="s">
        <v>14</v>
      </c>
      <c r="H2318">
        <v>248785</v>
      </c>
      <c r="I2318">
        <v>260300</v>
      </c>
    </row>
    <row r="2319" spans="1:9" x14ac:dyDescent="0.3">
      <c r="A2319" t="s">
        <v>2351</v>
      </c>
      <c r="B2319">
        <v>45993</v>
      </c>
      <c r="C2319" t="s">
        <v>36</v>
      </c>
      <c r="D2319" t="s">
        <v>11</v>
      </c>
      <c r="E2319" t="s">
        <v>37</v>
      </c>
      <c r="F2319" t="s">
        <v>39</v>
      </c>
      <c r="G2319" t="s">
        <v>19</v>
      </c>
      <c r="H2319">
        <v>113744</v>
      </c>
      <c r="I2319">
        <v>129200</v>
      </c>
    </row>
    <row r="2320" spans="1:9" x14ac:dyDescent="0.3">
      <c r="A2320" t="s">
        <v>2352</v>
      </c>
      <c r="B2320">
        <v>45993</v>
      </c>
      <c r="C2320" t="s">
        <v>25</v>
      </c>
      <c r="D2320" t="s">
        <v>11</v>
      </c>
      <c r="E2320" t="s">
        <v>22</v>
      </c>
      <c r="F2320" t="s">
        <v>59</v>
      </c>
      <c r="G2320" t="s">
        <v>14</v>
      </c>
      <c r="H2320">
        <v>47959</v>
      </c>
      <c r="I2320">
        <v>51500</v>
      </c>
    </row>
    <row r="2321" spans="1:9" x14ac:dyDescent="0.3">
      <c r="A2321" t="s">
        <v>2353</v>
      </c>
      <c r="B2321">
        <v>45993</v>
      </c>
      <c r="C2321" t="s">
        <v>55</v>
      </c>
      <c r="D2321" t="s">
        <v>11</v>
      </c>
      <c r="E2321" t="s">
        <v>37</v>
      </c>
      <c r="F2321" t="s">
        <v>56</v>
      </c>
      <c r="G2321" t="s">
        <v>19</v>
      </c>
      <c r="H2321">
        <v>71358</v>
      </c>
      <c r="I2321">
        <v>69000</v>
      </c>
    </row>
    <row r="2322" spans="1:9" x14ac:dyDescent="0.3">
      <c r="A2322" t="s">
        <v>2354</v>
      </c>
      <c r="B2322">
        <v>45993</v>
      </c>
      <c r="C2322" t="s">
        <v>55</v>
      </c>
      <c r="D2322" t="s">
        <v>11</v>
      </c>
      <c r="E2322" t="s">
        <v>37</v>
      </c>
      <c r="F2322" t="s">
        <v>37</v>
      </c>
      <c r="G2322" t="s">
        <v>14</v>
      </c>
      <c r="H2322">
        <v>237514</v>
      </c>
      <c r="I2322">
        <v>242500</v>
      </c>
    </row>
    <row r="2323" spans="1:9" x14ac:dyDescent="0.3">
      <c r="A2323" t="s">
        <v>2355</v>
      </c>
      <c r="B2323">
        <v>45994</v>
      </c>
      <c r="C2323" t="s">
        <v>62</v>
      </c>
      <c r="D2323" t="s">
        <v>11</v>
      </c>
      <c r="E2323" t="s">
        <v>22</v>
      </c>
      <c r="F2323" t="s">
        <v>42</v>
      </c>
      <c r="G2323" t="s">
        <v>19</v>
      </c>
      <c r="H2323">
        <v>66975</v>
      </c>
      <c r="I2323">
        <v>63500</v>
      </c>
    </row>
    <row r="2324" spans="1:9" x14ac:dyDescent="0.3">
      <c r="A2324" t="s">
        <v>2356</v>
      </c>
      <c r="B2324">
        <v>45994</v>
      </c>
      <c r="C2324" t="s">
        <v>10</v>
      </c>
      <c r="D2324" t="s">
        <v>11</v>
      </c>
      <c r="E2324" t="s">
        <v>12</v>
      </c>
      <c r="F2324" t="s">
        <v>23</v>
      </c>
      <c r="G2324" t="s">
        <v>14</v>
      </c>
      <c r="H2324">
        <v>49372</v>
      </c>
      <c r="I2324">
        <v>51500</v>
      </c>
    </row>
    <row r="2325" spans="1:9" x14ac:dyDescent="0.3">
      <c r="A2325" t="s">
        <v>2357</v>
      </c>
      <c r="B2325">
        <v>45994</v>
      </c>
      <c r="C2325" t="s">
        <v>16</v>
      </c>
      <c r="D2325" t="s">
        <v>11</v>
      </c>
      <c r="E2325" t="s">
        <v>17</v>
      </c>
      <c r="F2325" t="s">
        <v>39</v>
      </c>
      <c r="G2325" t="s">
        <v>19</v>
      </c>
      <c r="H2325">
        <v>18432</v>
      </c>
      <c r="I2325">
        <v>19200</v>
      </c>
    </row>
    <row r="2326" spans="1:9" x14ac:dyDescent="0.3">
      <c r="A2326" t="s">
        <v>2358</v>
      </c>
      <c r="B2326">
        <v>45994</v>
      </c>
      <c r="C2326" t="s">
        <v>16</v>
      </c>
      <c r="D2326" t="s">
        <v>11</v>
      </c>
      <c r="E2326" t="s">
        <v>17</v>
      </c>
      <c r="F2326" t="s">
        <v>39</v>
      </c>
      <c r="G2326" t="s">
        <v>19</v>
      </c>
      <c r="H2326">
        <v>73271</v>
      </c>
      <c r="I2326">
        <v>69000</v>
      </c>
    </row>
    <row r="2327" spans="1:9" x14ac:dyDescent="0.3">
      <c r="A2327" t="s">
        <v>2359</v>
      </c>
      <c r="B2327">
        <v>45994</v>
      </c>
      <c r="C2327" t="s">
        <v>36</v>
      </c>
      <c r="D2327" t="s">
        <v>11</v>
      </c>
      <c r="E2327" t="s">
        <v>37</v>
      </c>
      <c r="F2327" t="s">
        <v>56</v>
      </c>
      <c r="G2327" t="s">
        <v>19</v>
      </c>
      <c r="H2327">
        <v>61780</v>
      </c>
      <c r="I2327">
        <v>52400</v>
      </c>
    </row>
    <row r="2328" spans="1:9" x14ac:dyDescent="0.3">
      <c r="A2328" t="s">
        <v>2360</v>
      </c>
      <c r="B2328">
        <v>45994</v>
      </c>
      <c r="C2328" t="s">
        <v>21</v>
      </c>
      <c r="D2328" t="s">
        <v>11</v>
      </c>
      <c r="E2328" t="s">
        <v>22</v>
      </c>
      <c r="F2328" t="s">
        <v>46</v>
      </c>
      <c r="G2328" t="s">
        <v>19</v>
      </c>
      <c r="H2328">
        <v>61015</v>
      </c>
      <c r="I2328">
        <v>68000</v>
      </c>
    </row>
    <row r="2329" spans="1:9" x14ac:dyDescent="0.3">
      <c r="A2329" t="s">
        <v>2361</v>
      </c>
      <c r="B2329">
        <v>45994</v>
      </c>
      <c r="C2329" t="s">
        <v>21</v>
      </c>
      <c r="D2329" t="s">
        <v>11</v>
      </c>
      <c r="E2329" t="s">
        <v>22</v>
      </c>
      <c r="F2329" t="s">
        <v>59</v>
      </c>
      <c r="G2329" t="s">
        <v>14</v>
      </c>
      <c r="H2329">
        <v>245704</v>
      </c>
      <c r="I2329">
        <v>237200</v>
      </c>
    </row>
    <row r="2330" spans="1:9" x14ac:dyDescent="0.3">
      <c r="A2330" t="s">
        <v>2362</v>
      </c>
      <c r="B2330">
        <v>45994</v>
      </c>
      <c r="C2330" t="s">
        <v>31</v>
      </c>
      <c r="D2330" t="s">
        <v>11</v>
      </c>
      <c r="E2330" t="s">
        <v>17</v>
      </c>
      <c r="F2330" t="s">
        <v>33</v>
      </c>
      <c r="G2330" t="s">
        <v>19</v>
      </c>
      <c r="H2330">
        <v>49064</v>
      </c>
      <c r="I2330">
        <v>42400</v>
      </c>
    </row>
    <row r="2331" spans="1:9" x14ac:dyDescent="0.3">
      <c r="A2331" t="s">
        <v>2363</v>
      </c>
      <c r="B2331">
        <v>45995</v>
      </c>
      <c r="C2331" t="s">
        <v>16</v>
      </c>
      <c r="D2331" t="s">
        <v>11</v>
      </c>
      <c r="E2331" t="s">
        <v>17</v>
      </c>
      <c r="F2331" t="s">
        <v>18</v>
      </c>
      <c r="G2331" t="s">
        <v>19</v>
      </c>
      <c r="H2331">
        <v>61215</v>
      </c>
      <c r="I2331">
        <v>69900</v>
      </c>
    </row>
    <row r="2332" spans="1:9" x14ac:dyDescent="0.3">
      <c r="A2332" t="s">
        <v>2364</v>
      </c>
      <c r="B2332">
        <v>45995</v>
      </c>
      <c r="C2332" t="s">
        <v>16</v>
      </c>
      <c r="D2332" t="s">
        <v>11</v>
      </c>
      <c r="E2332" t="s">
        <v>17</v>
      </c>
      <c r="F2332" t="s">
        <v>59</v>
      </c>
      <c r="G2332" t="s">
        <v>14</v>
      </c>
      <c r="H2332">
        <v>241921</v>
      </c>
      <c r="I2332">
        <v>218700</v>
      </c>
    </row>
    <row r="2333" spans="1:9" x14ac:dyDescent="0.3">
      <c r="A2333" t="s">
        <v>2365</v>
      </c>
      <c r="B2333">
        <v>45995</v>
      </c>
      <c r="C2333" t="s">
        <v>16</v>
      </c>
      <c r="D2333" t="s">
        <v>11</v>
      </c>
      <c r="E2333" t="s">
        <v>17</v>
      </c>
      <c r="F2333" t="s">
        <v>23</v>
      </c>
      <c r="G2333" t="s">
        <v>14</v>
      </c>
      <c r="H2333">
        <v>107855</v>
      </c>
      <c r="I2333">
        <v>109200</v>
      </c>
    </row>
    <row r="2334" spans="1:9" x14ac:dyDescent="0.3">
      <c r="A2334" t="s">
        <v>2366</v>
      </c>
      <c r="B2334">
        <v>45995</v>
      </c>
      <c r="C2334" t="s">
        <v>25</v>
      </c>
      <c r="D2334" t="s">
        <v>11</v>
      </c>
      <c r="E2334" t="s">
        <v>22</v>
      </c>
      <c r="F2334" t="s">
        <v>42</v>
      </c>
      <c r="G2334" t="s">
        <v>19</v>
      </c>
      <c r="H2334">
        <v>91599</v>
      </c>
      <c r="I2334">
        <v>94100</v>
      </c>
    </row>
    <row r="2335" spans="1:9" x14ac:dyDescent="0.3">
      <c r="A2335" t="s">
        <v>2367</v>
      </c>
      <c r="B2335">
        <v>45995</v>
      </c>
      <c r="C2335" t="s">
        <v>31</v>
      </c>
      <c r="D2335" t="s">
        <v>11</v>
      </c>
      <c r="E2335" t="s">
        <v>17</v>
      </c>
      <c r="F2335" t="s">
        <v>12</v>
      </c>
      <c r="G2335" t="s">
        <v>14</v>
      </c>
      <c r="H2335">
        <v>83028</v>
      </c>
      <c r="I2335">
        <v>78600</v>
      </c>
    </row>
    <row r="2336" spans="1:9" x14ac:dyDescent="0.3">
      <c r="A2336" t="s">
        <v>2368</v>
      </c>
      <c r="B2336">
        <v>45995</v>
      </c>
      <c r="C2336" t="s">
        <v>31</v>
      </c>
      <c r="D2336" t="s">
        <v>11</v>
      </c>
      <c r="E2336" t="s">
        <v>17</v>
      </c>
      <c r="F2336" t="s">
        <v>12</v>
      </c>
      <c r="G2336" t="s">
        <v>14</v>
      </c>
      <c r="H2336">
        <v>76426</v>
      </c>
      <c r="I2336">
        <v>76500</v>
      </c>
    </row>
    <row r="2337" spans="1:9" x14ac:dyDescent="0.3">
      <c r="A2337" t="s">
        <v>2369</v>
      </c>
      <c r="B2337">
        <v>45995</v>
      </c>
      <c r="C2337" t="s">
        <v>55</v>
      </c>
      <c r="D2337" t="s">
        <v>11</v>
      </c>
      <c r="E2337" t="s">
        <v>37</v>
      </c>
      <c r="F2337" t="s">
        <v>46</v>
      </c>
      <c r="G2337" t="s">
        <v>19</v>
      </c>
      <c r="H2337">
        <v>56347</v>
      </c>
      <c r="I2337">
        <v>57300</v>
      </c>
    </row>
    <row r="2338" spans="1:9" x14ac:dyDescent="0.3">
      <c r="A2338" t="s">
        <v>2370</v>
      </c>
      <c r="B2338">
        <v>45996</v>
      </c>
      <c r="C2338" t="s">
        <v>10</v>
      </c>
      <c r="D2338" t="s">
        <v>11</v>
      </c>
      <c r="E2338" t="s">
        <v>12</v>
      </c>
      <c r="F2338" t="s">
        <v>37</v>
      </c>
      <c r="G2338" t="s">
        <v>14</v>
      </c>
      <c r="H2338">
        <v>57150</v>
      </c>
      <c r="I2338">
        <v>53700</v>
      </c>
    </row>
    <row r="2339" spans="1:9" x14ac:dyDescent="0.3">
      <c r="A2339" t="s">
        <v>2371</v>
      </c>
      <c r="B2339">
        <v>45996</v>
      </c>
      <c r="C2339" t="s">
        <v>16</v>
      </c>
      <c r="D2339" t="s">
        <v>11</v>
      </c>
      <c r="E2339" t="s">
        <v>17</v>
      </c>
      <c r="F2339" t="s">
        <v>26</v>
      </c>
      <c r="G2339" t="s">
        <v>14</v>
      </c>
      <c r="H2339">
        <v>146518</v>
      </c>
      <c r="I2339">
        <v>139000</v>
      </c>
    </row>
    <row r="2340" spans="1:9" x14ac:dyDescent="0.3">
      <c r="A2340" t="s">
        <v>2372</v>
      </c>
      <c r="B2340">
        <v>45996</v>
      </c>
      <c r="C2340" t="s">
        <v>36</v>
      </c>
      <c r="D2340" t="s">
        <v>11</v>
      </c>
      <c r="E2340" t="s">
        <v>37</v>
      </c>
      <c r="F2340" t="s">
        <v>46</v>
      </c>
      <c r="G2340" t="s">
        <v>19</v>
      </c>
      <c r="H2340">
        <v>51633</v>
      </c>
      <c r="I2340">
        <v>57200</v>
      </c>
    </row>
    <row r="2341" spans="1:9" x14ac:dyDescent="0.3">
      <c r="A2341" t="s">
        <v>2373</v>
      </c>
      <c r="B2341">
        <v>45996</v>
      </c>
      <c r="C2341" t="s">
        <v>25</v>
      </c>
      <c r="D2341" t="s">
        <v>11</v>
      </c>
      <c r="E2341" t="s">
        <v>22</v>
      </c>
      <c r="F2341" t="s">
        <v>39</v>
      </c>
      <c r="G2341" t="s">
        <v>19</v>
      </c>
      <c r="H2341">
        <v>100099</v>
      </c>
      <c r="I2341">
        <v>99400</v>
      </c>
    </row>
    <row r="2342" spans="1:9" x14ac:dyDescent="0.3">
      <c r="A2342" t="s">
        <v>2374</v>
      </c>
      <c r="B2342">
        <v>45996</v>
      </c>
      <c r="C2342" t="s">
        <v>25</v>
      </c>
      <c r="D2342" t="s">
        <v>11</v>
      </c>
      <c r="E2342" t="s">
        <v>22</v>
      </c>
      <c r="F2342" t="s">
        <v>42</v>
      </c>
      <c r="G2342" t="s">
        <v>19</v>
      </c>
      <c r="H2342">
        <v>44427</v>
      </c>
      <c r="I2342">
        <v>48500</v>
      </c>
    </row>
    <row r="2343" spans="1:9" x14ac:dyDescent="0.3">
      <c r="A2343" t="s">
        <v>2375</v>
      </c>
      <c r="B2343">
        <v>45996</v>
      </c>
      <c r="C2343" t="s">
        <v>55</v>
      </c>
      <c r="D2343" t="s">
        <v>11</v>
      </c>
      <c r="E2343" t="s">
        <v>37</v>
      </c>
      <c r="F2343" t="s">
        <v>26</v>
      </c>
      <c r="G2343" t="s">
        <v>14</v>
      </c>
      <c r="H2343">
        <v>196397</v>
      </c>
      <c r="I2343">
        <v>171400</v>
      </c>
    </row>
    <row r="2344" spans="1:9" x14ac:dyDescent="0.3">
      <c r="A2344" t="s">
        <v>2376</v>
      </c>
      <c r="B2344">
        <v>45997</v>
      </c>
      <c r="C2344" t="s">
        <v>62</v>
      </c>
      <c r="D2344" t="s">
        <v>11</v>
      </c>
      <c r="E2344" t="s">
        <v>22</v>
      </c>
      <c r="F2344" t="s">
        <v>13</v>
      </c>
      <c r="G2344" t="s">
        <v>14</v>
      </c>
      <c r="H2344">
        <v>157473</v>
      </c>
      <c r="I2344">
        <v>138300</v>
      </c>
    </row>
    <row r="2345" spans="1:9" x14ac:dyDescent="0.3">
      <c r="A2345" t="s">
        <v>2377</v>
      </c>
      <c r="B2345">
        <v>45997</v>
      </c>
      <c r="C2345" t="s">
        <v>36</v>
      </c>
      <c r="D2345" t="s">
        <v>11</v>
      </c>
      <c r="E2345" t="s">
        <v>37</v>
      </c>
      <c r="F2345" t="s">
        <v>13</v>
      </c>
      <c r="G2345" t="s">
        <v>14</v>
      </c>
      <c r="H2345">
        <v>185761</v>
      </c>
      <c r="I2345">
        <v>162500</v>
      </c>
    </row>
    <row r="2346" spans="1:9" x14ac:dyDescent="0.3">
      <c r="A2346" t="s">
        <v>2378</v>
      </c>
      <c r="B2346">
        <v>45997</v>
      </c>
      <c r="C2346" t="s">
        <v>36</v>
      </c>
      <c r="D2346" t="s">
        <v>11</v>
      </c>
      <c r="E2346" t="s">
        <v>37</v>
      </c>
      <c r="F2346" t="s">
        <v>13</v>
      </c>
      <c r="G2346" t="s">
        <v>14</v>
      </c>
      <c r="H2346">
        <v>161884</v>
      </c>
      <c r="I2346">
        <v>134700</v>
      </c>
    </row>
    <row r="2347" spans="1:9" x14ac:dyDescent="0.3">
      <c r="A2347" t="s">
        <v>2379</v>
      </c>
      <c r="B2347">
        <v>45997</v>
      </c>
      <c r="C2347" t="s">
        <v>36</v>
      </c>
      <c r="D2347" t="s">
        <v>11</v>
      </c>
      <c r="E2347" t="s">
        <v>37</v>
      </c>
      <c r="F2347" t="s">
        <v>59</v>
      </c>
      <c r="G2347" t="s">
        <v>14</v>
      </c>
      <c r="H2347">
        <v>243018</v>
      </c>
      <c r="I2347">
        <v>271600</v>
      </c>
    </row>
    <row r="2348" spans="1:9" x14ac:dyDescent="0.3">
      <c r="A2348" t="s">
        <v>2380</v>
      </c>
      <c r="B2348">
        <v>45997</v>
      </c>
      <c r="C2348" t="s">
        <v>25</v>
      </c>
      <c r="D2348" t="s">
        <v>11</v>
      </c>
      <c r="E2348" t="s">
        <v>22</v>
      </c>
      <c r="F2348" t="s">
        <v>13</v>
      </c>
      <c r="G2348" t="s">
        <v>14</v>
      </c>
      <c r="H2348">
        <v>225531</v>
      </c>
      <c r="I2348">
        <v>189500</v>
      </c>
    </row>
    <row r="2349" spans="1:9" x14ac:dyDescent="0.3">
      <c r="A2349" t="s">
        <v>2381</v>
      </c>
      <c r="B2349">
        <v>45997</v>
      </c>
      <c r="C2349" t="s">
        <v>31</v>
      </c>
      <c r="D2349" t="s">
        <v>11</v>
      </c>
      <c r="E2349" t="s">
        <v>17</v>
      </c>
      <c r="F2349" t="s">
        <v>39</v>
      </c>
      <c r="G2349" t="s">
        <v>19</v>
      </c>
      <c r="H2349">
        <v>13523</v>
      </c>
      <c r="I2349">
        <v>13500</v>
      </c>
    </row>
    <row r="2350" spans="1:9" x14ac:dyDescent="0.3">
      <c r="A2350" t="s">
        <v>2382</v>
      </c>
      <c r="B2350">
        <v>45997</v>
      </c>
      <c r="C2350" t="s">
        <v>55</v>
      </c>
      <c r="D2350" t="s">
        <v>11</v>
      </c>
      <c r="E2350" t="s">
        <v>37</v>
      </c>
      <c r="F2350" t="s">
        <v>18</v>
      </c>
      <c r="G2350" t="s">
        <v>19</v>
      </c>
      <c r="H2350">
        <v>79352</v>
      </c>
      <c r="I2350">
        <v>79400</v>
      </c>
    </row>
    <row r="2351" spans="1:9" x14ac:dyDescent="0.3">
      <c r="A2351" t="s">
        <v>2383</v>
      </c>
      <c r="B2351">
        <v>45998</v>
      </c>
      <c r="C2351" t="s">
        <v>10</v>
      </c>
      <c r="D2351" t="s">
        <v>11</v>
      </c>
      <c r="E2351" t="s">
        <v>12</v>
      </c>
      <c r="F2351" t="s">
        <v>46</v>
      </c>
      <c r="G2351" t="s">
        <v>19</v>
      </c>
      <c r="H2351">
        <v>108629</v>
      </c>
      <c r="I2351">
        <v>99200</v>
      </c>
    </row>
    <row r="2352" spans="1:9" x14ac:dyDescent="0.3">
      <c r="A2352" t="s">
        <v>2384</v>
      </c>
      <c r="B2352">
        <v>45998</v>
      </c>
      <c r="C2352" t="s">
        <v>16</v>
      </c>
      <c r="D2352" t="s">
        <v>11</v>
      </c>
      <c r="E2352" t="s">
        <v>17</v>
      </c>
      <c r="F2352" t="s">
        <v>37</v>
      </c>
      <c r="G2352" t="s">
        <v>14</v>
      </c>
      <c r="H2352">
        <v>80634</v>
      </c>
      <c r="I2352">
        <v>83800</v>
      </c>
    </row>
    <row r="2353" spans="1:9" x14ac:dyDescent="0.3">
      <c r="A2353" t="s">
        <v>2385</v>
      </c>
      <c r="B2353">
        <v>45998</v>
      </c>
      <c r="C2353" t="s">
        <v>36</v>
      </c>
      <c r="D2353" t="s">
        <v>11</v>
      </c>
      <c r="E2353" t="s">
        <v>37</v>
      </c>
      <c r="F2353" t="s">
        <v>13</v>
      </c>
      <c r="G2353" t="s">
        <v>14</v>
      </c>
      <c r="H2353">
        <v>215370</v>
      </c>
      <c r="I2353">
        <v>204200</v>
      </c>
    </row>
    <row r="2354" spans="1:9" x14ac:dyDescent="0.3">
      <c r="A2354" t="s">
        <v>2386</v>
      </c>
      <c r="B2354">
        <v>45998</v>
      </c>
      <c r="C2354" t="s">
        <v>36</v>
      </c>
      <c r="D2354" t="s">
        <v>11</v>
      </c>
      <c r="E2354" t="s">
        <v>37</v>
      </c>
      <c r="F2354" t="s">
        <v>13</v>
      </c>
      <c r="G2354" t="s">
        <v>14</v>
      </c>
      <c r="H2354">
        <v>88070</v>
      </c>
      <c r="I2354">
        <v>86100</v>
      </c>
    </row>
    <row r="2355" spans="1:9" x14ac:dyDescent="0.3">
      <c r="A2355" t="s">
        <v>2387</v>
      </c>
      <c r="B2355">
        <v>45998</v>
      </c>
      <c r="C2355" t="s">
        <v>25</v>
      </c>
      <c r="D2355" t="s">
        <v>11</v>
      </c>
      <c r="E2355" t="s">
        <v>22</v>
      </c>
      <c r="F2355" t="s">
        <v>59</v>
      </c>
      <c r="G2355" t="s">
        <v>14</v>
      </c>
      <c r="H2355">
        <v>70608</v>
      </c>
      <c r="I2355">
        <v>64100</v>
      </c>
    </row>
    <row r="2356" spans="1:9" x14ac:dyDescent="0.3">
      <c r="A2356" t="s">
        <v>2388</v>
      </c>
      <c r="B2356">
        <v>45998</v>
      </c>
      <c r="C2356" t="s">
        <v>31</v>
      </c>
      <c r="D2356" t="s">
        <v>11</v>
      </c>
      <c r="E2356" t="s">
        <v>17</v>
      </c>
      <c r="F2356" t="s">
        <v>26</v>
      </c>
      <c r="G2356" t="s">
        <v>14</v>
      </c>
      <c r="H2356">
        <v>56064</v>
      </c>
      <c r="I2356">
        <v>63700</v>
      </c>
    </row>
    <row r="2357" spans="1:9" x14ac:dyDescent="0.3">
      <c r="A2357" t="s">
        <v>2389</v>
      </c>
      <c r="B2357">
        <v>45998</v>
      </c>
      <c r="C2357" t="s">
        <v>31</v>
      </c>
      <c r="D2357" t="s">
        <v>11</v>
      </c>
      <c r="E2357" t="s">
        <v>17</v>
      </c>
      <c r="F2357" t="s">
        <v>26</v>
      </c>
      <c r="G2357" t="s">
        <v>14</v>
      </c>
      <c r="H2357">
        <v>217191</v>
      </c>
      <c r="I2357">
        <v>234200</v>
      </c>
    </row>
    <row r="2358" spans="1:9" x14ac:dyDescent="0.3">
      <c r="A2358" t="s">
        <v>2390</v>
      </c>
      <c r="B2358">
        <v>45999</v>
      </c>
      <c r="C2358" t="s">
        <v>62</v>
      </c>
      <c r="D2358" t="s">
        <v>11</v>
      </c>
      <c r="E2358" t="s">
        <v>22</v>
      </c>
      <c r="F2358" t="s">
        <v>59</v>
      </c>
      <c r="G2358" t="s">
        <v>14</v>
      </c>
      <c r="H2358">
        <v>212433</v>
      </c>
      <c r="I2358">
        <v>227800</v>
      </c>
    </row>
    <row r="2359" spans="1:9" x14ac:dyDescent="0.3">
      <c r="A2359" t="s">
        <v>2391</v>
      </c>
      <c r="B2359">
        <v>45999</v>
      </c>
      <c r="C2359" t="s">
        <v>16</v>
      </c>
      <c r="D2359" t="s">
        <v>11</v>
      </c>
      <c r="E2359" t="s">
        <v>17</v>
      </c>
      <c r="F2359" t="s">
        <v>46</v>
      </c>
      <c r="G2359" t="s">
        <v>19</v>
      </c>
      <c r="H2359">
        <v>38782</v>
      </c>
      <c r="I2359">
        <v>32400</v>
      </c>
    </row>
    <row r="2360" spans="1:9" x14ac:dyDescent="0.3">
      <c r="A2360" t="s">
        <v>2392</v>
      </c>
      <c r="B2360">
        <v>45999</v>
      </c>
      <c r="C2360" t="s">
        <v>16</v>
      </c>
      <c r="D2360" t="s">
        <v>11</v>
      </c>
      <c r="E2360" t="s">
        <v>17</v>
      </c>
      <c r="F2360" t="s">
        <v>23</v>
      </c>
      <c r="G2360" t="s">
        <v>14</v>
      </c>
      <c r="H2360">
        <v>96136</v>
      </c>
      <c r="I2360">
        <v>94300</v>
      </c>
    </row>
    <row r="2361" spans="1:9" x14ac:dyDescent="0.3">
      <c r="A2361" t="s">
        <v>2393</v>
      </c>
      <c r="B2361">
        <v>45999</v>
      </c>
      <c r="C2361" t="s">
        <v>21</v>
      </c>
      <c r="D2361" t="s">
        <v>11</v>
      </c>
      <c r="E2361" t="s">
        <v>22</v>
      </c>
      <c r="F2361" t="s">
        <v>56</v>
      </c>
      <c r="G2361" t="s">
        <v>19</v>
      </c>
      <c r="H2361">
        <v>67535</v>
      </c>
      <c r="I2361">
        <v>70200</v>
      </c>
    </row>
    <row r="2362" spans="1:9" x14ac:dyDescent="0.3">
      <c r="A2362" t="s">
        <v>2394</v>
      </c>
      <c r="B2362">
        <v>45999</v>
      </c>
      <c r="C2362" t="s">
        <v>25</v>
      </c>
      <c r="D2362" t="s">
        <v>11</v>
      </c>
      <c r="E2362" t="s">
        <v>22</v>
      </c>
      <c r="F2362" t="s">
        <v>42</v>
      </c>
      <c r="G2362" t="s">
        <v>19</v>
      </c>
      <c r="H2362">
        <v>69385</v>
      </c>
      <c r="I2362">
        <v>68500</v>
      </c>
    </row>
    <row r="2363" spans="1:9" x14ac:dyDescent="0.3">
      <c r="A2363" t="s">
        <v>2395</v>
      </c>
      <c r="B2363">
        <v>45999</v>
      </c>
      <c r="C2363" t="s">
        <v>25</v>
      </c>
      <c r="D2363" t="s">
        <v>11</v>
      </c>
      <c r="E2363" t="s">
        <v>22</v>
      </c>
      <c r="F2363" t="s">
        <v>37</v>
      </c>
      <c r="G2363" t="s">
        <v>14</v>
      </c>
      <c r="H2363">
        <v>173993</v>
      </c>
      <c r="I2363">
        <v>154400</v>
      </c>
    </row>
    <row r="2364" spans="1:9" x14ac:dyDescent="0.3">
      <c r="A2364" t="s">
        <v>2396</v>
      </c>
      <c r="B2364">
        <v>45999</v>
      </c>
      <c r="C2364" t="s">
        <v>31</v>
      </c>
      <c r="D2364" t="s">
        <v>11</v>
      </c>
      <c r="E2364" t="s">
        <v>17</v>
      </c>
      <c r="F2364" t="s">
        <v>37</v>
      </c>
      <c r="G2364" t="s">
        <v>14</v>
      </c>
      <c r="H2364">
        <v>78883</v>
      </c>
      <c r="I2364">
        <v>86900</v>
      </c>
    </row>
    <row r="2365" spans="1:9" x14ac:dyDescent="0.3">
      <c r="A2365" t="s">
        <v>2397</v>
      </c>
      <c r="B2365">
        <v>45999</v>
      </c>
      <c r="C2365" t="s">
        <v>55</v>
      </c>
      <c r="D2365" t="s">
        <v>11</v>
      </c>
      <c r="E2365" t="s">
        <v>37</v>
      </c>
      <c r="F2365" t="s">
        <v>56</v>
      </c>
      <c r="G2365" t="s">
        <v>19</v>
      </c>
      <c r="H2365">
        <v>70385</v>
      </c>
      <c r="I2365">
        <v>57900</v>
      </c>
    </row>
    <row r="2366" spans="1:9" x14ac:dyDescent="0.3">
      <c r="A2366" t="s">
        <v>2398</v>
      </c>
      <c r="B2366">
        <v>45999</v>
      </c>
      <c r="C2366" t="s">
        <v>55</v>
      </c>
      <c r="D2366" t="s">
        <v>11</v>
      </c>
      <c r="E2366" t="s">
        <v>37</v>
      </c>
      <c r="F2366" t="s">
        <v>56</v>
      </c>
      <c r="G2366" t="s">
        <v>19</v>
      </c>
      <c r="H2366">
        <v>36122</v>
      </c>
      <c r="I2366">
        <v>33300</v>
      </c>
    </row>
    <row r="2367" spans="1:9" x14ac:dyDescent="0.3">
      <c r="A2367" t="s">
        <v>2399</v>
      </c>
      <c r="B2367">
        <v>46000</v>
      </c>
      <c r="C2367" t="s">
        <v>62</v>
      </c>
      <c r="D2367" t="s">
        <v>11</v>
      </c>
      <c r="E2367" t="s">
        <v>22</v>
      </c>
      <c r="F2367" t="s">
        <v>56</v>
      </c>
      <c r="G2367" t="s">
        <v>19</v>
      </c>
      <c r="H2367">
        <v>114837</v>
      </c>
      <c r="I2367">
        <v>117400</v>
      </c>
    </row>
    <row r="2368" spans="1:9" x14ac:dyDescent="0.3">
      <c r="A2368" t="s">
        <v>2400</v>
      </c>
      <c r="B2368">
        <v>46000</v>
      </c>
      <c r="C2368" t="s">
        <v>16</v>
      </c>
      <c r="D2368" t="s">
        <v>11</v>
      </c>
      <c r="E2368" t="s">
        <v>17</v>
      </c>
      <c r="F2368" t="s">
        <v>23</v>
      </c>
      <c r="G2368" t="s">
        <v>14</v>
      </c>
      <c r="H2368">
        <v>160494</v>
      </c>
      <c r="I2368">
        <v>176400</v>
      </c>
    </row>
    <row r="2369" spans="1:9" x14ac:dyDescent="0.3">
      <c r="A2369" t="s">
        <v>2401</v>
      </c>
      <c r="B2369">
        <v>46000</v>
      </c>
      <c r="C2369" t="s">
        <v>16</v>
      </c>
      <c r="D2369" t="s">
        <v>11</v>
      </c>
      <c r="E2369" t="s">
        <v>17</v>
      </c>
      <c r="F2369" t="s">
        <v>13</v>
      </c>
      <c r="G2369" t="s">
        <v>14</v>
      </c>
      <c r="H2369">
        <v>82299</v>
      </c>
      <c r="I2369">
        <v>71600</v>
      </c>
    </row>
    <row r="2370" spans="1:9" x14ac:dyDescent="0.3">
      <c r="A2370" t="s">
        <v>2402</v>
      </c>
      <c r="B2370">
        <v>46000</v>
      </c>
      <c r="C2370" t="s">
        <v>16</v>
      </c>
      <c r="D2370" t="s">
        <v>11</v>
      </c>
      <c r="E2370" t="s">
        <v>17</v>
      </c>
      <c r="F2370" t="s">
        <v>23</v>
      </c>
      <c r="G2370" t="s">
        <v>14</v>
      </c>
      <c r="H2370">
        <v>103754</v>
      </c>
      <c r="I2370">
        <v>108700</v>
      </c>
    </row>
    <row r="2371" spans="1:9" x14ac:dyDescent="0.3">
      <c r="A2371" t="s">
        <v>2403</v>
      </c>
      <c r="B2371">
        <v>46000</v>
      </c>
      <c r="C2371" t="s">
        <v>36</v>
      </c>
      <c r="D2371" t="s">
        <v>11</v>
      </c>
      <c r="E2371" t="s">
        <v>37</v>
      </c>
      <c r="F2371" t="s">
        <v>23</v>
      </c>
      <c r="G2371" t="s">
        <v>14</v>
      </c>
      <c r="H2371">
        <v>215862</v>
      </c>
      <c r="I2371">
        <v>206300</v>
      </c>
    </row>
    <row r="2372" spans="1:9" x14ac:dyDescent="0.3">
      <c r="A2372" t="s">
        <v>2404</v>
      </c>
      <c r="B2372">
        <v>46000</v>
      </c>
      <c r="C2372" t="s">
        <v>21</v>
      </c>
      <c r="D2372" t="s">
        <v>11</v>
      </c>
      <c r="E2372" t="s">
        <v>22</v>
      </c>
      <c r="F2372" t="s">
        <v>33</v>
      </c>
      <c r="G2372" t="s">
        <v>19</v>
      </c>
      <c r="H2372">
        <v>97079</v>
      </c>
      <c r="I2372">
        <v>80600</v>
      </c>
    </row>
    <row r="2373" spans="1:9" x14ac:dyDescent="0.3">
      <c r="A2373" t="s">
        <v>2405</v>
      </c>
      <c r="B2373">
        <v>46000</v>
      </c>
      <c r="C2373" t="s">
        <v>21</v>
      </c>
      <c r="D2373" t="s">
        <v>11</v>
      </c>
      <c r="E2373" t="s">
        <v>22</v>
      </c>
      <c r="F2373" t="s">
        <v>37</v>
      </c>
      <c r="G2373" t="s">
        <v>14</v>
      </c>
      <c r="H2373">
        <v>177028</v>
      </c>
      <c r="I2373">
        <v>167700</v>
      </c>
    </row>
    <row r="2374" spans="1:9" x14ac:dyDescent="0.3">
      <c r="A2374" t="s">
        <v>2406</v>
      </c>
      <c r="B2374">
        <v>46000</v>
      </c>
      <c r="C2374" t="s">
        <v>25</v>
      </c>
      <c r="D2374" t="s">
        <v>11</v>
      </c>
      <c r="E2374" t="s">
        <v>22</v>
      </c>
      <c r="F2374" t="s">
        <v>56</v>
      </c>
      <c r="G2374" t="s">
        <v>19</v>
      </c>
      <c r="H2374">
        <v>105054</v>
      </c>
      <c r="I2374">
        <v>99700</v>
      </c>
    </row>
    <row r="2375" spans="1:9" x14ac:dyDescent="0.3">
      <c r="A2375" t="s">
        <v>2407</v>
      </c>
      <c r="B2375">
        <v>46000</v>
      </c>
      <c r="C2375" t="s">
        <v>25</v>
      </c>
      <c r="D2375" t="s">
        <v>11</v>
      </c>
      <c r="E2375" t="s">
        <v>22</v>
      </c>
      <c r="F2375" t="s">
        <v>33</v>
      </c>
      <c r="G2375" t="s">
        <v>19</v>
      </c>
      <c r="H2375">
        <v>45653</v>
      </c>
      <c r="I2375">
        <v>48400</v>
      </c>
    </row>
    <row r="2376" spans="1:9" x14ac:dyDescent="0.3">
      <c r="A2376" t="s">
        <v>2408</v>
      </c>
      <c r="B2376">
        <v>46000</v>
      </c>
      <c r="C2376" t="s">
        <v>31</v>
      </c>
      <c r="D2376" t="s">
        <v>11</v>
      </c>
      <c r="E2376" t="s">
        <v>17</v>
      </c>
      <c r="F2376" t="s">
        <v>39</v>
      </c>
      <c r="G2376" t="s">
        <v>19</v>
      </c>
      <c r="H2376">
        <v>97543</v>
      </c>
      <c r="I2376">
        <v>86500</v>
      </c>
    </row>
    <row r="2377" spans="1:9" x14ac:dyDescent="0.3">
      <c r="A2377" t="s">
        <v>2409</v>
      </c>
      <c r="B2377">
        <v>46000</v>
      </c>
      <c r="C2377" t="s">
        <v>31</v>
      </c>
      <c r="D2377" t="s">
        <v>11</v>
      </c>
      <c r="E2377" t="s">
        <v>17</v>
      </c>
      <c r="F2377" t="s">
        <v>23</v>
      </c>
      <c r="G2377" t="s">
        <v>14</v>
      </c>
      <c r="H2377">
        <v>243310</v>
      </c>
      <c r="I2377">
        <v>207300</v>
      </c>
    </row>
    <row r="2378" spans="1:9" x14ac:dyDescent="0.3">
      <c r="A2378" t="s">
        <v>2410</v>
      </c>
      <c r="B2378">
        <v>46000</v>
      </c>
      <c r="C2378" t="s">
        <v>31</v>
      </c>
      <c r="D2378" t="s">
        <v>11</v>
      </c>
      <c r="E2378" t="s">
        <v>17</v>
      </c>
      <c r="F2378" t="s">
        <v>26</v>
      </c>
      <c r="G2378" t="s">
        <v>14</v>
      </c>
      <c r="H2378">
        <v>98837</v>
      </c>
      <c r="I2378">
        <v>83500</v>
      </c>
    </row>
    <row r="2379" spans="1:9" x14ac:dyDescent="0.3">
      <c r="A2379" t="s">
        <v>2411</v>
      </c>
      <c r="B2379">
        <v>46001</v>
      </c>
      <c r="C2379" t="s">
        <v>16</v>
      </c>
      <c r="D2379" t="s">
        <v>11</v>
      </c>
      <c r="E2379" t="s">
        <v>17</v>
      </c>
      <c r="F2379" t="s">
        <v>42</v>
      </c>
      <c r="G2379" t="s">
        <v>19</v>
      </c>
      <c r="H2379">
        <v>35689</v>
      </c>
      <c r="I2379">
        <v>28000</v>
      </c>
    </row>
    <row r="2380" spans="1:9" x14ac:dyDescent="0.3">
      <c r="A2380" t="s">
        <v>2412</v>
      </c>
      <c r="B2380">
        <v>46001</v>
      </c>
      <c r="C2380" t="s">
        <v>21</v>
      </c>
      <c r="D2380" t="s">
        <v>11</v>
      </c>
      <c r="E2380" t="s">
        <v>22</v>
      </c>
      <c r="F2380" t="s">
        <v>56</v>
      </c>
      <c r="G2380" t="s">
        <v>19</v>
      </c>
      <c r="H2380">
        <v>116161</v>
      </c>
      <c r="I2380">
        <v>125700</v>
      </c>
    </row>
    <row r="2381" spans="1:9" x14ac:dyDescent="0.3">
      <c r="A2381" t="s">
        <v>2413</v>
      </c>
      <c r="B2381">
        <v>46002</v>
      </c>
      <c r="C2381" t="s">
        <v>62</v>
      </c>
      <c r="D2381" t="s">
        <v>11</v>
      </c>
      <c r="E2381" t="s">
        <v>22</v>
      </c>
      <c r="F2381" t="s">
        <v>33</v>
      </c>
      <c r="G2381" t="s">
        <v>19</v>
      </c>
      <c r="H2381">
        <v>55680</v>
      </c>
      <c r="I2381">
        <v>55700</v>
      </c>
    </row>
    <row r="2382" spans="1:9" x14ac:dyDescent="0.3">
      <c r="A2382" t="s">
        <v>2414</v>
      </c>
      <c r="B2382">
        <v>46002</v>
      </c>
      <c r="C2382" t="s">
        <v>62</v>
      </c>
      <c r="D2382" t="s">
        <v>11</v>
      </c>
      <c r="E2382" t="s">
        <v>22</v>
      </c>
      <c r="F2382" t="s">
        <v>39</v>
      </c>
      <c r="G2382" t="s">
        <v>19</v>
      </c>
      <c r="H2382">
        <v>34957</v>
      </c>
      <c r="I2382">
        <v>27000</v>
      </c>
    </row>
    <row r="2383" spans="1:9" x14ac:dyDescent="0.3">
      <c r="A2383" t="s">
        <v>2415</v>
      </c>
      <c r="B2383">
        <v>46002</v>
      </c>
      <c r="C2383" t="s">
        <v>10</v>
      </c>
      <c r="D2383" t="s">
        <v>11</v>
      </c>
      <c r="E2383" t="s">
        <v>12</v>
      </c>
      <c r="F2383" t="s">
        <v>46</v>
      </c>
      <c r="G2383" t="s">
        <v>19</v>
      </c>
      <c r="H2383">
        <v>74935</v>
      </c>
      <c r="I2383">
        <v>77600</v>
      </c>
    </row>
    <row r="2384" spans="1:9" x14ac:dyDescent="0.3">
      <c r="A2384" t="s">
        <v>2416</v>
      </c>
      <c r="B2384">
        <v>46002</v>
      </c>
      <c r="C2384" t="s">
        <v>10</v>
      </c>
      <c r="D2384" t="s">
        <v>11</v>
      </c>
      <c r="E2384" t="s">
        <v>12</v>
      </c>
      <c r="F2384" t="s">
        <v>12</v>
      </c>
      <c r="G2384" t="s">
        <v>14</v>
      </c>
      <c r="H2384">
        <v>69241</v>
      </c>
      <c r="I2384">
        <v>71800</v>
      </c>
    </row>
    <row r="2385" spans="1:9" x14ac:dyDescent="0.3">
      <c r="A2385" t="s">
        <v>2417</v>
      </c>
      <c r="B2385">
        <v>46002</v>
      </c>
      <c r="C2385" t="s">
        <v>36</v>
      </c>
      <c r="D2385" t="s">
        <v>11</v>
      </c>
      <c r="E2385" t="s">
        <v>37</v>
      </c>
      <c r="F2385" t="s">
        <v>42</v>
      </c>
      <c r="G2385" t="s">
        <v>19</v>
      </c>
      <c r="H2385">
        <v>32711</v>
      </c>
      <c r="I2385">
        <v>30300</v>
      </c>
    </row>
    <row r="2386" spans="1:9" x14ac:dyDescent="0.3">
      <c r="A2386" t="s">
        <v>2418</v>
      </c>
      <c r="B2386">
        <v>46002</v>
      </c>
      <c r="C2386" t="s">
        <v>36</v>
      </c>
      <c r="D2386" t="s">
        <v>11</v>
      </c>
      <c r="E2386" t="s">
        <v>37</v>
      </c>
      <c r="F2386" t="s">
        <v>37</v>
      </c>
      <c r="G2386" t="s">
        <v>14</v>
      </c>
      <c r="H2386">
        <v>160676</v>
      </c>
      <c r="I2386">
        <v>139200</v>
      </c>
    </row>
    <row r="2387" spans="1:9" x14ac:dyDescent="0.3">
      <c r="A2387" t="s">
        <v>2419</v>
      </c>
      <c r="B2387">
        <v>46002</v>
      </c>
      <c r="C2387" t="s">
        <v>25</v>
      </c>
      <c r="D2387" t="s">
        <v>11</v>
      </c>
      <c r="E2387" t="s">
        <v>22</v>
      </c>
      <c r="F2387" t="s">
        <v>33</v>
      </c>
      <c r="G2387" t="s">
        <v>19</v>
      </c>
      <c r="H2387">
        <v>12417</v>
      </c>
      <c r="I2387">
        <v>11900</v>
      </c>
    </row>
    <row r="2388" spans="1:9" x14ac:dyDescent="0.3">
      <c r="A2388" t="s">
        <v>2420</v>
      </c>
      <c r="B2388">
        <v>46002</v>
      </c>
      <c r="C2388" t="s">
        <v>31</v>
      </c>
      <c r="D2388" t="s">
        <v>11</v>
      </c>
      <c r="E2388" t="s">
        <v>17</v>
      </c>
      <c r="F2388" t="s">
        <v>39</v>
      </c>
      <c r="G2388" t="s">
        <v>19</v>
      </c>
      <c r="H2388">
        <v>59533</v>
      </c>
      <c r="I2388">
        <v>49500</v>
      </c>
    </row>
    <row r="2389" spans="1:9" x14ac:dyDescent="0.3">
      <c r="A2389" t="s">
        <v>2421</v>
      </c>
      <c r="B2389">
        <v>46002</v>
      </c>
      <c r="C2389" t="s">
        <v>55</v>
      </c>
      <c r="D2389" t="s">
        <v>11</v>
      </c>
      <c r="E2389" t="s">
        <v>37</v>
      </c>
      <c r="F2389" t="s">
        <v>59</v>
      </c>
      <c r="G2389" t="s">
        <v>14</v>
      </c>
      <c r="H2389">
        <v>183578</v>
      </c>
      <c r="I2389">
        <v>173700</v>
      </c>
    </row>
    <row r="2390" spans="1:9" x14ac:dyDescent="0.3">
      <c r="A2390" t="s">
        <v>2422</v>
      </c>
      <c r="B2390">
        <v>46003</v>
      </c>
      <c r="C2390" t="s">
        <v>25</v>
      </c>
      <c r="D2390" t="s">
        <v>11</v>
      </c>
      <c r="E2390" t="s">
        <v>22</v>
      </c>
      <c r="F2390" t="s">
        <v>42</v>
      </c>
      <c r="G2390" t="s">
        <v>19</v>
      </c>
      <c r="H2390">
        <v>60052</v>
      </c>
      <c r="I2390">
        <v>60600</v>
      </c>
    </row>
    <row r="2391" spans="1:9" x14ac:dyDescent="0.3">
      <c r="A2391" t="s">
        <v>2423</v>
      </c>
      <c r="B2391">
        <v>46003</v>
      </c>
      <c r="C2391" t="s">
        <v>31</v>
      </c>
      <c r="D2391" t="s">
        <v>11</v>
      </c>
      <c r="E2391" t="s">
        <v>17</v>
      </c>
      <c r="F2391" t="s">
        <v>39</v>
      </c>
      <c r="G2391" t="s">
        <v>19</v>
      </c>
      <c r="H2391">
        <v>15502</v>
      </c>
      <c r="I2391">
        <v>15100</v>
      </c>
    </row>
    <row r="2392" spans="1:9" x14ac:dyDescent="0.3">
      <c r="A2392" t="s">
        <v>2424</v>
      </c>
      <c r="B2392">
        <v>46003</v>
      </c>
      <c r="C2392" t="s">
        <v>55</v>
      </c>
      <c r="D2392" t="s">
        <v>11</v>
      </c>
      <c r="E2392" t="s">
        <v>37</v>
      </c>
      <c r="F2392" t="s">
        <v>13</v>
      </c>
      <c r="G2392" t="s">
        <v>14</v>
      </c>
      <c r="H2392">
        <v>186010</v>
      </c>
      <c r="I2392">
        <v>192700</v>
      </c>
    </row>
    <row r="2393" spans="1:9" x14ac:dyDescent="0.3">
      <c r="A2393" t="s">
        <v>2425</v>
      </c>
      <c r="B2393">
        <v>46004</v>
      </c>
      <c r="C2393" t="s">
        <v>16</v>
      </c>
      <c r="D2393" t="s">
        <v>11</v>
      </c>
      <c r="E2393" t="s">
        <v>17</v>
      </c>
      <c r="F2393" t="s">
        <v>33</v>
      </c>
      <c r="G2393" t="s">
        <v>19</v>
      </c>
      <c r="H2393">
        <v>15425</v>
      </c>
      <c r="I2393">
        <v>16400</v>
      </c>
    </row>
    <row r="2394" spans="1:9" x14ac:dyDescent="0.3">
      <c r="A2394" t="s">
        <v>2426</v>
      </c>
      <c r="B2394">
        <v>46004</v>
      </c>
      <c r="C2394" t="s">
        <v>16</v>
      </c>
      <c r="D2394" t="s">
        <v>11</v>
      </c>
      <c r="E2394" t="s">
        <v>17</v>
      </c>
      <c r="F2394" t="s">
        <v>42</v>
      </c>
      <c r="G2394" t="s">
        <v>19</v>
      </c>
      <c r="H2394">
        <v>94504</v>
      </c>
      <c r="I2394">
        <v>107600</v>
      </c>
    </row>
    <row r="2395" spans="1:9" x14ac:dyDescent="0.3">
      <c r="A2395" t="s">
        <v>2427</v>
      </c>
      <c r="B2395">
        <v>46004</v>
      </c>
      <c r="C2395" t="s">
        <v>16</v>
      </c>
      <c r="D2395" t="s">
        <v>11</v>
      </c>
      <c r="E2395" t="s">
        <v>17</v>
      </c>
      <c r="F2395" t="s">
        <v>46</v>
      </c>
      <c r="G2395" t="s">
        <v>19</v>
      </c>
      <c r="H2395">
        <v>77641</v>
      </c>
      <c r="I2395">
        <v>76900</v>
      </c>
    </row>
    <row r="2396" spans="1:9" x14ac:dyDescent="0.3">
      <c r="A2396" t="s">
        <v>2428</v>
      </c>
      <c r="B2396">
        <v>46004</v>
      </c>
      <c r="C2396" t="s">
        <v>25</v>
      </c>
      <c r="D2396" t="s">
        <v>11</v>
      </c>
      <c r="E2396" t="s">
        <v>22</v>
      </c>
      <c r="F2396" t="s">
        <v>33</v>
      </c>
      <c r="G2396" t="s">
        <v>19</v>
      </c>
      <c r="H2396">
        <v>32328</v>
      </c>
      <c r="I2396">
        <v>37600</v>
      </c>
    </row>
    <row r="2397" spans="1:9" x14ac:dyDescent="0.3">
      <c r="A2397" t="s">
        <v>2429</v>
      </c>
      <c r="B2397">
        <v>46004</v>
      </c>
      <c r="C2397" t="s">
        <v>25</v>
      </c>
      <c r="D2397" t="s">
        <v>11</v>
      </c>
      <c r="E2397" t="s">
        <v>22</v>
      </c>
      <c r="F2397" t="s">
        <v>26</v>
      </c>
      <c r="G2397" t="s">
        <v>14</v>
      </c>
      <c r="H2397">
        <v>160000</v>
      </c>
      <c r="I2397">
        <v>141300</v>
      </c>
    </row>
    <row r="2398" spans="1:9" x14ac:dyDescent="0.3">
      <c r="A2398" t="s">
        <v>2430</v>
      </c>
      <c r="B2398">
        <v>46004</v>
      </c>
      <c r="C2398" t="s">
        <v>31</v>
      </c>
      <c r="D2398" t="s">
        <v>11</v>
      </c>
      <c r="E2398" t="s">
        <v>17</v>
      </c>
      <c r="F2398" t="s">
        <v>23</v>
      </c>
      <c r="G2398" t="s">
        <v>14</v>
      </c>
      <c r="H2398">
        <v>74761</v>
      </c>
      <c r="I2398">
        <v>84700</v>
      </c>
    </row>
    <row r="2399" spans="1:9" x14ac:dyDescent="0.3">
      <c r="A2399" t="s">
        <v>2431</v>
      </c>
      <c r="B2399">
        <v>46005</v>
      </c>
      <c r="C2399" t="s">
        <v>16</v>
      </c>
      <c r="D2399" t="s">
        <v>11</v>
      </c>
      <c r="E2399" t="s">
        <v>17</v>
      </c>
      <c r="F2399" t="s">
        <v>56</v>
      </c>
      <c r="G2399" t="s">
        <v>19</v>
      </c>
      <c r="H2399">
        <v>39542</v>
      </c>
      <c r="I2399">
        <v>34500</v>
      </c>
    </row>
    <row r="2400" spans="1:9" x14ac:dyDescent="0.3">
      <c r="A2400" t="s">
        <v>2432</v>
      </c>
      <c r="B2400">
        <v>46005</v>
      </c>
      <c r="C2400" t="s">
        <v>16</v>
      </c>
      <c r="D2400" t="s">
        <v>11</v>
      </c>
      <c r="E2400" t="s">
        <v>17</v>
      </c>
      <c r="F2400" t="s">
        <v>39</v>
      </c>
      <c r="G2400" t="s">
        <v>19</v>
      </c>
      <c r="H2400">
        <v>90971</v>
      </c>
      <c r="I2400">
        <v>89200</v>
      </c>
    </row>
    <row r="2401" spans="1:9" x14ac:dyDescent="0.3">
      <c r="A2401" t="s">
        <v>2433</v>
      </c>
      <c r="B2401">
        <v>46005</v>
      </c>
      <c r="C2401" t="s">
        <v>25</v>
      </c>
      <c r="D2401" t="s">
        <v>11</v>
      </c>
      <c r="E2401" t="s">
        <v>22</v>
      </c>
      <c r="F2401" t="s">
        <v>37</v>
      </c>
      <c r="G2401" t="s">
        <v>14</v>
      </c>
      <c r="H2401">
        <v>82723</v>
      </c>
      <c r="I2401">
        <v>89900</v>
      </c>
    </row>
    <row r="2402" spans="1:9" x14ac:dyDescent="0.3">
      <c r="A2402" t="s">
        <v>2434</v>
      </c>
      <c r="B2402">
        <v>46005</v>
      </c>
      <c r="C2402" t="s">
        <v>55</v>
      </c>
      <c r="D2402" t="s">
        <v>11</v>
      </c>
      <c r="E2402" t="s">
        <v>37</v>
      </c>
      <c r="F2402" t="s">
        <v>18</v>
      </c>
      <c r="G2402" t="s">
        <v>19</v>
      </c>
      <c r="H2402">
        <v>33497</v>
      </c>
      <c r="I2402">
        <v>36200</v>
      </c>
    </row>
    <row r="2403" spans="1:9" x14ac:dyDescent="0.3">
      <c r="A2403" t="s">
        <v>2435</v>
      </c>
      <c r="B2403">
        <v>46005</v>
      </c>
      <c r="C2403" t="s">
        <v>55</v>
      </c>
      <c r="D2403" t="s">
        <v>11</v>
      </c>
      <c r="E2403" t="s">
        <v>37</v>
      </c>
      <c r="F2403" t="s">
        <v>46</v>
      </c>
      <c r="G2403" t="s">
        <v>19</v>
      </c>
      <c r="H2403">
        <v>58107</v>
      </c>
      <c r="I2403">
        <v>57200</v>
      </c>
    </row>
    <row r="2404" spans="1:9" x14ac:dyDescent="0.3">
      <c r="A2404" t="s">
        <v>2436</v>
      </c>
      <c r="B2404">
        <v>46006</v>
      </c>
      <c r="C2404" t="s">
        <v>62</v>
      </c>
      <c r="D2404" t="s">
        <v>11</v>
      </c>
      <c r="E2404" t="s">
        <v>22</v>
      </c>
      <c r="F2404" t="s">
        <v>56</v>
      </c>
      <c r="G2404" t="s">
        <v>19</v>
      </c>
      <c r="H2404">
        <v>111943</v>
      </c>
      <c r="I2404">
        <v>121100</v>
      </c>
    </row>
    <row r="2405" spans="1:9" x14ac:dyDescent="0.3">
      <c r="A2405" t="s">
        <v>2437</v>
      </c>
      <c r="B2405">
        <v>46006</v>
      </c>
      <c r="C2405" t="s">
        <v>16</v>
      </c>
      <c r="D2405" t="s">
        <v>11</v>
      </c>
      <c r="E2405" t="s">
        <v>17</v>
      </c>
      <c r="F2405" t="s">
        <v>46</v>
      </c>
      <c r="G2405" t="s">
        <v>19</v>
      </c>
      <c r="H2405">
        <v>57680</v>
      </c>
      <c r="I2405">
        <v>54600</v>
      </c>
    </row>
    <row r="2406" spans="1:9" x14ac:dyDescent="0.3">
      <c r="A2406" t="s">
        <v>2438</v>
      </c>
      <c r="B2406">
        <v>46006</v>
      </c>
      <c r="C2406" t="s">
        <v>21</v>
      </c>
      <c r="D2406" t="s">
        <v>11</v>
      </c>
      <c r="E2406" t="s">
        <v>22</v>
      </c>
      <c r="F2406" t="s">
        <v>18</v>
      </c>
      <c r="G2406" t="s">
        <v>19</v>
      </c>
      <c r="H2406">
        <v>97388</v>
      </c>
      <c r="I2406">
        <v>95500</v>
      </c>
    </row>
    <row r="2407" spans="1:9" x14ac:dyDescent="0.3">
      <c r="A2407" t="s">
        <v>2439</v>
      </c>
      <c r="B2407">
        <v>46006</v>
      </c>
      <c r="C2407" t="s">
        <v>55</v>
      </c>
      <c r="D2407" t="s">
        <v>11</v>
      </c>
      <c r="E2407" t="s">
        <v>37</v>
      </c>
      <c r="F2407" t="s">
        <v>56</v>
      </c>
      <c r="G2407" t="s">
        <v>19</v>
      </c>
      <c r="H2407">
        <v>39331</v>
      </c>
      <c r="I2407">
        <v>32400</v>
      </c>
    </row>
    <row r="2408" spans="1:9" x14ac:dyDescent="0.3">
      <c r="A2408" t="s">
        <v>2440</v>
      </c>
      <c r="B2408">
        <v>46007</v>
      </c>
      <c r="C2408" t="s">
        <v>36</v>
      </c>
      <c r="D2408" t="s">
        <v>11</v>
      </c>
      <c r="E2408" t="s">
        <v>37</v>
      </c>
      <c r="F2408" t="s">
        <v>59</v>
      </c>
      <c r="G2408" t="s">
        <v>14</v>
      </c>
      <c r="H2408">
        <v>100068</v>
      </c>
      <c r="I2408">
        <v>96700</v>
      </c>
    </row>
    <row r="2409" spans="1:9" x14ac:dyDescent="0.3">
      <c r="A2409" t="s">
        <v>2441</v>
      </c>
      <c r="B2409">
        <v>46007</v>
      </c>
      <c r="C2409" t="s">
        <v>21</v>
      </c>
      <c r="D2409" t="s">
        <v>11</v>
      </c>
      <c r="E2409" t="s">
        <v>22</v>
      </c>
      <c r="F2409" t="s">
        <v>39</v>
      </c>
      <c r="G2409" t="s">
        <v>19</v>
      </c>
      <c r="H2409">
        <v>43511</v>
      </c>
      <c r="I2409">
        <v>37200</v>
      </c>
    </row>
    <row r="2410" spans="1:9" x14ac:dyDescent="0.3">
      <c r="A2410" t="s">
        <v>2442</v>
      </c>
      <c r="B2410">
        <v>46007</v>
      </c>
      <c r="C2410" t="s">
        <v>21</v>
      </c>
      <c r="D2410" t="s">
        <v>11</v>
      </c>
      <c r="E2410" t="s">
        <v>22</v>
      </c>
      <c r="F2410" t="s">
        <v>33</v>
      </c>
      <c r="G2410" t="s">
        <v>19</v>
      </c>
      <c r="H2410">
        <v>108948</v>
      </c>
      <c r="I2410">
        <v>109900</v>
      </c>
    </row>
    <row r="2411" spans="1:9" x14ac:dyDescent="0.3">
      <c r="A2411" t="s">
        <v>2443</v>
      </c>
      <c r="B2411">
        <v>46007</v>
      </c>
      <c r="C2411" t="s">
        <v>21</v>
      </c>
      <c r="D2411" t="s">
        <v>11</v>
      </c>
      <c r="E2411" t="s">
        <v>22</v>
      </c>
      <c r="F2411" t="s">
        <v>26</v>
      </c>
      <c r="G2411" t="s">
        <v>14</v>
      </c>
      <c r="H2411">
        <v>89567</v>
      </c>
      <c r="I2411">
        <v>78000</v>
      </c>
    </row>
    <row r="2412" spans="1:9" x14ac:dyDescent="0.3">
      <c r="A2412" t="s">
        <v>2444</v>
      </c>
      <c r="B2412">
        <v>46007</v>
      </c>
      <c r="C2412" t="s">
        <v>25</v>
      </c>
      <c r="D2412" t="s">
        <v>11</v>
      </c>
      <c r="E2412" t="s">
        <v>22</v>
      </c>
      <c r="F2412" t="s">
        <v>46</v>
      </c>
      <c r="G2412" t="s">
        <v>19</v>
      </c>
      <c r="H2412">
        <v>16913</v>
      </c>
      <c r="I2412">
        <v>17100</v>
      </c>
    </row>
    <row r="2413" spans="1:9" x14ac:dyDescent="0.3">
      <c r="A2413" t="s">
        <v>2445</v>
      </c>
      <c r="B2413">
        <v>46007</v>
      </c>
      <c r="C2413" t="s">
        <v>31</v>
      </c>
      <c r="D2413" t="s">
        <v>11</v>
      </c>
      <c r="E2413" t="s">
        <v>17</v>
      </c>
      <c r="F2413" t="s">
        <v>42</v>
      </c>
      <c r="G2413" t="s">
        <v>19</v>
      </c>
      <c r="H2413">
        <v>53848</v>
      </c>
      <c r="I2413">
        <v>50700</v>
      </c>
    </row>
    <row r="2414" spans="1:9" x14ac:dyDescent="0.3">
      <c r="A2414" t="s">
        <v>2446</v>
      </c>
      <c r="B2414">
        <v>46008</v>
      </c>
      <c r="C2414" t="s">
        <v>36</v>
      </c>
      <c r="D2414" t="s">
        <v>11</v>
      </c>
      <c r="E2414" t="s">
        <v>37</v>
      </c>
      <c r="F2414" t="s">
        <v>59</v>
      </c>
      <c r="G2414" t="s">
        <v>14</v>
      </c>
      <c r="H2414">
        <v>89809</v>
      </c>
      <c r="I2414">
        <v>85300</v>
      </c>
    </row>
    <row r="2415" spans="1:9" x14ac:dyDescent="0.3">
      <c r="A2415" t="s">
        <v>2447</v>
      </c>
      <c r="B2415">
        <v>46008</v>
      </c>
      <c r="C2415" t="s">
        <v>21</v>
      </c>
      <c r="D2415" t="s">
        <v>11</v>
      </c>
      <c r="E2415" t="s">
        <v>22</v>
      </c>
      <c r="F2415" t="s">
        <v>26</v>
      </c>
      <c r="G2415" t="s">
        <v>14</v>
      </c>
      <c r="H2415">
        <v>193461</v>
      </c>
      <c r="I2415">
        <v>201200</v>
      </c>
    </row>
    <row r="2416" spans="1:9" x14ac:dyDescent="0.3">
      <c r="A2416" t="s">
        <v>2448</v>
      </c>
      <c r="B2416">
        <v>46008</v>
      </c>
      <c r="C2416" t="s">
        <v>25</v>
      </c>
      <c r="D2416" t="s">
        <v>11</v>
      </c>
      <c r="E2416" t="s">
        <v>22</v>
      </c>
      <c r="F2416" t="s">
        <v>39</v>
      </c>
      <c r="G2416" t="s">
        <v>19</v>
      </c>
      <c r="H2416">
        <v>92124</v>
      </c>
      <c r="I2416">
        <v>106100</v>
      </c>
    </row>
    <row r="2417" spans="1:9" x14ac:dyDescent="0.3">
      <c r="A2417" t="s">
        <v>2449</v>
      </c>
      <c r="B2417">
        <v>46008</v>
      </c>
      <c r="C2417" t="s">
        <v>31</v>
      </c>
      <c r="D2417" t="s">
        <v>11</v>
      </c>
      <c r="E2417" t="s">
        <v>17</v>
      </c>
      <c r="F2417" t="s">
        <v>59</v>
      </c>
      <c r="G2417" t="s">
        <v>14</v>
      </c>
      <c r="H2417">
        <v>134691</v>
      </c>
      <c r="I2417">
        <v>113400</v>
      </c>
    </row>
    <row r="2418" spans="1:9" x14ac:dyDescent="0.3">
      <c r="A2418" t="s">
        <v>2450</v>
      </c>
      <c r="B2418">
        <v>46008</v>
      </c>
      <c r="C2418" t="s">
        <v>31</v>
      </c>
      <c r="D2418" t="s">
        <v>11</v>
      </c>
      <c r="E2418" t="s">
        <v>17</v>
      </c>
      <c r="F2418" t="s">
        <v>37</v>
      </c>
      <c r="G2418" t="s">
        <v>14</v>
      </c>
      <c r="H2418">
        <v>33581</v>
      </c>
      <c r="I2418">
        <v>36900</v>
      </c>
    </row>
    <row r="2419" spans="1:9" x14ac:dyDescent="0.3">
      <c r="A2419" t="s">
        <v>2451</v>
      </c>
      <c r="B2419">
        <v>46008</v>
      </c>
      <c r="C2419" t="s">
        <v>55</v>
      </c>
      <c r="D2419" t="s">
        <v>11</v>
      </c>
      <c r="E2419" t="s">
        <v>37</v>
      </c>
      <c r="F2419" t="s">
        <v>33</v>
      </c>
      <c r="G2419" t="s">
        <v>19</v>
      </c>
      <c r="H2419">
        <v>94143</v>
      </c>
      <c r="I2419">
        <v>84700</v>
      </c>
    </row>
    <row r="2420" spans="1:9" x14ac:dyDescent="0.3">
      <c r="A2420" t="s">
        <v>2452</v>
      </c>
      <c r="B2420">
        <v>46009</v>
      </c>
      <c r="C2420" t="s">
        <v>62</v>
      </c>
      <c r="D2420" t="s">
        <v>11</v>
      </c>
      <c r="E2420" t="s">
        <v>22</v>
      </c>
      <c r="F2420" t="s">
        <v>59</v>
      </c>
      <c r="G2420" t="s">
        <v>14</v>
      </c>
      <c r="H2420">
        <v>173755</v>
      </c>
      <c r="I2420">
        <v>175300</v>
      </c>
    </row>
    <row r="2421" spans="1:9" x14ac:dyDescent="0.3">
      <c r="A2421" t="s">
        <v>2453</v>
      </c>
      <c r="B2421">
        <v>46009</v>
      </c>
      <c r="C2421" t="s">
        <v>16</v>
      </c>
      <c r="D2421" t="s">
        <v>11</v>
      </c>
      <c r="E2421" t="s">
        <v>17</v>
      </c>
      <c r="F2421" t="s">
        <v>56</v>
      </c>
      <c r="G2421" t="s">
        <v>19</v>
      </c>
      <c r="H2421">
        <v>71724</v>
      </c>
      <c r="I2421">
        <v>80000</v>
      </c>
    </row>
    <row r="2422" spans="1:9" x14ac:dyDescent="0.3">
      <c r="A2422" t="s">
        <v>2454</v>
      </c>
      <c r="B2422">
        <v>46009</v>
      </c>
      <c r="C2422" t="s">
        <v>21</v>
      </c>
      <c r="D2422" t="s">
        <v>11</v>
      </c>
      <c r="E2422" t="s">
        <v>22</v>
      </c>
      <c r="F2422" t="s">
        <v>33</v>
      </c>
      <c r="G2422" t="s">
        <v>19</v>
      </c>
      <c r="H2422">
        <v>118946</v>
      </c>
      <c r="I2422">
        <v>140700</v>
      </c>
    </row>
    <row r="2423" spans="1:9" x14ac:dyDescent="0.3">
      <c r="A2423" t="s">
        <v>2455</v>
      </c>
      <c r="B2423">
        <v>46009</v>
      </c>
      <c r="C2423" t="s">
        <v>25</v>
      </c>
      <c r="D2423" t="s">
        <v>11</v>
      </c>
      <c r="E2423" t="s">
        <v>22</v>
      </c>
      <c r="F2423" t="s">
        <v>56</v>
      </c>
      <c r="G2423" t="s">
        <v>19</v>
      </c>
      <c r="H2423">
        <v>73758</v>
      </c>
      <c r="I2423">
        <v>73900</v>
      </c>
    </row>
    <row r="2424" spans="1:9" x14ac:dyDescent="0.3">
      <c r="A2424" t="s">
        <v>2456</v>
      </c>
      <c r="B2424">
        <v>46009</v>
      </c>
      <c r="C2424" t="s">
        <v>25</v>
      </c>
      <c r="D2424" t="s">
        <v>11</v>
      </c>
      <c r="E2424" t="s">
        <v>22</v>
      </c>
      <c r="F2424" t="s">
        <v>18</v>
      </c>
      <c r="G2424" t="s">
        <v>19</v>
      </c>
      <c r="H2424">
        <v>69630</v>
      </c>
      <c r="I2424">
        <v>56800</v>
      </c>
    </row>
    <row r="2425" spans="1:9" x14ac:dyDescent="0.3">
      <c r="A2425" t="s">
        <v>2457</v>
      </c>
      <c r="B2425">
        <v>46009</v>
      </c>
      <c r="C2425" t="s">
        <v>31</v>
      </c>
      <c r="D2425" t="s">
        <v>11</v>
      </c>
      <c r="E2425" t="s">
        <v>17</v>
      </c>
      <c r="F2425" t="s">
        <v>18</v>
      </c>
      <c r="G2425" t="s">
        <v>19</v>
      </c>
      <c r="H2425">
        <v>90472</v>
      </c>
      <c r="I2425">
        <v>77200</v>
      </c>
    </row>
    <row r="2426" spans="1:9" x14ac:dyDescent="0.3">
      <c r="A2426" t="s">
        <v>2458</v>
      </c>
      <c r="B2426">
        <v>46010</v>
      </c>
      <c r="C2426" t="s">
        <v>62</v>
      </c>
      <c r="D2426" t="s">
        <v>11</v>
      </c>
      <c r="E2426" t="s">
        <v>22</v>
      </c>
      <c r="F2426" t="s">
        <v>59</v>
      </c>
      <c r="G2426" t="s">
        <v>14</v>
      </c>
      <c r="H2426">
        <v>118389</v>
      </c>
      <c r="I2426">
        <v>123000</v>
      </c>
    </row>
    <row r="2427" spans="1:9" x14ac:dyDescent="0.3">
      <c r="A2427" t="s">
        <v>2459</v>
      </c>
      <c r="B2427">
        <v>46010</v>
      </c>
      <c r="C2427" t="s">
        <v>10</v>
      </c>
      <c r="D2427" t="s">
        <v>11</v>
      </c>
      <c r="E2427" t="s">
        <v>12</v>
      </c>
      <c r="F2427" t="s">
        <v>13</v>
      </c>
      <c r="G2427" t="s">
        <v>14</v>
      </c>
      <c r="H2427">
        <v>106187</v>
      </c>
      <c r="I2427">
        <v>98700</v>
      </c>
    </row>
    <row r="2428" spans="1:9" x14ac:dyDescent="0.3">
      <c r="A2428" t="s">
        <v>2460</v>
      </c>
      <c r="B2428">
        <v>46010</v>
      </c>
      <c r="C2428" t="s">
        <v>16</v>
      </c>
      <c r="D2428" t="s">
        <v>11</v>
      </c>
      <c r="E2428" t="s">
        <v>17</v>
      </c>
      <c r="F2428" t="s">
        <v>37</v>
      </c>
      <c r="G2428" t="s">
        <v>14</v>
      </c>
      <c r="H2428">
        <v>141320</v>
      </c>
      <c r="I2428">
        <v>136800</v>
      </c>
    </row>
    <row r="2429" spans="1:9" x14ac:dyDescent="0.3">
      <c r="A2429" t="s">
        <v>2461</v>
      </c>
      <c r="B2429">
        <v>46010</v>
      </c>
      <c r="C2429" t="s">
        <v>31</v>
      </c>
      <c r="D2429" t="s">
        <v>11</v>
      </c>
      <c r="E2429" t="s">
        <v>17</v>
      </c>
      <c r="F2429" t="s">
        <v>56</v>
      </c>
      <c r="G2429" t="s">
        <v>19</v>
      </c>
      <c r="H2429">
        <v>26461</v>
      </c>
      <c r="I2429">
        <v>29400</v>
      </c>
    </row>
    <row r="2430" spans="1:9" x14ac:dyDescent="0.3">
      <c r="A2430" t="s">
        <v>2462</v>
      </c>
      <c r="B2430">
        <v>46010</v>
      </c>
      <c r="C2430" t="s">
        <v>55</v>
      </c>
      <c r="D2430" t="s">
        <v>11</v>
      </c>
      <c r="E2430" t="s">
        <v>37</v>
      </c>
      <c r="F2430" t="s">
        <v>33</v>
      </c>
      <c r="G2430" t="s">
        <v>19</v>
      </c>
      <c r="H2430">
        <v>118945</v>
      </c>
      <c r="I2430">
        <v>119900</v>
      </c>
    </row>
    <row r="2431" spans="1:9" x14ac:dyDescent="0.3">
      <c r="A2431" t="s">
        <v>2463</v>
      </c>
      <c r="B2431">
        <v>46011</v>
      </c>
      <c r="C2431" t="s">
        <v>62</v>
      </c>
      <c r="D2431" t="s">
        <v>11</v>
      </c>
      <c r="E2431" t="s">
        <v>22</v>
      </c>
      <c r="F2431" t="s">
        <v>37</v>
      </c>
      <c r="G2431" t="s">
        <v>14</v>
      </c>
      <c r="H2431">
        <v>189143</v>
      </c>
      <c r="I2431">
        <v>192900</v>
      </c>
    </row>
    <row r="2432" spans="1:9" x14ac:dyDescent="0.3">
      <c r="A2432" t="s">
        <v>2464</v>
      </c>
      <c r="B2432">
        <v>46011</v>
      </c>
      <c r="C2432" t="s">
        <v>36</v>
      </c>
      <c r="D2432" t="s">
        <v>11</v>
      </c>
      <c r="E2432" t="s">
        <v>37</v>
      </c>
      <c r="F2432" t="s">
        <v>56</v>
      </c>
      <c r="G2432" t="s">
        <v>19</v>
      </c>
      <c r="H2432">
        <v>78832</v>
      </c>
      <c r="I2432">
        <v>70000</v>
      </c>
    </row>
    <row r="2433" spans="1:9" x14ac:dyDescent="0.3">
      <c r="A2433" t="s">
        <v>2465</v>
      </c>
      <c r="B2433">
        <v>46011</v>
      </c>
      <c r="C2433" t="s">
        <v>21</v>
      </c>
      <c r="D2433" t="s">
        <v>11</v>
      </c>
      <c r="E2433" t="s">
        <v>22</v>
      </c>
      <c r="F2433" t="s">
        <v>26</v>
      </c>
      <c r="G2433" t="s">
        <v>14</v>
      </c>
      <c r="H2433">
        <v>115442</v>
      </c>
      <c r="I2433">
        <v>118300</v>
      </c>
    </row>
    <row r="2434" spans="1:9" x14ac:dyDescent="0.3">
      <c r="A2434" t="s">
        <v>2466</v>
      </c>
      <c r="B2434">
        <v>46011</v>
      </c>
      <c r="C2434" t="s">
        <v>25</v>
      </c>
      <c r="D2434" t="s">
        <v>11</v>
      </c>
      <c r="E2434" t="s">
        <v>22</v>
      </c>
      <c r="F2434" t="s">
        <v>18</v>
      </c>
      <c r="G2434" t="s">
        <v>19</v>
      </c>
      <c r="H2434">
        <v>40019</v>
      </c>
      <c r="I2434">
        <v>35000</v>
      </c>
    </row>
    <row r="2435" spans="1:9" x14ac:dyDescent="0.3">
      <c r="A2435" t="s">
        <v>2467</v>
      </c>
      <c r="B2435">
        <v>46011</v>
      </c>
      <c r="C2435" t="s">
        <v>31</v>
      </c>
      <c r="D2435" t="s">
        <v>11</v>
      </c>
      <c r="E2435" t="s">
        <v>17</v>
      </c>
      <c r="F2435" t="s">
        <v>42</v>
      </c>
      <c r="G2435" t="s">
        <v>19</v>
      </c>
      <c r="H2435">
        <v>43726</v>
      </c>
      <c r="I2435">
        <v>41900</v>
      </c>
    </row>
    <row r="2436" spans="1:9" x14ac:dyDescent="0.3">
      <c r="A2436" t="s">
        <v>2468</v>
      </c>
      <c r="B2436">
        <v>46012</v>
      </c>
      <c r="C2436" t="s">
        <v>62</v>
      </c>
      <c r="D2436" t="s">
        <v>11</v>
      </c>
      <c r="E2436" t="s">
        <v>22</v>
      </c>
      <c r="F2436" t="s">
        <v>42</v>
      </c>
      <c r="G2436" t="s">
        <v>19</v>
      </c>
      <c r="H2436">
        <v>54623</v>
      </c>
      <c r="I2436">
        <v>46600</v>
      </c>
    </row>
    <row r="2437" spans="1:9" x14ac:dyDescent="0.3">
      <c r="A2437" t="s">
        <v>2469</v>
      </c>
      <c r="B2437">
        <v>46012</v>
      </c>
      <c r="C2437" t="s">
        <v>10</v>
      </c>
      <c r="D2437" t="s">
        <v>11</v>
      </c>
      <c r="E2437" t="s">
        <v>12</v>
      </c>
      <c r="F2437" t="s">
        <v>26</v>
      </c>
      <c r="G2437" t="s">
        <v>14</v>
      </c>
      <c r="H2437">
        <v>31692</v>
      </c>
      <c r="I2437">
        <v>34200</v>
      </c>
    </row>
    <row r="2438" spans="1:9" x14ac:dyDescent="0.3">
      <c r="A2438" t="s">
        <v>2470</v>
      </c>
      <c r="B2438">
        <v>46012</v>
      </c>
      <c r="C2438" t="s">
        <v>16</v>
      </c>
      <c r="D2438" t="s">
        <v>11</v>
      </c>
      <c r="E2438" t="s">
        <v>17</v>
      </c>
      <c r="F2438" t="s">
        <v>26</v>
      </c>
      <c r="G2438" t="s">
        <v>14</v>
      </c>
      <c r="H2438">
        <v>144688</v>
      </c>
      <c r="I2438">
        <v>153300</v>
      </c>
    </row>
    <row r="2439" spans="1:9" x14ac:dyDescent="0.3">
      <c r="A2439" t="s">
        <v>2471</v>
      </c>
      <c r="B2439">
        <v>46012</v>
      </c>
      <c r="C2439" t="s">
        <v>16</v>
      </c>
      <c r="D2439" t="s">
        <v>11</v>
      </c>
      <c r="E2439" t="s">
        <v>17</v>
      </c>
      <c r="F2439" t="s">
        <v>23</v>
      </c>
      <c r="G2439" t="s">
        <v>14</v>
      </c>
      <c r="H2439">
        <v>241006</v>
      </c>
      <c r="I2439">
        <v>225400</v>
      </c>
    </row>
    <row r="2440" spans="1:9" x14ac:dyDescent="0.3">
      <c r="A2440" t="s">
        <v>2472</v>
      </c>
      <c r="B2440">
        <v>46012</v>
      </c>
      <c r="C2440" t="s">
        <v>21</v>
      </c>
      <c r="D2440" t="s">
        <v>11</v>
      </c>
      <c r="E2440" t="s">
        <v>22</v>
      </c>
      <c r="F2440" t="s">
        <v>26</v>
      </c>
      <c r="G2440" t="s">
        <v>14</v>
      </c>
      <c r="H2440">
        <v>194874</v>
      </c>
      <c r="I2440">
        <v>188900</v>
      </c>
    </row>
    <row r="2441" spans="1:9" x14ac:dyDescent="0.3">
      <c r="A2441" t="s">
        <v>2473</v>
      </c>
      <c r="B2441">
        <v>46012</v>
      </c>
      <c r="C2441" t="s">
        <v>55</v>
      </c>
      <c r="D2441" t="s">
        <v>11</v>
      </c>
      <c r="E2441" t="s">
        <v>37</v>
      </c>
      <c r="F2441" t="s">
        <v>56</v>
      </c>
      <c r="G2441" t="s">
        <v>19</v>
      </c>
      <c r="H2441">
        <v>104427</v>
      </c>
      <c r="I2441">
        <v>114100</v>
      </c>
    </row>
    <row r="2442" spans="1:9" x14ac:dyDescent="0.3">
      <c r="A2442" t="s">
        <v>2474</v>
      </c>
      <c r="B2442">
        <v>46012</v>
      </c>
      <c r="C2442" t="s">
        <v>55</v>
      </c>
      <c r="D2442" t="s">
        <v>11</v>
      </c>
      <c r="E2442" t="s">
        <v>37</v>
      </c>
      <c r="F2442" t="s">
        <v>13</v>
      </c>
      <c r="G2442" t="s">
        <v>14</v>
      </c>
      <c r="H2442">
        <v>122835</v>
      </c>
      <c r="I2442">
        <v>133900</v>
      </c>
    </row>
    <row r="2443" spans="1:9" x14ac:dyDescent="0.3">
      <c r="A2443" t="s">
        <v>2475</v>
      </c>
      <c r="B2443">
        <v>46013</v>
      </c>
      <c r="C2443" t="s">
        <v>21</v>
      </c>
      <c r="D2443" t="s">
        <v>11</v>
      </c>
      <c r="E2443" t="s">
        <v>22</v>
      </c>
      <c r="F2443" t="s">
        <v>33</v>
      </c>
      <c r="G2443" t="s">
        <v>19</v>
      </c>
      <c r="H2443">
        <v>73507</v>
      </c>
      <c r="I2443">
        <v>64900</v>
      </c>
    </row>
    <row r="2444" spans="1:9" x14ac:dyDescent="0.3">
      <c r="A2444" t="s">
        <v>2476</v>
      </c>
      <c r="B2444">
        <v>46013</v>
      </c>
      <c r="C2444" t="s">
        <v>21</v>
      </c>
      <c r="D2444" t="s">
        <v>11</v>
      </c>
      <c r="E2444" t="s">
        <v>22</v>
      </c>
      <c r="F2444" t="s">
        <v>42</v>
      </c>
      <c r="G2444" t="s">
        <v>19</v>
      </c>
      <c r="H2444">
        <v>41594</v>
      </c>
      <c r="I2444">
        <v>41000</v>
      </c>
    </row>
    <row r="2445" spans="1:9" x14ac:dyDescent="0.3">
      <c r="A2445" t="s">
        <v>2477</v>
      </c>
      <c r="B2445">
        <v>46013</v>
      </c>
      <c r="C2445" t="s">
        <v>21</v>
      </c>
      <c r="D2445" t="s">
        <v>11</v>
      </c>
      <c r="E2445" t="s">
        <v>22</v>
      </c>
      <c r="F2445" t="s">
        <v>37</v>
      </c>
      <c r="G2445" t="s">
        <v>14</v>
      </c>
      <c r="H2445">
        <v>212451</v>
      </c>
      <c r="I2445">
        <v>236500</v>
      </c>
    </row>
    <row r="2446" spans="1:9" x14ac:dyDescent="0.3">
      <c r="A2446" t="s">
        <v>2478</v>
      </c>
      <c r="B2446">
        <v>46013</v>
      </c>
      <c r="C2446" t="s">
        <v>25</v>
      </c>
      <c r="D2446" t="s">
        <v>11</v>
      </c>
      <c r="E2446" t="s">
        <v>22</v>
      </c>
      <c r="F2446" t="s">
        <v>13</v>
      </c>
      <c r="G2446" t="s">
        <v>14</v>
      </c>
      <c r="H2446">
        <v>118488</v>
      </c>
      <c r="I2446">
        <v>126000</v>
      </c>
    </row>
    <row r="2447" spans="1:9" x14ac:dyDescent="0.3">
      <c r="A2447" t="s">
        <v>2479</v>
      </c>
      <c r="B2447">
        <v>46013</v>
      </c>
      <c r="C2447" t="s">
        <v>31</v>
      </c>
      <c r="D2447" t="s">
        <v>11</v>
      </c>
      <c r="E2447" t="s">
        <v>17</v>
      </c>
      <c r="F2447" t="s">
        <v>39</v>
      </c>
      <c r="G2447" t="s">
        <v>19</v>
      </c>
      <c r="H2447">
        <v>109911</v>
      </c>
      <c r="I2447">
        <v>118300</v>
      </c>
    </row>
    <row r="2448" spans="1:9" x14ac:dyDescent="0.3">
      <c r="A2448" t="s">
        <v>2480</v>
      </c>
      <c r="B2448">
        <v>46013</v>
      </c>
      <c r="C2448" t="s">
        <v>31</v>
      </c>
      <c r="D2448" t="s">
        <v>11</v>
      </c>
      <c r="E2448" t="s">
        <v>17</v>
      </c>
      <c r="F2448" t="s">
        <v>23</v>
      </c>
      <c r="G2448" t="s">
        <v>14</v>
      </c>
      <c r="H2448">
        <v>156418</v>
      </c>
      <c r="I2448">
        <v>144000</v>
      </c>
    </row>
    <row r="2449" spans="1:9" x14ac:dyDescent="0.3">
      <c r="A2449" t="s">
        <v>2481</v>
      </c>
      <c r="B2449">
        <v>46013</v>
      </c>
      <c r="C2449" t="s">
        <v>55</v>
      </c>
      <c r="D2449" t="s">
        <v>11</v>
      </c>
      <c r="E2449" t="s">
        <v>37</v>
      </c>
      <c r="F2449" t="s">
        <v>42</v>
      </c>
      <c r="G2449" t="s">
        <v>19</v>
      </c>
      <c r="H2449">
        <v>60353</v>
      </c>
      <c r="I2449">
        <v>59400</v>
      </c>
    </row>
    <row r="2450" spans="1:9" x14ac:dyDescent="0.3">
      <c r="A2450" t="s">
        <v>2482</v>
      </c>
      <c r="B2450">
        <v>46014</v>
      </c>
      <c r="C2450" t="s">
        <v>31</v>
      </c>
      <c r="D2450" t="s">
        <v>11</v>
      </c>
      <c r="E2450" t="s">
        <v>17</v>
      </c>
      <c r="F2450" t="s">
        <v>56</v>
      </c>
      <c r="G2450" t="s">
        <v>19</v>
      </c>
      <c r="H2450">
        <v>34606</v>
      </c>
      <c r="I2450">
        <v>34600</v>
      </c>
    </row>
    <row r="2451" spans="1:9" x14ac:dyDescent="0.3">
      <c r="A2451" t="s">
        <v>2483</v>
      </c>
      <c r="B2451">
        <v>46015</v>
      </c>
      <c r="C2451" t="s">
        <v>10</v>
      </c>
      <c r="D2451" t="s">
        <v>11</v>
      </c>
      <c r="E2451" t="s">
        <v>12</v>
      </c>
      <c r="F2451" t="s">
        <v>33</v>
      </c>
      <c r="G2451" t="s">
        <v>19</v>
      </c>
      <c r="H2451">
        <v>93266</v>
      </c>
      <c r="I2451">
        <v>113000</v>
      </c>
    </row>
    <row r="2452" spans="1:9" x14ac:dyDescent="0.3">
      <c r="A2452" t="s">
        <v>2484</v>
      </c>
      <c r="B2452">
        <v>46015</v>
      </c>
      <c r="C2452" t="s">
        <v>16</v>
      </c>
      <c r="D2452" t="s">
        <v>11</v>
      </c>
      <c r="E2452" t="s">
        <v>17</v>
      </c>
      <c r="F2452" t="s">
        <v>37</v>
      </c>
      <c r="G2452" t="s">
        <v>14</v>
      </c>
      <c r="H2452">
        <v>77255</v>
      </c>
      <c r="I2452">
        <v>72900</v>
      </c>
    </row>
    <row r="2453" spans="1:9" x14ac:dyDescent="0.3">
      <c r="A2453" t="s">
        <v>2485</v>
      </c>
      <c r="B2453">
        <v>46015</v>
      </c>
      <c r="C2453" t="s">
        <v>36</v>
      </c>
      <c r="D2453" t="s">
        <v>11</v>
      </c>
      <c r="E2453" t="s">
        <v>37</v>
      </c>
      <c r="F2453" t="s">
        <v>37</v>
      </c>
      <c r="G2453" t="s">
        <v>14</v>
      </c>
      <c r="H2453">
        <v>247271</v>
      </c>
      <c r="I2453">
        <v>247500</v>
      </c>
    </row>
    <row r="2454" spans="1:9" x14ac:dyDescent="0.3">
      <c r="A2454" t="s">
        <v>2486</v>
      </c>
      <c r="B2454">
        <v>46015</v>
      </c>
      <c r="C2454" t="s">
        <v>21</v>
      </c>
      <c r="D2454" t="s">
        <v>11</v>
      </c>
      <c r="E2454" t="s">
        <v>22</v>
      </c>
      <c r="F2454" t="s">
        <v>12</v>
      </c>
      <c r="G2454" t="s">
        <v>14</v>
      </c>
      <c r="H2454">
        <v>245271</v>
      </c>
      <c r="I2454">
        <v>253900</v>
      </c>
    </row>
    <row r="2455" spans="1:9" x14ac:dyDescent="0.3">
      <c r="A2455" t="s">
        <v>2487</v>
      </c>
      <c r="B2455">
        <v>46015</v>
      </c>
      <c r="C2455" t="s">
        <v>55</v>
      </c>
      <c r="D2455" t="s">
        <v>11</v>
      </c>
      <c r="E2455" t="s">
        <v>37</v>
      </c>
      <c r="F2455" t="s">
        <v>39</v>
      </c>
      <c r="G2455" t="s">
        <v>19</v>
      </c>
      <c r="H2455">
        <v>57932</v>
      </c>
      <c r="I2455">
        <v>63000</v>
      </c>
    </row>
    <row r="2456" spans="1:9" x14ac:dyDescent="0.3">
      <c r="A2456" t="s">
        <v>2488</v>
      </c>
      <c r="B2456">
        <v>46016</v>
      </c>
      <c r="C2456" t="s">
        <v>62</v>
      </c>
      <c r="D2456" t="s">
        <v>11</v>
      </c>
      <c r="E2456" t="s">
        <v>22</v>
      </c>
      <c r="F2456" t="s">
        <v>46</v>
      </c>
      <c r="G2456" t="s">
        <v>19</v>
      </c>
      <c r="H2456">
        <v>43187</v>
      </c>
      <c r="I2456">
        <v>45700</v>
      </c>
    </row>
    <row r="2457" spans="1:9" x14ac:dyDescent="0.3">
      <c r="A2457" t="s">
        <v>2489</v>
      </c>
      <c r="B2457">
        <v>46016</v>
      </c>
      <c r="C2457" t="s">
        <v>21</v>
      </c>
      <c r="D2457" t="s">
        <v>11</v>
      </c>
      <c r="E2457" t="s">
        <v>22</v>
      </c>
      <c r="F2457" t="s">
        <v>42</v>
      </c>
      <c r="G2457" t="s">
        <v>19</v>
      </c>
      <c r="H2457">
        <v>99046</v>
      </c>
      <c r="I2457">
        <v>98500</v>
      </c>
    </row>
    <row r="2458" spans="1:9" x14ac:dyDescent="0.3">
      <c r="A2458" t="s">
        <v>2490</v>
      </c>
      <c r="B2458">
        <v>46016</v>
      </c>
      <c r="C2458" t="s">
        <v>25</v>
      </c>
      <c r="D2458" t="s">
        <v>11</v>
      </c>
      <c r="E2458" t="s">
        <v>22</v>
      </c>
      <c r="F2458" t="s">
        <v>26</v>
      </c>
      <c r="G2458" t="s">
        <v>14</v>
      </c>
      <c r="H2458">
        <v>113091</v>
      </c>
      <c r="I2458">
        <v>114300</v>
      </c>
    </row>
    <row r="2459" spans="1:9" x14ac:dyDescent="0.3">
      <c r="A2459" t="s">
        <v>2491</v>
      </c>
      <c r="B2459">
        <v>46016</v>
      </c>
      <c r="C2459" t="s">
        <v>31</v>
      </c>
      <c r="D2459" t="s">
        <v>11</v>
      </c>
      <c r="E2459" t="s">
        <v>17</v>
      </c>
      <c r="F2459" t="s">
        <v>42</v>
      </c>
      <c r="G2459" t="s">
        <v>19</v>
      </c>
      <c r="H2459">
        <v>110364</v>
      </c>
      <c r="I2459">
        <v>113900</v>
      </c>
    </row>
    <row r="2460" spans="1:9" x14ac:dyDescent="0.3">
      <c r="A2460" t="s">
        <v>2492</v>
      </c>
      <c r="B2460">
        <v>46017</v>
      </c>
      <c r="C2460" t="s">
        <v>16</v>
      </c>
      <c r="D2460" t="s">
        <v>11</v>
      </c>
      <c r="E2460" t="s">
        <v>17</v>
      </c>
      <c r="F2460" t="s">
        <v>12</v>
      </c>
      <c r="G2460" t="s">
        <v>14</v>
      </c>
      <c r="H2460">
        <v>25245</v>
      </c>
      <c r="I2460">
        <v>28800</v>
      </c>
    </row>
    <row r="2461" spans="1:9" x14ac:dyDescent="0.3">
      <c r="A2461" t="s">
        <v>2493</v>
      </c>
      <c r="B2461">
        <v>46017</v>
      </c>
      <c r="C2461" t="s">
        <v>16</v>
      </c>
      <c r="D2461" t="s">
        <v>11</v>
      </c>
      <c r="E2461" t="s">
        <v>17</v>
      </c>
      <c r="F2461" t="s">
        <v>12</v>
      </c>
      <c r="G2461" t="s">
        <v>14</v>
      </c>
      <c r="H2461">
        <v>146420</v>
      </c>
      <c r="I2461">
        <v>150200</v>
      </c>
    </row>
    <row r="2462" spans="1:9" x14ac:dyDescent="0.3">
      <c r="A2462" t="s">
        <v>2494</v>
      </c>
      <c r="B2462">
        <v>46017</v>
      </c>
      <c r="C2462" t="s">
        <v>21</v>
      </c>
      <c r="D2462" t="s">
        <v>11</v>
      </c>
      <c r="E2462" t="s">
        <v>22</v>
      </c>
      <c r="F2462" t="s">
        <v>42</v>
      </c>
      <c r="G2462" t="s">
        <v>19</v>
      </c>
      <c r="H2462">
        <v>107280</v>
      </c>
      <c r="I2462">
        <v>110200</v>
      </c>
    </row>
    <row r="2463" spans="1:9" x14ac:dyDescent="0.3">
      <c r="A2463" t="s">
        <v>2495</v>
      </c>
      <c r="B2463">
        <v>46018</v>
      </c>
      <c r="C2463" t="s">
        <v>62</v>
      </c>
      <c r="D2463" t="s">
        <v>11</v>
      </c>
      <c r="E2463" t="s">
        <v>22</v>
      </c>
      <c r="F2463" t="s">
        <v>12</v>
      </c>
      <c r="G2463" t="s">
        <v>14</v>
      </c>
      <c r="H2463">
        <v>117797</v>
      </c>
      <c r="I2463">
        <v>109200</v>
      </c>
    </row>
    <row r="2464" spans="1:9" x14ac:dyDescent="0.3">
      <c r="A2464" t="s">
        <v>2496</v>
      </c>
      <c r="B2464">
        <v>46018</v>
      </c>
      <c r="C2464" t="s">
        <v>62</v>
      </c>
      <c r="D2464" t="s">
        <v>11</v>
      </c>
      <c r="E2464" t="s">
        <v>22</v>
      </c>
      <c r="F2464" t="s">
        <v>12</v>
      </c>
      <c r="G2464" t="s">
        <v>14</v>
      </c>
      <c r="H2464">
        <v>137642</v>
      </c>
      <c r="I2464">
        <v>146000</v>
      </c>
    </row>
    <row r="2465" spans="1:9" x14ac:dyDescent="0.3">
      <c r="A2465" t="s">
        <v>2497</v>
      </c>
      <c r="B2465">
        <v>46018</v>
      </c>
      <c r="C2465" t="s">
        <v>16</v>
      </c>
      <c r="D2465" t="s">
        <v>11</v>
      </c>
      <c r="E2465" t="s">
        <v>17</v>
      </c>
      <c r="F2465" t="s">
        <v>42</v>
      </c>
      <c r="G2465" t="s">
        <v>19</v>
      </c>
      <c r="H2465">
        <v>50809</v>
      </c>
      <c r="I2465">
        <v>49300</v>
      </c>
    </row>
    <row r="2466" spans="1:9" x14ac:dyDescent="0.3">
      <c r="A2466" t="s">
        <v>2498</v>
      </c>
      <c r="B2466">
        <v>46018</v>
      </c>
      <c r="C2466" t="s">
        <v>36</v>
      </c>
      <c r="D2466" t="s">
        <v>11</v>
      </c>
      <c r="E2466" t="s">
        <v>37</v>
      </c>
      <c r="F2466" t="s">
        <v>42</v>
      </c>
      <c r="G2466" t="s">
        <v>19</v>
      </c>
      <c r="H2466">
        <v>36277</v>
      </c>
      <c r="I2466">
        <v>31600</v>
      </c>
    </row>
    <row r="2467" spans="1:9" x14ac:dyDescent="0.3">
      <c r="A2467" t="s">
        <v>2499</v>
      </c>
      <c r="B2467">
        <v>46018</v>
      </c>
      <c r="C2467" t="s">
        <v>25</v>
      </c>
      <c r="D2467" t="s">
        <v>11</v>
      </c>
      <c r="E2467" t="s">
        <v>22</v>
      </c>
      <c r="F2467" t="s">
        <v>56</v>
      </c>
      <c r="G2467" t="s">
        <v>19</v>
      </c>
      <c r="H2467">
        <v>53412</v>
      </c>
      <c r="I2467">
        <v>51100</v>
      </c>
    </row>
    <row r="2468" spans="1:9" x14ac:dyDescent="0.3">
      <c r="A2468" t="s">
        <v>2500</v>
      </c>
      <c r="B2468">
        <v>46018</v>
      </c>
      <c r="C2468" t="s">
        <v>31</v>
      </c>
      <c r="D2468" t="s">
        <v>11</v>
      </c>
      <c r="E2468" t="s">
        <v>17</v>
      </c>
      <c r="F2468" t="s">
        <v>33</v>
      </c>
      <c r="G2468" t="s">
        <v>19</v>
      </c>
      <c r="H2468">
        <v>30110</v>
      </c>
      <c r="I2468">
        <v>35600</v>
      </c>
    </row>
    <row r="2469" spans="1:9" x14ac:dyDescent="0.3">
      <c r="A2469" t="s">
        <v>2501</v>
      </c>
      <c r="B2469">
        <v>46018</v>
      </c>
      <c r="C2469" t="s">
        <v>31</v>
      </c>
      <c r="D2469" t="s">
        <v>11</v>
      </c>
      <c r="E2469" t="s">
        <v>17</v>
      </c>
      <c r="F2469" t="s">
        <v>39</v>
      </c>
      <c r="G2469" t="s">
        <v>19</v>
      </c>
      <c r="H2469">
        <v>87496</v>
      </c>
      <c r="I2469">
        <v>94200</v>
      </c>
    </row>
    <row r="2470" spans="1:9" x14ac:dyDescent="0.3">
      <c r="A2470" t="s">
        <v>2502</v>
      </c>
      <c r="B2470">
        <v>46018</v>
      </c>
      <c r="C2470" t="s">
        <v>55</v>
      </c>
      <c r="D2470" t="s">
        <v>11</v>
      </c>
      <c r="E2470" t="s">
        <v>37</v>
      </c>
      <c r="F2470" t="s">
        <v>42</v>
      </c>
      <c r="G2470" t="s">
        <v>19</v>
      </c>
      <c r="H2470">
        <v>116186</v>
      </c>
      <c r="I2470">
        <v>99800</v>
      </c>
    </row>
    <row r="2471" spans="1:9" x14ac:dyDescent="0.3">
      <c r="A2471" t="s">
        <v>2503</v>
      </c>
      <c r="B2471">
        <v>46019</v>
      </c>
      <c r="C2471" t="s">
        <v>10</v>
      </c>
      <c r="D2471" t="s">
        <v>11</v>
      </c>
      <c r="E2471" t="s">
        <v>12</v>
      </c>
      <c r="F2471" t="s">
        <v>37</v>
      </c>
      <c r="G2471" t="s">
        <v>14</v>
      </c>
      <c r="H2471">
        <v>147391</v>
      </c>
      <c r="I2471">
        <v>162700</v>
      </c>
    </row>
    <row r="2472" spans="1:9" x14ac:dyDescent="0.3">
      <c r="A2472" t="s">
        <v>2504</v>
      </c>
      <c r="B2472">
        <v>46019</v>
      </c>
      <c r="C2472" t="s">
        <v>16</v>
      </c>
      <c r="D2472" t="s">
        <v>11</v>
      </c>
      <c r="E2472" t="s">
        <v>17</v>
      </c>
      <c r="F2472" t="s">
        <v>46</v>
      </c>
      <c r="G2472" t="s">
        <v>19</v>
      </c>
      <c r="H2472">
        <v>86673</v>
      </c>
      <c r="I2472">
        <v>101300</v>
      </c>
    </row>
    <row r="2473" spans="1:9" x14ac:dyDescent="0.3">
      <c r="A2473" t="s">
        <v>2505</v>
      </c>
      <c r="B2473">
        <v>46019</v>
      </c>
      <c r="C2473" t="s">
        <v>16</v>
      </c>
      <c r="D2473" t="s">
        <v>11</v>
      </c>
      <c r="E2473" t="s">
        <v>17</v>
      </c>
      <c r="F2473" t="s">
        <v>18</v>
      </c>
      <c r="G2473" t="s">
        <v>19</v>
      </c>
      <c r="H2473">
        <v>42301</v>
      </c>
      <c r="I2473">
        <v>35800</v>
      </c>
    </row>
    <row r="2474" spans="1:9" x14ac:dyDescent="0.3">
      <c r="A2474" t="s">
        <v>2506</v>
      </c>
      <c r="B2474">
        <v>46019</v>
      </c>
      <c r="C2474" t="s">
        <v>16</v>
      </c>
      <c r="D2474" t="s">
        <v>11</v>
      </c>
      <c r="E2474" t="s">
        <v>17</v>
      </c>
      <c r="F2474" t="s">
        <v>23</v>
      </c>
      <c r="G2474" t="s">
        <v>14</v>
      </c>
      <c r="H2474">
        <v>50578</v>
      </c>
      <c r="I2474">
        <v>52500</v>
      </c>
    </row>
    <row r="2475" spans="1:9" x14ac:dyDescent="0.3">
      <c r="A2475" t="s">
        <v>2507</v>
      </c>
      <c r="B2475">
        <v>46019</v>
      </c>
      <c r="C2475" t="s">
        <v>36</v>
      </c>
      <c r="D2475" t="s">
        <v>11</v>
      </c>
      <c r="E2475" t="s">
        <v>37</v>
      </c>
      <c r="F2475" t="s">
        <v>26</v>
      </c>
      <c r="G2475" t="s">
        <v>14</v>
      </c>
      <c r="H2475">
        <v>211949</v>
      </c>
      <c r="I2475">
        <v>200600</v>
      </c>
    </row>
    <row r="2476" spans="1:9" x14ac:dyDescent="0.3">
      <c r="A2476" t="s">
        <v>2508</v>
      </c>
      <c r="B2476">
        <v>46019</v>
      </c>
      <c r="C2476" t="s">
        <v>21</v>
      </c>
      <c r="D2476" t="s">
        <v>11</v>
      </c>
      <c r="E2476" t="s">
        <v>22</v>
      </c>
      <c r="F2476" t="s">
        <v>42</v>
      </c>
      <c r="G2476" t="s">
        <v>19</v>
      </c>
      <c r="H2476">
        <v>74946</v>
      </c>
      <c r="I2476">
        <v>75500</v>
      </c>
    </row>
    <row r="2477" spans="1:9" x14ac:dyDescent="0.3">
      <c r="A2477" t="s">
        <v>2509</v>
      </c>
      <c r="B2477">
        <v>46019</v>
      </c>
      <c r="C2477" t="s">
        <v>21</v>
      </c>
      <c r="D2477" t="s">
        <v>11</v>
      </c>
      <c r="E2477" t="s">
        <v>22</v>
      </c>
      <c r="F2477" t="s">
        <v>13</v>
      </c>
      <c r="G2477" t="s">
        <v>14</v>
      </c>
      <c r="H2477">
        <v>153103</v>
      </c>
      <c r="I2477">
        <v>137200</v>
      </c>
    </row>
    <row r="2478" spans="1:9" x14ac:dyDescent="0.3">
      <c r="A2478" t="s">
        <v>2510</v>
      </c>
      <c r="B2478">
        <v>46019</v>
      </c>
      <c r="C2478" t="s">
        <v>25</v>
      </c>
      <c r="D2478" t="s">
        <v>11</v>
      </c>
      <c r="E2478" t="s">
        <v>22</v>
      </c>
      <c r="F2478" t="s">
        <v>59</v>
      </c>
      <c r="G2478" t="s">
        <v>14</v>
      </c>
      <c r="H2478">
        <v>72227</v>
      </c>
      <c r="I2478">
        <v>66500</v>
      </c>
    </row>
    <row r="2479" spans="1:9" x14ac:dyDescent="0.3">
      <c r="A2479" t="s">
        <v>2511</v>
      </c>
      <c r="B2479">
        <v>46019</v>
      </c>
      <c r="C2479" t="s">
        <v>31</v>
      </c>
      <c r="D2479" t="s">
        <v>11</v>
      </c>
      <c r="E2479" t="s">
        <v>17</v>
      </c>
      <c r="F2479" t="s">
        <v>46</v>
      </c>
      <c r="G2479" t="s">
        <v>19</v>
      </c>
      <c r="H2479">
        <v>17699</v>
      </c>
      <c r="I2479">
        <v>16600</v>
      </c>
    </row>
    <row r="2480" spans="1:9" x14ac:dyDescent="0.3">
      <c r="A2480" t="s">
        <v>2512</v>
      </c>
      <c r="B2480">
        <v>46019</v>
      </c>
      <c r="C2480" t="s">
        <v>31</v>
      </c>
      <c r="D2480" t="s">
        <v>11</v>
      </c>
      <c r="E2480" t="s">
        <v>17</v>
      </c>
      <c r="F2480" t="s">
        <v>42</v>
      </c>
      <c r="G2480" t="s">
        <v>19</v>
      </c>
      <c r="H2480">
        <v>78762</v>
      </c>
      <c r="I2480">
        <v>77600</v>
      </c>
    </row>
    <row r="2481" spans="1:9" x14ac:dyDescent="0.3">
      <c r="A2481" t="s">
        <v>2513</v>
      </c>
      <c r="B2481">
        <v>46019</v>
      </c>
      <c r="C2481" t="s">
        <v>55</v>
      </c>
      <c r="D2481" t="s">
        <v>11</v>
      </c>
      <c r="E2481" t="s">
        <v>37</v>
      </c>
      <c r="F2481" t="s">
        <v>56</v>
      </c>
      <c r="G2481" t="s">
        <v>19</v>
      </c>
      <c r="H2481">
        <v>33368</v>
      </c>
      <c r="I2481">
        <v>32700</v>
      </c>
    </row>
    <row r="2482" spans="1:9" x14ac:dyDescent="0.3">
      <c r="A2482" t="s">
        <v>2514</v>
      </c>
      <c r="B2482">
        <v>46020</v>
      </c>
      <c r="C2482" t="s">
        <v>62</v>
      </c>
      <c r="D2482" t="s">
        <v>11</v>
      </c>
      <c r="E2482" t="s">
        <v>22</v>
      </c>
      <c r="F2482" t="s">
        <v>18</v>
      </c>
      <c r="G2482" t="s">
        <v>19</v>
      </c>
      <c r="H2482">
        <v>17816</v>
      </c>
      <c r="I2482">
        <v>15000</v>
      </c>
    </row>
    <row r="2483" spans="1:9" x14ac:dyDescent="0.3">
      <c r="A2483" t="s">
        <v>2515</v>
      </c>
      <c r="B2483">
        <v>46020</v>
      </c>
      <c r="C2483" t="s">
        <v>10</v>
      </c>
      <c r="D2483" t="s">
        <v>11</v>
      </c>
      <c r="E2483" t="s">
        <v>12</v>
      </c>
      <c r="F2483" t="s">
        <v>39</v>
      </c>
      <c r="G2483" t="s">
        <v>19</v>
      </c>
      <c r="H2483">
        <v>96994</v>
      </c>
      <c r="I2483">
        <v>114000</v>
      </c>
    </row>
    <row r="2484" spans="1:9" x14ac:dyDescent="0.3">
      <c r="A2484" t="s">
        <v>2516</v>
      </c>
      <c r="B2484">
        <v>46020</v>
      </c>
      <c r="C2484" t="s">
        <v>36</v>
      </c>
      <c r="D2484" t="s">
        <v>11</v>
      </c>
      <c r="E2484" t="s">
        <v>37</v>
      </c>
      <c r="F2484" t="s">
        <v>33</v>
      </c>
      <c r="G2484" t="s">
        <v>19</v>
      </c>
      <c r="H2484">
        <v>54671</v>
      </c>
      <c r="I2484">
        <v>54500</v>
      </c>
    </row>
    <row r="2485" spans="1:9" x14ac:dyDescent="0.3">
      <c r="A2485" t="s">
        <v>2517</v>
      </c>
      <c r="B2485">
        <v>46020</v>
      </c>
      <c r="C2485" t="s">
        <v>25</v>
      </c>
      <c r="D2485" t="s">
        <v>11</v>
      </c>
      <c r="E2485" t="s">
        <v>22</v>
      </c>
      <c r="F2485" t="s">
        <v>12</v>
      </c>
      <c r="G2485" t="s">
        <v>14</v>
      </c>
      <c r="H2485">
        <v>136526</v>
      </c>
      <c r="I2485">
        <v>150500</v>
      </c>
    </row>
    <row r="2486" spans="1:9" x14ac:dyDescent="0.3">
      <c r="A2486" t="s">
        <v>2518</v>
      </c>
      <c r="B2486">
        <v>46020</v>
      </c>
      <c r="C2486" t="s">
        <v>55</v>
      </c>
      <c r="D2486" t="s">
        <v>11</v>
      </c>
      <c r="E2486" t="s">
        <v>37</v>
      </c>
      <c r="F2486" t="s">
        <v>39</v>
      </c>
      <c r="G2486" t="s">
        <v>19</v>
      </c>
      <c r="H2486">
        <v>70310</v>
      </c>
      <c r="I2486">
        <v>66800</v>
      </c>
    </row>
    <row r="2487" spans="1:9" x14ac:dyDescent="0.3">
      <c r="A2487" t="s">
        <v>2519</v>
      </c>
      <c r="B2487">
        <v>46020</v>
      </c>
      <c r="C2487" t="s">
        <v>55</v>
      </c>
      <c r="D2487" t="s">
        <v>11</v>
      </c>
      <c r="E2487" t="s">
        <v>37</v>
      </c>
      <c r="F2487" t="s">
        <v>46</v>
      </c>
      <c r="G2487" t="s">
        <v>19</v>
      </c>
      <c r="H2487">
        <v>64096</v>
      </c>
      <c r="I2487">
        <v>67100</v>
      </c>
    </row>
    <row r="2488" spans="1:9" x14ac:dyDescent="0.3">
      <c r="A2488" t="s">
        <v>2520</v>
      </c>
      <c r="B2488">
        <v>46020</v>
      </c>
      <c r="C2488" t="s">
        <v>55</v>
      </c>
      <c r="D2488" t="s">
        <v>11</v>
      </c>
      <c r="E2488" t="s">
        <v>37</v>
      </c>
      <c r="F2488" t="s">
        <v>23</v>
      </c>
      <c r="G2488" t="s">
        <v>14</v>
      </c>
      <c r="H2488">
        <v>30395</v>
      </c>
      <c r="I2488">
        <v>27300</v>
      </c>
    </row>
    <row r="2489" spans="1:9" x14ac:dyDescent="0.3">
      <c r="A2489" t="s">
        <v>2521</v>
      </c>
      <c r="B2489">
        <v>46020</v>
      </c>
      <c r="C2489" t="s">
        <v>55</v>
      </c>
      <c r="D2489" t="s">
        <v>11</v>
      </c>
      <c r="E2489" t="s">
        <v>37</v>
      </c>
      <c r="F2489" t="s">
        <v>23</v>
      </c>
      <c r="G2489" t="s">
        <v>14</v>
      </c>
      <c r="H2489">
        <v>209451</v>
      </c>
      <c r="I2489">
        <v>230200</v>
      </c>
    </row>
    <row r="2490" spans="1:9" x14ac:dyDescent="0.3">
      <c r="A2490" t="s">
        <v>2522</v>
      </c>
      <c r="B2490">
        <v>46021</v>
      </c>
      <c r="C2490" t="s">
        <v>21</v>
      </c>
      <c r="D2490" t="s">
        <v>11</v>
      </c>
      <c r="E2490" t="s">
        <v>22</v>
      </c>
      <c r="F2490" t="s">
        <v>39</v>
      </c>
      <c r="G2490" t="s">
        <v>19</v>
      </c>
      <c r="H2490">
        <v>42605</v>
      </c>
      <c r="I2490">
        <v>41100</v>
      </c>
    </row>
    <row r="2491" spans="1:9" x14ac:dyDescent="0.3">
      <c r="A2491" t="s">
        <v>2523</v>
      </c>
      <c r="B2491">
        <v>46021</v>
      </c>
      <c r="C2491" t="s">
        <v>25</v>
      </c>
      <c r="D2491" t="s">
        <v>11</v>
      </c>
      <c r="E2491" t="s">
        <v>22</v>
      </c>
      <c r="F2491" t="s">
        <v>13</v>
      </c>
      <c r="G2491" t="s">
        <v>14</v>
      </c>
      <c r="H2491">
        <v>164949</v>
      </c>
      <c r="I2491">
        <v>150300</v>
      </c>
    </row>
    <row r="2492" spans="1:9" x14ac:dyDescent="0.3">
      <c r="A2492" t="s">
        <v>2524</v>
      </c>
      <c r="B2492">
        <v>46021</v>
      </c>
      <c r="C2492" t="s">
        <v>25</v>
      </c>
      <c r="D2492" t="s">
        <v>11</v>
      </c>
      <c r="E2492" t="s">
        <v>22</v>
      </c>
      <c r="F2492" t="s">
        <v>12</v>
      </c>
      <c r="G2492" t="s">
        <v>14</v>
      </c>
      <c r="H2492">
        <v>244751</v>
      </c>
      <c r="I2492">
        <v>244200</v>
      </c>
    </row>
    <row r="2493" spans="1:9" x14ac:dyDescent="0.3">
      <c r="A2493" t="s">
        <v>2525</v>
      </c>
      <c r="B2493">
        <v>46021</v>
      </c>
      <c r="C2493" t="s">
        <v>55</v>
      </c>
      <c r="D2493" t="s">
        <v>11</v>
      </c>
      <c r="E2493" t="s">
        <v>37</v>
      </c>
      <c r="F2493" t="s">
        <v>12</v>
      </c>
      <c r="G2493" t="s">
        <v>14</v>
      </c>
      <c r="H2493">
        <v>174105</v>
      </c>
      <c r="I2493">
        <v>180600</v>
      </c>
    </row>
    <row r="2494" spans="1:9" x14ac:dyDescent="0.3">
      <c r="A2494" t="s">
        <v>2526</v>
      </c>
      <c r="B2494">
        <v>46022</v>
      </c>
      <c r="C2494" t="s">
        <v>62</v>
      </c>
      <c r="D2494" t="s">
        <v>11</v>
      </c>
      <c r="E2494" t="s">
        <v>22</v>
      </c>
      <c r="F2494" t="s">
        <v>18</v>
      </c>
      <c r="G2494" t="s">
        <v>19</v>
      </c>
      <c r="H2494">
        <v>33073</v>
      </c>
      <c r="I2494">
        <v>34800</v>
      </c>
    </row>
    <row r="2495" spans="1:9" x14ac:dyDescent="0.3">
      <c r="A2495" t="s">
        <v>2527</v>
      </c>
      <c r="B2495">
        <v>46022</v>
      </c>
      <c r="C2495" t="s">
        <v>10</v>
      </c>
      <c r="D2495" t="s">
        <v>11</v>
      </c>
      <c r="E2495" t="s">
        <v>12</v>
      </c>
      <c r="F2495" t="s">
        <v>26</v>
      </c>
      <c r="G2495" t="s">
        <v>14</v>
      </c>
      <c r="H2495">
        <v>100462</v>
      </c>
      <c r="I2495">
        <v>102900</v>
      </c>
    </row>
    <row r="2496" spans="1:9" x14ac:dyDescent="0.3">
      <c r="A2496" t="s">
        <v>2528</v>
      </c>
      <c r="B2496">
        <v>46022</v>
      </c>
      <c r="C2496" t="s">
        <v>10</v>
      </c>
      <c r="D2496" t="s">
        <v>11</v>
      </c>
      <c r="E2496" t="s">
        <v>12</v>
      </c>
      <c r="F2496" t="s">
        <v>23</v>
      </c>
      <c r="G2496" t="s">
        <v>14</v>
      </c>
      <c r="H2496">
        <v>148993</v>
      </c>
      <c r="I2496">
        <v>167900</v>
      </c>
    </row>
    <row r="2497" spans="1:9" x14ac:dyDescent="0.3">
      <c r="A2497" t="s">
        <v>2529</v>
      </c>
      <c r="B2497">
        <v>46022</v>
      </c>
      <c r="C2497" t="s">
        <v>16</v>
      </c>
      <c r="D2497" t="s">
        <v>11</v>
      </c>
      <c r="E2497" t="s">
        <v>17</v>
      </c>
      <c r="F2497" t="s">
        <v>33</v>
      </c>
      <c r="G2497" t="s">
        <v>19</v>
      </c>
      <c r="H2497">
        <v>27225</v>
      </c>
      <c r="I2497">
        <v>27300</v>
      </c>
    </row>
    <row r="2498" spans="1:9" x14ac:dyDescent="0.3">
      <c r="A2498" t="s">
        <v>2530</v>
      </c>
      <c r="B2498">
        <v>46022</v>
      </c>
      <c r="C2498" t="s">
        <v>16</v>
      </c>
      <c r="D2498" t="s">
        <v>11</v>
      </c>
      <c r="E2498" t="s">
        <v>17</v>
      </c>
      <c r="F2498" t="s">
        <v>42</v>
      </c>
      <c r="G2498" t="s">
        <v>19</v>
      </c>
      <c r="H2498">
        <v>89829</v>
      </c>
      <c r="I2498">
        <v>78100</v>
      </c>
    </row>
    <row r="2499" spans="1:9" x14ac:dyDescent="0.3">
      <c r="A2499" t="s">
        <v>2531</v>
      </c>
      <c r="B2499">
        <v>46022</v>
      </c>
      <c r="C2499" t="s">
        <v>16</v>
      </c>
      <c r="D2499" t="s">
        <v>11</v>
      </c>
      <c r="E2499" t="s">
        <v>17</v>
      </c>
      <c r="F2499" t="s">
        <v>56</v>
      </c>
      <c r="G2499" t="s">
        <v>19</v>
      </c>
      <c r="H2499">
        <v>95466</v>
      </c>
      <c r="I2499">
        <v>87100</v>
      </c>
    </row>
    <row r="2500" spans="1:9" x14ac:dyDescent="0.3">
      <c r="A2500" t="s">
        <v>2532</v>
      </c>
      <c r="B2500">
        <v>46022</v>
      </c>
      <c r="C2500" t="s">
        <v>31</v>
      </c>
      <c r="D2500" t="s">
        <v>11</v>
      </c>
      <c r="E2500" t="s">
        <v>17</v>
      </c>
      <c r="F2500" t="s">
        <v>33</v>
      </c>
      <c r="G2500" t="s">
        <v>19</v>
      </c>
      <c r="H2500">
        <v>82375</v>
      </c>
      <c r="I2500">
        <v>87700</v>
      </c>
    </row>
    <row r="2501" spans="1:9" x14ac:dyDescent="0.3">
      <c r="A2501" t="s">
        <v>2533</v>
      </c>
      <c r="B2501">
        <v>46022</v>
      </c>
      <c r="C2501" t="s">
        <v>31</v>
      </c>
      <c r="D2501" t="s">
        <v>11</v>
      </c>
      <c r="E2501" t="s">
        <v>17</v>
      </c>
      <c r="F2501" t="s">
        <v>37</v>
      </c>
      <c r="G2501" t="s">
        <v>14</v>
      </c>
      <c r="H2501">
        <v>129402</v>
      </c>
      <c r="I2501">
        <v>141300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04C26-AF34-4A5F-8682-B77F87C662C0}">
  <sheetPr codeName="Sheet2"/>
  <dimension ref="A1:I2501"/>
  <sheetViews>
    <sheetView workbookViewId="0">
      <selection activeCell="K5" sqref="K5"/>
    </sheetView>
  </sheetViews>
  <sheetFormatPr defaultRowHeight="14.4" x14ac:dyDescent="0.3"/>
  <cols>
    <col min="1" max="1" width="16.21875" bestFit="1" customWidth="1"/>
    <col min="2" max="2" width="16.5546875" bestFit="1" customWidth="1"/>
    <col min="3" max="3" width="15.21875" bestFit="1" customWidth="1"/>
    <col min="4" max="4" width="8.33203125" bestFit="1" customWidth="1"/>
    <col min="5" max="5" width="17.21875" bestFit="1" customWidth="1"/>
    <col min="6" max="6" width="22.21875" bestFit="1" customWidth="1"/>
    <col min="7" max="7" width="7.88671875" bestFit="1" customWidth="1"/>
    <col min="8" max="8" width="17.88671875" bestFit="1" customWidth="1"/>
    <col min="9" max="9" width="17" bestFit="1" customWidth="1"/>
  </cols>
  <sheetData>
    <row r="1" spans="1:9" ht="18" x14ac:dyDescent="0.35">
      <c r="A1" s="5" t="s">
        <v>0</v>
      </c>
      <c r="B1" s="5" t="s">
        <v>1</v>
      </c>
      <c r="C1" s="5" t="s">
        <v>2</v>
      </c>
      <c r="D1" s="5" t="s">
        <v>3</v>
      </c>
      <c r="E1" s="5" t="s">
        <v>4</v>
      </c>
      <c r="F1" s="5" t="s">
        <v>5</v>
      </c>
      <c r="G1" s="5" t="s">
        <v>6</v>
      </c>
      <c r="H1" s="5" t="s">
        <v>7</v>
      </c>
      <c r="I1" s="5" t="s">
        <v>8</v>
      </c>
    </row>
    <row r="2" spans="1:9" x14ac:dyDescent="0.3">
      <c r="A2" s="2" t="s">
        <v>9</v>
      </c>
      <c r="B2" s="3">
        <v>45658</v>
      </c>
      <c r="C2" s="2" t="s">
        <v>10</v>
      </c>
      <c r="D2" s="2" t="s">
        <v>11</v>
      </c>
      <c r="E2" s="2" t="s">
        <v>12</v>
      </c>
      <c r="F2" s="2" t="s">
        <v>13</v>
      </c>
      <c r="G2" s="2" t="s">
        <v>14</v>
      </c>
      <c r="H2" s="4">
        <v>234633</v>
      </c>
      <c r="I2" s="4">
        <v>204200</v>
      </c>
    </row>
    <row r="3" spans="1:9" x14ac:dyDescent="0.3">
      <c r="A3" s="2" t="s">
        <v>15</v>
      </c>
      <c r="B3" s="3">
        <v>45658</v>
      </c>
      <c r="C3" s="2" t="s">
        <v>16</v>
      </c>
      <c r="D3" s="2" t="s">
        <v>11</v>
      </c>
      <c r="E3" s="2" t="s">
        <v>17</v>
      </c>
      <c r="F3" s="2" t="s">
        <v>18</v>
      </c>
      <c r="G3" s="2" t="s">
        <v>19</v>
      </c>
      <c r="H3" s="4">
        <v>29489</v>
      </c>
      <c r="I3" s="4">
        <v>26100</v>
      </c>
    </row>
    <row r="4" spans="1:9" x14ac:dyDescent="0.3">
      <c r="A4" s="2" t="s">
        <v>20</v>
      </c>
      <c r="B4" s="3">
        <v>45658</v>
      </c>
      <c r="C4" s="2" t="s">
        <v>21</v>
      </c>
      <c r="D4" s="2" t="s">
        <v>11</v>
      </c>
      <c r="E4" s="2" t="s">
        <v>22</v>
      </c>
      <c r="F4" s="2" t="s">
        <v>23</v>
      </c>
      <c r="G4" s="2" t="s">
        <v>14</v>
      </c>
      <c r="H4" s="4">
        <v>59413</v>
      </c>
      <c r="I4" s="4">
        <v>64500</v>
      </c>
    </row>
    <row r="5" spans="1:9" x14ac:dyDescent="0.3">
      <c r="A5" s="2" t="s">
        <v>24</v>
      </c>
      <c r="B5" s="3">
        <v>45658</v>
      </c>
      <c r="C5" s="2" t="s">
        <v>25</v>
      </c>
      <c r="D5" s="2" t="s">
        <v>11</v>
      </c>
      <c r="E5" s="2" t="s">
        <v>22</v>
      </c>
      <c r="F5" s="2" t="s">
        <v>26</v>
      </c>
      <c r="G5" s="2" t="s">
        <v>14</v>
      </c>
      <c r="H5" s="4">
        <v>172361</v>
      </c>
      <c r="I5" s="4">
        <v>214700</v>
      </c>
    </row>
    <row r="6" spans="1:9" x14ac:dyDescent="0.3">
      <c r="A6" s="2" t="s">
        <v>27</v>
      </c>
      <c r="B6" s="3">
        <v>45658</v>
      </c>
      <c r="C6" s="2" t="s">
        <v>25</v>
      </c>
      <c r="D6" s="2" t="s">
        <v>11</v>
      </c>
      <c r="E6" s="2" t="s">
        <v>22</v>
      </c>
      <c r="F6" s="2" t="s">
        <v>26</v>
      </c>
      <c r="G6" s="2" t="s">
        <v>14</v>
      </c>
      <c r="H6" s="4">
        <v>238392</v>
      </c>
      <c r="I6" s="4">
        <v>237000</v>
      </c>
    </row>
    <row r="7" spans="1:9" x14ac:dyDescent="0.3">
      <c r="A7" s="2" t="s">
        <v>28</v>
      </c>
      <c r="B7" s="3">
        <v>45658</v>
      </c>
      <c r="C7" s="2" t="s">
        <v>25</v>
      </c>
      <c r="D7" s="2" t="s">
        <v>11</v>
      </c>
      <c r="E7" s="2" t="s">
        <v>22</v>
      </c>
      <c r="F7" s="2" t="s">
        <v>26</v>
      </c>
      <c r="G7" s="2" t="s">
        <v>14</v>
      </c>
      <c r="H7" s="4">
        <v>99794</v>
      </c>
      <c r="I7" s="4">
        <v>111400</v>
      </c>
    </row>
    <row r="8" spans="1:9" x14ac:dyDescent="0.3">
      <c r="A8" s="2" t="s">
        <v>29</v>
      </c>
      <c r="B8" s="3">
        <v>45658</v>
      </c>
      <c r="C8" s="2" t="s">
        <v>25</v>
      </c>
      <c r="D8" s="2" t="s">
        <v>11</v>
      </c>
      <c r="E8" s="2" t="s">
        <v>22</v>
      </c>
      <c r="F8" s="2" t="s">
        <v>12</v>
      </c>
      <c r="G8" s="2" t="s">
        <v>14</v>
      </c>
      <c r="H8" s="4">
        <v>110782</v>
      </c>
      <c r="I8" s="4">
        <v>121700</v>
      </c>
    </row>
    <row r="9" spans="1:9" x14ac:dyDescent="0.3">
      <c r="A9" s="2" t="s">
        <v>30</v>
      </c>
      <c r="B9" s="3">
        <v>45658</v>
      </c>
      <c r="C9" s="2" t="s">
        <v>31</v>
      </c>
      <c r="D9" s="2" t="s">
        <v>11</v>
      </c>
      <c r="E9" s="2" t="s">
        <v>17</v>
      </c>
      <c r="F9" s="2" t="s">
        <v>18</v>
      </c>
      <c r="G9" s="2" t="s">
        <v>19</v>
      </c>
      <c r="H9" s="4">
        <v>82243</v>
      </c>
      <c r="I9" s="4">
        <v>78000</v>
      </c>
    </row>
    <row r="10" spans="1:9" x14ac:dyDescent="0.3">
      <c r="A10" s="2" t="s">
        <v>32</v>
      </c>
      <c r="B10" s="3">
        <v>45658</v>
      </c>
      <c r="C10" s="2" t="s">
        <v>31</v>
      </c>
      <c r="D10" s="2" t="s">
        <v>11</v>
      </c>
      <c r="E10" s="2" t="s">
        <v>17</v>
      </c>
      <c r="F10" s="2" t="s">
        <v>33</v>
      </c>
      <c r="G10" s="2" t="s">
        <v>19</v>
      </c>
      <c r="H10" s="4">
        <v>67385</v>
      </c>
      <c r="I10" s="4">
        <v>71900</v>
      </c>
    </row>
    <row r="11" spans="1:9" x14ac:dyDescent="0.3">
      <c r="A11" s="2" t="s">
        <v>34</v>
      </c>
      <c r="B11" s="3">
        <v>45659</v>
      </c>
      <c r="C11" s="2" t="s">
        <v>10</v>
      </c>
      <c r="D11" s="2" t="s">
        <v>11</v>
      </c>
      <c r="E11" s="2" t="s">
        <v>12</v>
      </c>
      <c r="F11" s="2" t="s">
        <v>12</v>
      </c>
      <c r="G11" s="2" t="s">
        <v>14</v>
      </c>
      <c r="H11" s="4">
        <v>138538</v>
      </c>
      <c r="I11" s="4">
        <v>127300</v>
      </c>
    </row>
    <row r="12" spans="1:9" x14ac:dyDescent="0.3">
      <c r="A12" s="2" t="s">
        <v>35</v>
      </c>
      <c r="B12" s="3">
        <v>45659</v>
      </c>
      <c r="C12" s="2" t="s">
        <v>36</v>
      </c>
      <c r="D12" s="2" t="s">
        <v>11</v>
      </c>
      <c r="E12" s="2" t="s">
        <v>37</v>
      </c>
      <c r="F12" s="2" t="s">
        <v>33</v>
      </c>
      <c r="G12" s="2" t="s">
        <v>19</v>
      </c>
      <c r="H12" s="4">
        <v>112373</v>
      </c>
      <c r="I12" s="4">
        <v>107600</v>
      </c>
    </row>
    <row r="13" spans="1:9" x14ac:dyDescent="0.3">
      <c r="A13" s="2" t="s">
        <v>38</v>
      </c>
      <c r="B13" s="3">
        <v>45659</v>
      </c>
      <c r="C13" s="2" t="s">
        <v>21</v>
      </c>
      <c r="D13" s="2" t="s">
        <v>11</v>
      </c>
      <c r="E13" s="2" t="s">
        <v>22</v>
      </c>
      <c r="F13" s="2" t="s">
        <v>39</v>
      </c>
      <c r="G13" s="2" t="s">
        <v>19</v>
      </c>
      <c r="H13" s="4">
        <v>117635</v>
      </c>
      <c r="I13" s="4">
        <v>96600</v>
      </c>
    </row>
    <row r="14" spans="1:9" x14ac:dyDescent="0.3">
      <c r="A14" s="2" t="s">
        <v>40</v>
      </c>
      <c r="B14" s="3">
        <v>45659</v>
      </c>
      <c r="C14" s="2" t="s">
        <v>21</v>
      </c>
      <c r="D14" s="2" t="s">
        <v>11</v>
      </c>
      <c r="E14" s="2" t="s">
        <v>22</v>
      </c>
      <c r="F14" s="2" t="s">
        <v>37</v>
      </c>
      <c r="G14" s="2" t="s">
        <v>14</v>
      </c>
      <c r="H14" s="4">
        <v>119260</v>
      </c>
      <c r="I14" s="4">
        <v>113000</v>
      </c>
    </row>
    <row r="15" spans="1:9" x14ac:dyDescent="0.3">
      <c r="A15" s="2" t="s">
        <v>41</v>
      </c>
      <c r="B15" s="3">
        <v>45659</v>
      </c>
      <c r="C15" s="2" t="s">
        <v>25</v>
      </c>
      <c r="D15" s="2" t="s">
        <v>11</v>
      </c>
      <c r="E15" s="2" t="s">
        <v>22</v>
      </c>
      <c r="F15" s="2" t="s">
        <v>42</v>
      </c>
      <c r="G15" s="2" t="s">
        <v>19</v>
      </c>
      <c r="H15" s="4">
        <v>117134</v>
      </c>
      <c r="I15" s="4">
        <v>114500</v>
      </c>
    </row>
    <row r="16" spans="1:9" x14ac:dyDescent="0.3">
      <c r="A16" s="2" t="s">
        <v>43</v>
      </c>
      <c r="B16" s="3">
        <v>45659</v>
      </c>
      <c r="C16" s="2" t="s">
        <v>25</v>
      </c>
      <c r="D16" s="2" t="s">
        <v>11</v>
      </c>
      <c r="E16" s="2" t="s">
        <v>22</v>
      </c>
      <c r="F16" s="2" t="s">
        <v>13</v>
      </c>
      <c r="G16" s="2" t="s">
        <v>14</v>
      </c>
      <c r="H16" s="4">
        <v>146388</v>
      </c>
      <c r="I16" s="4">
        <v>149700</v>
      </c>
    </row>
    <row r="17" spans="1:9" x14ac:dyDescent="0.3">
      <c r="A17" s="2" t="s">
        <v>44</v>
      </c>
      <c r="B17" s="3">
        <v>45659</v>
      </c>
      <c r="C17" s="2" t="s">
        <v>31</v>
      </c>
      <c r="D17" s="2" t="s">
        <v>11</v>
      </c>
      <c r="E17" s="2" t="s">
        <v>17</v>
      </c>
      <c r="F17" s="2" t="s">
        <v>42</v>
      </c>
      <c r="G17" s="2" t="s">
        <v>19</v>
      </c>
      <c r="H17" s="4">
        <v>71882</v>
      </c>
      <c r="I17" s="4">
        <v>72500</v>
      </c>
    </row>
    <row r="18" spans="1:9" x14ac:dyDescent="0.3">
      <c r="A18" s="2" t="s">
        <v>45</v>
      </c>
      <c r="B18" s="3">
        <v>45659</v>
      </c>
      <c r="C18" s="2" t="s">
        <v>31</v>
      </c>
      <c r="D18" s="2" t="s">
        <v>11</v>
      </c>
      <c r="E18" s="2" t="s">
        <v>17</v>
      </c>
      <c r="F18" s="2" t="s">
        <v>46</v>
      </c>
      <c r="G18" s="2" t="s">
        <v>19</v>
      </c>
      <c r="H18" s="4">
        <v>47984</v>
      </c>
      <c r="I18" s="4">
        <v>47800</v>
      </c>
    </row>
    <row r="19" spans="1:9" x14ac:dyDescent="0.3">
      <c r="A19" s="2" t="s">
        <v>47</v>
      </c>
      <c r="B19" s="3">
        <v>45659</v>
      </c>
      <c r="C19" s="2" t="s">
        <v>31</v>
      </c>
      <c r="D19" s="2" t="s">
        <v>11</v>
      </c>
      <c r="E19" s="2" t="s">
        <v>17</v>
      </c>
      <c r="F19" s="2" t="s">
        <v>46</v>
      </c>
      <c r="G19" s="2" t="s">
        <v>19</v>
      </c>
      <c r="H19" s="4">
        <v>54958</v>
      </c>
      <c r="I19" s="4">
        <v>67100</v>
      </c>
    </row>
    <row r="20" spans="1:9" x14ac:dyDescent="0.3">
      <c r="A20" s="2" t="s">
        <v>48</v>
      </c>
      <c r="B20" s="3">
        <v>45659</v>
      </c>
      <c r="C20" s="2" t="s">
        <v>31</v>
      </c>
      <c r="D20" s="2" t="s">
        <v>11</v>
      </c>
      <c r="E20" s="2" t="s">
        <v>17</v>
      </c>
      <c r="F20" s="2" t="s">
        <v>26</v>
      </c>
      <c r="G20" s="2" t="s">
        <v>14</v>
      </c>
      <c r="H20" s="4">
        <v>135720</v>
      </c>
      <c r="I20" s="4">
        <v>139500</v>
      </c>
    </row>
    <row r="21" spans="1:9" x14ac:dyDescent="0.3">
      <c r="A21" s="2" t="s">
        <v>49</v>
      </c>
      <c r="B21" s="3">
        <v>45659</v>
      </c>
      <c r="C21" s="2" t="s">
        <v>31</v>
      </c>
      <c r="D21" s="2" t="s">
        <v>11</v>
      </c>
      <c r="E21" s="2" t="s">
        <v>17</v>
      </c>
      <c r="F21" s="2" t="s">
        <v>12</v>
      </c>
      <c r="G21" s="2" t="s">
        <v>14</v>
      </c>
      <c r="H21" s="4">
        <v>70281</v>
      </c>
      <c r="I21" s="4">
        <v>60800</v>
      </c>
    </row>
    <row r="22" spans="1:9" x14ac:dyDescent="0.3">
      <c r="A22" s="2" t="s">
        <v>50</v>
      </c>
      <c r="B22" s="3">
        <v>45660</v>
      </c>
      <c r="C22" s="2" t="s">
        <v>10</v>
      </c>
      <c r="D22" s="2" t="s">
        <v>11</v>
      </c>
      <c r="E22" s="2" t="s">
        <v>12</v>
      </c>
      <c r="F22" s="2" t="s">
        <v>46</v>
      </c>
      <c r="G22" s="2" t="s">
        <v>19</v>
      </c>
      <c r="H22" s="4">
        <v>17032</v>
      </c>
      <c r="I22" s="4">
        <v>19200</v>
      </c>
    </row>
    <row r="23" spans="1:9" x14ac:dyDescent="0.3">
      <c r="A23" s="2" t="s">
        <v>51</v>
      </c>
      <c r="B23" s="3">
        <v>45660</v>
      </c>
      <c r="C23" s="2" t="s">
        <v>10</v>
      </c>
      <c r="D23" s="2" t="s">
        <v>11</v>
      </c>
      <c r="E23" s="2" t="s">
        <v>12</v>
      </c>
      <c r="F23" s="2" t="s">
        <v>12</v>
      </c>
      <c r="G23" s="2" t="s">
        <v>14</v>
      </c>
      <c r="H23" s="4">
        <v>173139</v>
      </c>
      <c r="I23" s="4">
        <v>169100</v>
      </c>
    </row>
    <row r="24" spans="1:9" x14ac:dyDescent="0.3">
      <c r="A24" s="2" t="s">
        <v>52</v>
      </c>
      <c r="B24" s="3">
        <v>45660</v>
      </c>
      <c r="C24" s="2" t="s">
        <v>36</v>
      </c>
      <c r="D24" s="2" t="s">
        <v>11</v>
      </c>
      <c r="E24" s="2" t="s">
        <v>37</v>
      </c>
      <c r="F24" s="2" t="s">
        <v>23</v>
      </c>
      <c r="G24" s="2" t="s">
        <v>14</v>
      </c>
      <c r="H24" s="4">
        <v>235945</v>
      </c>
      <c r="I24" s="4">
        <v>222400</v>
      </c>
    </row>
    <row r="25" spans="1:9" x14ac:dyDescent="0.3">
      <c r="A25" s="2" t="s">
        <v>53</v>
      </c>
      <c r="B25" s="3">
        <v>45660</v>
      </c>
      <c r="C25" s="2" t="s">
        <v>21</v>
      </c>
      <c r="D25" s="2" t="s">
        <v>11</v>
      </c>
      <c r="E25" s="2" t="s">
        <v>22</v>
      </c>
      <c r="F25" s="2" t="s">
        <v>13</v>
      </c>
      <c r="G25" s="2" t="s">
        <v>14</v>
      </c>
      <c r="H25" s="4">
        <v>113712</v>
      </c>
      <c r="I25" s="4">
        <v>106600</v>
      </c>
    </row>
    <row r="26" spans="1:9" x14ac:dyDescent="0.3">
      <c r="A26" s="2" t="s">
        <v>54</v>
      </c>
      <c r="B26" s="3">
        <v>45660</v>
      </c>
      <c r="C26" s="2" t="s">
        <v>55</v>
      </c>
      <c r="D26" s="2" t="s">
        <v>11</v>
      </c>
      <c r="E26" s="2" t="s">
        <v>37</v>
      </c>
      <c r="F26" s="2" t="s">
        <v>56</v>
      </c>
      <c r="G26" s="2" t="s">
        <v>19</v>
      </c>
      <c r="H26" s="4">
        <v>99060</v>
      </c>
      <c r="I26" s="4">
        <v>98500</v>
      </c>
    </row>
    <row r="27" spans="1:9" x14ac:dyDescent="0.3">
      <c r="A27" s="2" t="s">
        <v>57</v>
      </c>
      <c r="B27" s="3">
        <v>45661</v>
      </c>
      <c r="C27" s="2" t="s">
        <v>16</v>
      </c>
      <c r="D27" s="2" t="s">
        <v>11</v>
      </c>
      <c r="E27" s="2" t="s">
        <v>17</v>
      </c>
      <c r="F27" s="2" t="s">
        <v>46</v>
      </c>
      <c r="G27" s="2" t="s">
        <v>19</v>
      </c>
      <c r="H27" s="4">
        <v>90102</v>
      </c>
      <c r="I27" s="4">
        <v>80900</v>
      </c>
    </row>
    <row r="28" spans="1:9" x14ac:dyDescent="0.3">
      <c r="A28" s="2" t="s">
        <v>58</v>
      </c>
      <c r="B28" s="3">
        <v>45661</v>
      </c>
      <c r="C28" s="2" t="s">
        <v>25</v>
      </c>
      <c r="D28" s="2" t="s">
        <v>11</v>
      </c>
      <c r="E28" s="2" t="s">
        <v>22</v>
      </c>
      <c r="F28" s="2" t="s">
        <v>59</v>
      </c>
      <c r="G28" s="2" t="s">
        <v>14</v>
      </c>
      <c r="H28" s="4">
        <v>203400</v>
      </c>
      <c r="I28" s="4">
        <v>169600</v>
      </c>
    </row>
    <row r="29" spans="1:9" x14ac:dyDescent="0.3">
      <c r="A29" s="2" t="s">
        <v>60</v>
      </c>
      <c r="B29" s="3">
        <v>45661</v>
      </c>
      <c r="C29" s="2" t="s">
        <v>55</v>
      </c>
      <c r="D29" s="2" t="s">
        <v>11</v>
      </c>
      <c r="E29" s="2" t="s">
        <v>37</v>
      </c>
      <c r="F29" s="2" t="s">
        <v>33</v>
      </c>
      <c r="G29" s="2" t="s">
        <v>19</v>
      </c>
      <c r="H29" s="4">
        <v>81277</v>
      </c>
      <c r="I29" s="4">
        <v>78200</v>
      </c>
    </row>
    <row r="30" spans="1:9" x14ac:dyDescent="0.3">
      <c r="A30" s="2" t="s">
        <v>61</v>
      </c>
      <c r="B30" s="3">
        <v>45662</v>
      </c>
      <c r="C30" s="2" t="s">
        <v>62</v>
      </c>
      <c r="D30" s="2" t="s">
        <v>11</v>
      </c>
      <c r="E30" s="2" t="s">
        <v>22</v>
      </c>
      <c r="F30" s="2" t="s">
        <v>18</v>
      </c>
      <c r="G30" s="2" t="s">
        <v>19</v>
      </c>
      <c r="H30" s="4">
        <v>95064</v>
      </c>
      <c r="I30" s="4">
        <v>96700</v>
      </c>
    </row>
    <row r="31" spans="1:9" x14ac:dyDescent="0.3">
      <c r="A31" s="2" t="s">
        <v>63</v>
      </c>
      <c r="B31" s="3">
        <v>45662</v>
      </c>
      <c r="C31" s="2" t="s">
        <v>10</v>
      </c>
      <c r="D31" s="2" t="s">
        <v>11</v>
      </c>
      <c r="E31" s="2" t="s">
        <v>12</v>
      </c>
      <c r="F31" s="2" t="s">
        <v>56</v>
      </c>
      <c r="G31" s="2" t="s">
        <v>19</v>
      </c>
      <c r="H31" s="4">
        <v>107852</v>
      </c>
      <c r="I31" s="4">
        <v>113300</v>
      </c>
    </row>
    <row r="32" spans="1:9" x14ac:dyDescent="0.3">
      <c r="A32" s="2" t="s">
        <v>64</v>
      </c>
      <c r="B32" s="3">
        <v>45662</v>
      </c>
      <c r="C32" s="2" t="s">
        <v>36</v>
      </c>
      <c r="D32" s="2" t="s">
        <v>11</v>
      </c>
      <c r="E32" s="2" t="s">
        <v>37</v>
      </c>
      <c r="F32" s="2" t="s">
        <v>46</v>
      </c>
      <c r="G32" s="2" t="s">
        <v>19</v>
      </c>
      <c r="H32" s="4">
        <v>73990</v>
      </c>
      <c r="I32" s="4">
        <v>67100</v>
      </c>
    </row>
    <row r="33" spans="1:9" x14ac:dyDescent="0.3">
      <c r="A33" s="2" t="s">
        <v>65</v>
      </c>
      <c r="B33" s="3">
        <v>45662</v>
      </c>
      <c r="C33" s="2" t="s">
        <v>25</v>
      </c>
      <c r="D33" s="2" t="s">
        <v>11</v>
      </c>
      <c r="E33" s="2" t="s">
        <v>22</v>
      </c>
      <c r="F33" s="2" t="s">
        <v>33</v>
      </c>
      <c r="G33" s="2" t="s">
        <v>19</v>
      </c>
      <c r="H33" s="4">
        <v>25960</v>
      </c>
      <c r="I33" s="4">
        <v>29000</v>
      </c>
    </row>
    <row r="34" spans="1:9" x14ac:dyDescent="0.3">
      <c r="A34" s="2" t="s">
        <v>66</v>
      </c>
      <c r="B34" s="3">
        <v>45662</v>
      </c>
      <c r="C34" s="2" t="s">
        <v>25</v>
      </c>
      <c r="D34" s="2" t="s">
        <v>11</v>
      </c>
      <c r="E34" s="2" t="s">
        <v>22</v>
      </c>
      <c r="F34" s="2" t="s">
        <v>33</v>
      </c>
      <c r="G34" s="2" t="s">
        <v>19</v>
      </c>
      <c r="H34" s="4">
        <v>79268</v>
      </c>
      <c r="I34" s="4">
        <v>84600</v>
      </c>
    </row>
    <row r="35" spans="1:9" x14ac:dyDescent="0.3">
      <c r="A35" s="2" t="s">
        <v>67</v>
      </c>
      <c r="B35" s="3">
        <v>45662</v>
      </c>
      <c r="C35" s="2" t="s">
        <v>31</v>
      </c>
      <c r="D35" s="2" t="s">
        <v>11</v>
      </c>
      <c r="E35" s="2" t="s">
        <v>17</v>
      </c>
      <c r="F35" s="2" t="s">
        <v>56</v>
      </c>
      <c r="G35" s="2" t="s">
        <v>19</v>
      </c>
      <c r="H35" s="4">
        <v>39686</v>
      </c>
      <c r="I35" s="4">
        <v>45500</v>
      </c>
    </row>
    <row r="36" spans="1:9" x14ac:dyDescent="0.3">
      <c r="A36" s="2" t="s">
        <v>68</v>
      </c>
      <c r="B36" s="3">
        <v>45662</v>
      </c>
      <c r="C36" s="2" t="s">
        <v>31</v>
      </c>
      <c r="D36" s="2" t="s">
        <v>11</v>
      </c>
      <c r="E36" s="2" t="s">
        <v>17</v>
      </c>
      <c r="F36" s="2" t="s">
        <v>37</v>
      </c>
      <c r="G36" s="2" t="s">
        <v>14</v>
      </c>
      <c r="H36" s="4">
        <v>46720</v>
      </c>
      <c r="I36" s="4">
        <v>44200</v>
      </c>
    </row>
    <row r="37" spans="1:9" x14ac:dyDescent="0.3">
      <c r="A37" s="2" t="s">
        <v>69</v>
      </c>
      <c r="B37" s="3">
        <v>45662</v>
      </c>
      <c r="C37" s="2" t="s">
        <v>31</v>
      </c>
      <c r="D37" s="2" t="s">
        <v>11</v>
      </c>
      <c r="E37" s="2" t="s">
        <v>17</v>
      </c>
      <c r="F37" s="2" t="s">
        <v>12</v>
      </c>
      <c r="G37" s="2" t="s">
        <v>14</v>
      </c>
      <c r="H37" s="4">
        <v>33222</v>
      </c>
      <c r="I37" s="4">
        <v>31800</v>
      </c>
    </row>
    <row r="38" spans="1:9" x14ac:dyDescent="0.3">
      <c r="A38" s="2" t="s">
        <v>70</v>
      </c>
      <c r="B38" s="3">
        <v>45663</v>
      </c>
      <c r="C38" s="2" t="s">
        <v>62</v>
      </c>
      <c r="D38" s="2" t="s">
        <v>11</v>
      </c>
      <c r="E38" s="2" t="s">
        <v>22</v>
      </c>
      <c r="F38" s="2" t="s">
        <v>18</v>
      </c>
      <c r="G38" s="2" t="s">
        <v>19</v>
      </c>
      <c r="H38" s="4">
        <v>12833</v>
      </c>
      <c r="I38" s="4">
        <v>11900</v>
      </c>
    </row>
    <row r="39" spans="1:9" x14ac:dyDescent="0.3">
      <c r="A39" s="2" t="s">
        <v>71</v>
      </c>
      <c r="B39" s="3">
        <v>45663</v>
      </c>
      <c r="C39" s="2" t="s">
        <v>62</v>
      </c>
      <c r="D39" s="2" t="s">
        <v>11</v>
      </c>
      <c r="E39" s="2" t="s">
        <v>22</v>
      </c>
      <c r="F39" s="2" t="s">
        <v>13</v>
      </c>
      <c r="G39" s="2" t="s">
        <v>14</v>
      </c>
      <c r="H39" s="4">
        <v>61904</v>
      </c>
      <c r="I39" s="4">
        <v>61200</v>
      </c>
    </row>
    <row r="40" spans="1:9" x14ac:dyDescent="0.3">
      <c r="A40" s="2" t="s">
        <v>72</v>
      </c>
      <c r="B40" s="3">
        <v>45663</v>
      </c>
      <c r="C40" s="2" t="s">
        <v>16</v>
      </c>
      <c r="D40" s="2" t="s">
        <v>11</v>
      </c>
      <c r="E40" s="2" t="s">
        <v>17</v>
      </c>
      <c r="F40" s="2" t="s">
        <v>37</v>
      </c>
      <c r="G40" s="2" t="s">
        <v>14</v>
      </c>
      <c r="H40" s="4">
        <v>119333</v>
      </c>
      <c r="I40" s="4">
        <v>127400</v>
      </c>
    </row>
    <row r="41" spans="1:9" x14ac:dyDescent="0.3">
      <c r="A41" s="2" t="s">
        <v>73</v>
      </c>
      <c r="B41" s="3">
        <v>45663</v>
      </c>
      <c r="C41" s="2" t="s">
        <v>36</v>
      </c>
      <c r="D41" s="2" t="s">
        <v>11</v>
      </c>
      <c r="E41" s="2" t="s">
        <v>37</v>
      </c>
      <c r="F41" s="2" t="s">
        <v>23</v>
      </c>
      <c r="G41" s="2" t="s">
        <v>14</v>
      </c>
      <c r="H41" s="4">
        <v>217934</v>
      </c>
      <c r="I41" s="4">
        <v>233300</v>
      </c>
    </row>
    <row r="42" spans="1:9" x14ac:dyDescent="0.3">
      <c r="A42" s="2" t="s">
        <v>74</v>
      </c>
      <c r="B42" s="3">
        <v>45663</v>
      </c>
      <c r="C42" s="2" t="s">
        <v>25</v>
      </c>
      <c r="D42" s="2" t="s">
        <v>11</v>
      </c>
      <c r="E42" s="2" t="s">
        <v>22</v>
      </c>
      <c r="F42" s="2" t="s">
        <v>56</v>
      </c>
      <c r="G42" s="2" t="s">
        <v>19</v>
      </c>
      <c r="H42" s="4">
        <v>57825</v>
      </c>
      <c r="I42" s="4">
        <v>48900</v>
      </c>
    </row>
    <row r="43" spans="1:9" x14ac:dyDescent="0.3">
      <c r="A43" s="2" t="s">
        <v>75</v>
      </c>
      <c r="B43" s="3">
        <v>45663</v>
      </c>
      <c r="C43" s="2" t="s">
        <v>31</v>
      </c>
      <c r="D43" s="2" t="s">
        <v>11</v>
      </c>
      <c r="E43" s="2" t="s">
        <v>17</v>
      </c>
      <c r="F43" s="2" t="s">
        <v>39</v>
      </c>
      <c r="G43" s="2" t="s">
        <v>19</v>
      </c>
      <c r="H43" s="4">
        <v>111060</v>
      </c>
      <c r="I43" s="4">
        <v>120700</v>
      </c>
    </row>
    <row r="44" spans="1:9" x14ac:dyDescent="0.3">
      <c r="A44" s="2" t="s">
        <v>76</v>
      </c>
      <c r="B44" s="3">
        <v>45663</v>
      </c>
      <c r="C44" s="2" t="s">
        <v>55</v>
      </c>
      <c r="D44" s="2" t="s">
        <v>11</v>
      </c>
      <c r="E44" s="2" t="s">
        <v>37</v>
      </c>
      <c r="F44" s="2" t="s">
        <v>46</v>
      </c>
      <c r="G44" s="2" t="s">
        <v>19</v>
      </c>
      <c r="H44" s="4">
        <v>82214</v>
      </c>
      <c r="I44" s="4">
        <v>83900</v>
      </c>
    </row>
    <row r="45" spans="1:9" x14ac:dyDescent="0.3">
      <c r="A45" s="2" t="s">
        <v>77</v>
      </c>
      <c r="B45" s="3">
        <v>45663</v>
      </c>
      <c r="C45" s="2" t="s">
        <v>55</v>
      </c>
      <c r="D45" s="2" t="s">
        <v>11</v>
      </c>
      <c r="E45" s="2" t="s">
        <v>37</v>
      </c>
      <c r="F45" s="2" t="s">
        <v>33</v>
      </c>
      <c r="G45" s="2" t="s">
        <v>19</v>
      </c>
      <c r="H45" s="4">
        <v>104963</v>
      </c>
      <c r="I45" s="4">
        <v>111000</v>
      </c>
    </row>
    <row r="46" spans="1:9" x14ac:dyDescent="0.3">
      <c r="A46" s="2" t="s">
        <v>78</v>
      </c>
      <c r="B46" s="3">
        <v>45664</v>
      </c>
      <c r="C46" s="2" t="s">
        <v>25</v>
      </c>
      <c r="D46" s="2" t="s">
        <v>11</v>
      </c>
      <c r="E46" s="2" t="s">
        <v>22</v>
      </c>
      <c r="F46" s="2" t="s">
        <v>46</v>
      </c>
      <c r="G46" s="2" t="s">
        <v>19</v>
      </c>
      <c r="H46" s="4">
        <v>119899</v>
      </c>
      <c r="I46" s="4">
        <v>128100</v>
      </c>
    </row>
    <row r="47" spans="1:9" x14ac:dyDescent="0.3">
      <c r="A47" s="2" t="s">
        <v>79</v>
      </c>
      <c r="B47" s="3">
        <v>45664</v>
      </c>
      <c r="C47" s="2" t="s">
        <v>25</v>
      </c>
      <c r="D47" s="2" t="s">
        <v>11</v>
      </c>
      <c r="E47" s="2" t="s">
        <v>22</v>
      </c>
      <c r="F47" s="2" t="s">
        <v>23</v>
      </c>
      <c r="G47" s="2" t="s">
        <v>14</v>
      </c>
      <c r="H47" s="4">
        <v>35247</v>
      </c>
      <c r="I47" s="4">
        <v>33700</v>
      </c>
    </row>
    <row r="48" spans="1:9" x14ac:dyDescent="0.3">
      <c r="A48" s="2" t="s">
        <v>80</v>
      </c>
      <c r="B48" s="3">
        <v>45664</v>
      </c>
      <c r="C48" s="2" t="s">
        <v>55</v>
      </c>
      <c r="D48" s="2" t="s">
        <v>11</v>
      </c>
      <c r="E48" s="2" t="s">
        <v>37</v>
      </c>
      <c r="F48" s="2" t="s">
        <v>23</v>
      </c>
      <c r="G48" s="2" t="s">
        <v>14</v>
      </c>
      <c r="H48" s="4">
        <v>33554</v>
      </c>
      <c r="I48" s="4">
        <v>37800</v>
      </c>
    </row>
    <row r="49" spans="1:9" x14ac:dyDescent="0.3">
      <c r="A49" s="2" t="s">
        <v>81</v>
      </c>
      <c r="B49" s="3">
        <v>45665</v>
      </c>
      <c r="C49" s="2" t="s">
        <v>10</v>
      </c>
      <c r="D49" s="2" t="s">
        <v>11</v>
      </c>
      <c r="E49" s="2" t="s">
        <v>12</v>
      </c>
      <c r="F49" s="2" t="s">
        <v>46</v>
      </c>
      <c r="G49" s="2" t="s">
        <v>19</v>
      </c>
      <c r="H49" s="4">
        <v>82819</v>
      </c>
      <c r="I49" s="4">
        <v>79000</v>
      </c>
    </row>
    <row r="50" spans="1:9" x14ac:dyDescent="0.3">
      <c r="A50" s="2" t="s">
        <v>82</v>
      </c>
      <c r="B50" s="3">
        <v>45665</v>
      </c>
      <c r="C50" s="2" t="s">
        <v>10</v>
      </c>
      <c r="D50" s="2" t="s">
        <v>11</v>
      </c>
      <c r="E50" s="2" t="s">
        <v>12</v>
      </c>
      <c r="F50" s="2" t="s">
        <v>37</v>
      </c>
      <c r="G50" s="2" t="s">
        <v>14</v>
      </c>
      <c r="H50" s="4">
        <v>223314</v>
      </c>
      <c r="I50" s="4">
        <v>221300</v>
      </c>
    </row>
    <row r="51" spans="1:9" x14ac:dyDescent="0.3">
      <c r="A51" s="2" t="s">
        <v>83</v>
      </c>
      <c r="B51" s="3">
        <v>45665</v>
      </c>
      <c r="C51" s="2" t="s">
        <v>16</v>
      </c>
      <c r="D51" s="2" t="s">
        <v>11</v>
      </c>
      <c r="E51" s="2" t="s">
        <v>17</v>
      </c>
      <c r="F51" s="2" t="s">
        <v>18</v>
      </c>
      <c r="G51" s="2" t="s">
        <v>19</v>
      </c>
      <c r="H51" s="4">
        <v>95165</v>
      </c>
      <c r="I51" s="4">
        <v>99500</v>
      </c>
    </row>
    <row r="52" spans="1:9" x14ac:dyDescent="0.3">
      <c r="A52" s="2" t="s">
        <v>84</v>
      </c>
      <c r="B52" s="3">
        <v>45665</v>
      </c>
      <c r="C52" s="2" t="s">
        <v>16</v>
      </c>
      <c r="D52" s="2" t="s">
        <v>11</v>
      </c>
      <c r="E52" s="2" t="s">
        <v>17</v>
      </c>
      <c r="F52" s="2" t="s">
        <v>23</v>
      </c>
      <c r="G52" s="2" t="s">
        <v>14</v>
      </c>
      <c r="H52" s="4">
        <v>130016</v>
      </c>
      <c r="I52" s="4">
        <v>149200</v>
      </c>
    </row>
    <row r="53" spans="1:9" x14ac:dyDescent="0.3">
      <c r="A53" s="2" t="s">
        <v>85</v>
      </c>
      <c r="B53" s="3">
        <v>45665</v>
      </c>
      <c r="C53" s="2" t="s">
        <v>36</v>
      </c>
      <c r="D53" s="2" t="s">
        <v>11</v>
      </c>
      <c r="E53" s="2" t="s">
        <v>37</v>
      </c>
      <c r="F53" s="2" t="s">
        <v>56</v>
      </c>
      <c r="G53" s="2" t="s">
        <v>19</v>
      </c>
      <c r="H53" s="4">
        <v>25761</v>
      </c>
      <c r="I53" s="4">
        <v>23900</v>
      </c>
    </row>
    <row r="54" spans="1:9" x14ac:dyDescent="0.3">
      <c r="A54" s="2" t="s">
        <v>86</v>
      </c>
      <c r="B54" s="3">
        <v>45665</v>
      </c>
      <c r="C54" s="2" t="s">
        <v>25</v>
      </c>
      <c r="D54" s="2" t="s">
        <v>11</v>
      </c>
      <c r="E54" s="2" t="s">
        <v>22</v>
      </c>
      <c r="F54" s="2" t="s">
        <v>39</v>
      </c>
      <c r="G54" s="2" t="s">
        <v>19</v>
      </c>
      <c r="H54" s="4">
        <v>97402</v>
      </c>
      <c r="I54" s="4">
        <v>112000</v>
      </c>
    </row>
    <row r="55" spans="1:9" x14ac:dyDescent="0.3">
      <c r="A55" s="2" t="s">
        <v>87</v>
      </c>
      <c r="B55" s="3">
        <v>45665</v>
      </c>
      <c r="C55" s="2" t="s">
        <v>25</v>
      </c>
      <c r="D55" s="2" t="s">
        <v>11</v>
      </c>
      <c r="E55" s="2" t="s">
        <v>22</v>
      </c>
      <c r="F55" s="2" t="s">
        <v>39</v>
      </c>
      <c r="G55" s="2" t="s">
        <v>19</v>
      </c>
      <c r="H55" s="4">
        <v>40221</v>
      </c>
      <c r="I55" s="4">
        <v>40200</v>
      </c>
    </row>
    <row r="56" spans="1:9" x14ac:dyDescent="0.3">
      <c r="A56" s="2" t="s">
        <v>88</v>
      </c>
      <c r="B56" s="3">
        <v>45666</v>
      </c>
      <c r="C56" s="2" t="s">
        <v>62</v>
      </c>
      <c r="D56" s="2" t="s">
        <v>11</v>
      </c>
      <c r="E56" s="2" t="s">
        <v>22</v>
      </c>
      <c r="F56" s="2" t="s">
        <v>46</v>
      </c>
      <c r="G56" s="2" t="s">
        <v>19</v>
      </c>
      <c r="H56" s="4">
        <v>51099</v>
      </c>
      <c r="I56" s="4">
        <v>50200</v>
      </c>
    </row>
    <row r="57" spans="1:9" x14ac:dyDescent="0.3">
      <c r="A57" s="2" t="s">
        <v>89</v>
      </c>
      <c r="B57" s="3">
        <v>45666</v>
      </c>
      <c r="C57" s="2" t="s">
        <v>36</v>
      </c>
      <c r="D57" s="2" t="s">
        <v>11</v>
      </c>
      <c r="E57" s="2" t="s">
        <v>37</v>
      </c>
      <c r="F57" s="2" t="s">
        <v>39</v>
      </c>
      <c r="G57" s="2" t="s">
        <v>19</v>
      </c>
      <c r="H57" s="4">
        <v>44188</v>
      </c>
      <c r="I57" s="4">
        <v>41900</v>
      </c>
    </row>
    <row r="58" spans="1:9" x14ac:dyDescent="0.3">
      <c r="A58" s="2" t="s">
        <v>90</v>
      </c>
      <c r="B58" s="3">
        <v>45666</v>
      </c>
      <c r="C58" s="2" t="s">
        <v>21</v>
      </c>
      <c r="D58" s="2" t="s">
        <v>11</v>
      </c>
      <c r="E58" s="2" t="s">
        <v>22</v>
      </c>
      <c r="F58" s="2" t="s">
        <v>59</v>
      </c>
      <c r="G58" s="2" t="s">
        <v>14</v>
      </c>
      <c r="H58" s="4">
        <v>191477</v>
      </c>
      <c r="I58" s="4">
        <v>179000</v>
      </c>
    </row>
    <row r="59" spans="1:9" x14ac:dyDescent="0.3">
      <c r="A59" s="2" t="s">
        <v>91</v>
      </c>
      <c r="B59" s="3">
        <v>45667</v>
      </c>
      <c r="C59" s="2" t="s">
        <v>62</v>
      </c>
      <c r="D59" s="2" t="s">
        <v>11</v>
      </c>
      <c r="E59" s="2" t="s">
        <v>22</v>
      </c>
      <c r="F59" s="2" t="s">
        <v>26</v>
      </c>
      <c r="G59" s="2" t="s">
        <v>14</v>
      </c>
      <c r="H59" s="4">
        <v>145357</v>
      </c>
      <c r="I59" s="4">
        <v>148600</v>
      </c>
    </row>
    <row r="60" spans="1:9" x14ac:dyDescent="0.3">
      <c r="A60" s="2" t="s">
        <v>92</v>
      </c>
      <c r="B60" s="3">
        <v>45667</v>
      </c>
      <c r="C60" s="2" t="s">
        <v>10</v>
      </c>
      <c r="D60" s="2" t="s">
        <v>11</v>
      </c>
      <c r="E60" s="2" t="s">
        <v>12</v>
      </c>
      <c r="F60" s="2" t="s">
        <v>23</v>
      </c>
      <c r="G60" s="2" t="s">
        <v>14</v>
      </c>
      <c r="H60" s="4">
        <v>175153</v>
      </c>
      <c r="I60" s="4">
        <v>189300</v>
      </c>
    </row>
    <row r="61" spans="1:9" x14ac:dyDescent="0.3">
      <c r="A61" s="2" t="s">
        <v>93</v>
      </c>
      <c r="B61" s="3">
        <v>45667</v>
      </c>
      <c r="C61" s="2" t="s">
        <v>16</v>
      </c>
      <c r="D61" s="2" t="s">
        <v>11</v>
      </c>
      <c r="E61" s="2" t="s">
        <v>17</v>
      </c>
      <c r="F61" s="2" t="s">
        <v>18</v>
      </c>
      <c r="G61" s="2" t="s">
        <v>19</v>
      </c>
      <c r="H61" s="4">
        <v>119021</v>
      </c>
      <c r="I61" s="4">
        <v>114600</v>
      </c>
    </row>
    <row r="62" spans="1:9" x14ac:dyDescent="0.3">
      <c r="A62" s="2" t="s">
        <v>94</v>
      </c>
      <c r="B62" s="3">
        <v>45667</v>
      </c>
      <c r="C62" s="2" t="s">
        <v>16</v>
      </c>
      <c r="D62" s="2" t="s">
        <v>11</v>
      </c>
      <c r="E62" s="2" t="s">
        <v>17</v>
      </c>
      <c r="F62" s="2" t="s">
        <v>26</v>
      </c>
      <c r="G62" s="2" t="s">
        <v>14</v>
      </c>
      <c r="H62" s="4">
        <v>230298</v>
      </c>
      <c r="I62" s="4">
        <v>239100</v>
      </c>
    </row>
    <row r="63" spans="1:9" x14ac:dyDescent="0.3">
      <c r="A63" s="2" t="s">
        <v>95</v>
      </c>
      <c r="B63" s="3">
        <v>45667</v>
      </c>
      <c r="C63" s="2" t="s">
        <v>21</v>
      </c>
      <c r="D63" s="2" t="s">
        <v>11</v>
      </c>
      <c r="E63" s="2" t="s">
        <v>22</v>
      </c>
      <c r="F63" s="2" t="s">
        <v>13</v>
      </c>
      <c r="G63" s="2" t="s">
        <v>14</v>
      </c>
      <c r="H63" s="4">
        <v>102511</v>
      </c>
      <c r="I63" s="4">
        <v>98400</v>
      </c>
    </row>
    <row r="64" spans="1:9" x14ac:dyDescent="0.3">
      <c r="A64" s="2" t="s">
        <v>96</v>
      </c>
      <c r="B64" s="3">
        <v>45667</v>
      </c>
      <c r="C64" s="2" t="s">
        <v>25</v>
      </c>
      <c r="D64" s="2" t="s">
        <v>11</v>
      </c>
      <c r="E64" s="2" t="s">
        <v>22</v>
      </c>
      <c r="F64" s="2" t="s">
        <v>42</v>
      </c>
      <c r="G64" s="2" t="s">
        <v>19</v>
      </c>
      <c r="H64" s="4">
        <v>44307</v>
      </c>
      <c r="I64" s="4">
        <v>38100</v>
      </c>
    </row>
    <row r="65" spans="1:9" x14ac:dyDescent="0.3">
      <c r="A65" s="2" t="s">
        <v>97</v>
      </c>
      <c r="B65" s="3">
        <v>45667</v>
      </c>
      <c r="C65" s="2" t="s">
        <v>25</v>
      </c>
      <c r="D65" s="2" t="s">
        <v>11</v>
      </c>
      <c r="E65" s="2" t="s">
        <v>22</v>
      </c>
      <c r="F65" s="2" t="s">
        <v>46</v>
      </c>
      <c r="G65" s="2" t="s">
        <v>19</v>
      </c>
      <c r="H65" s="4">
        <v>63614</v>
      </c>
      <c r="I65" s="4">
        <v>66400</v>
      </c>
    </row>
    <row r="66" spans="1:9" x14ac:dyDescent="0.3">
      <c r="A66" s="2" t="s">
        <v>98</v>
      </c>
      <c r="B66" s="3">
        <v>45667</v>
      </c>
      <c r="C66" s="2" t="s">
        <v>25</v>
      </c>
      <c r="D66" s="2" t="s">
        <v>11</v>
      </c>
      <c r="E66" s="2" t="s">
        <v>22</v>
      </c>
      <c r="F66" s="2" t="s">
        <v>46</v>
      </c>
      <c r="G66" s="2" t="s">
        <v>19</v>
      </c>
      <c r="H66" s="4">
        <v>84107</v>
      </c>
      <c r="I66" s="4">
        <v>94800</v>
      </c>
    </row>
    <row r="67" spans="1:9" x14ac:dyDescent="0.3">
      <c r="A67" s="2" t="s">
        <v>99</v>
      </c>
      <c r="B67" s="3">
        <v>45667</v>
      </c>
      <c r="C67" s="2" t="s">
        <v>25</v>
      </c>
      <c r="D67" s="2" t="s">
        <v>11</v>
      </c>
      <c r="E67" s="2" t="s">
        <v>22</v>
      </c>
      <c r="F67" s="2" t="s">
        <v>37</v>
      </c>
      <c r="G67" s="2" t="s">
        <v>14</v>
      </c>
      <c r="H67" s="4">
        <v>62193</v>
      </c>
      <c r="I67" s="4">
        <v>74900</v>
      </c>
    </row>
    <row r="68" spans="1:9" x14ac:dyDescent="0.3">
      <c r="A68" s="2" t="s">
        <v>100</v>
      </c>
      <c r="B68" s="3">
        <v>45667</v>
      </c>
      <c r="C68" s="2" t="s">
        <v>31</v>
      </c>
      <c r="D68" s="2" t="s">
        <v>11</v>
      </c>
      <c r="E68" s="2" t="s">
        <v>17</v>
      </c>
      <c r="F68" s="2" t="s">
        <v>33</v>
      </c>
      <c r="G68" s="2" t="s">
        <v>19</v>
      </c>
      <c r="H68" s="4">
        <v>39922</v>
      </c>
      <c r="I68" s="4">
        <v>38200</v>
      </c>
    </row>
    <row r="69" spans="1:9" x14ac:dyDescent="0.3">
      <c r="A69" s="2" t="s">
        <v>101</v>
      </c>
      <c r="B69" s="3">
        <v>45667</v>
      </c>
      <c r="C69" s="2" t="s">
        <v>31</v>
      </c>
      <c r="D69" s="2" t="s">
        <v>11</v>
      </c>
      <c r="E69" s="2" t="s">
        <v>17</v>
      </c>
      <c r="F69" s="2" t="s">
        <v>33</v>
      </c>
      <c r="G69" s="2" t="s">
        <v>19</v>
      </c>
      <c r="H69" s="4">
        <v>103806</v>
      </c>
      <c r="I69" s="4">
        <v>115800</v>
      </c>
    </row>
    <row r="70" spans="1:9" x14ac:dyDescent="0.3">
      <c r="A70" s="2" t="s">
        <v>102</v>
      </c>
      <c r="B70" s="3">
        <v>45667</v>
      </c>
      <c r="C70" s="2" t="s">
        <v>31</v>
      </c>
      <c r="D70" s="2" t="s">
        <v>11</v>
      </c>
      <c r="E70" s="2" t="s">
        <v>17</v>
      </c>
      <c r="F70" s="2" t="s">
        <v>42</v>
      </c>
      <c r="G70" s="2" t="s">
        <v>19</v>
      </c>
      <c r="H70" s="4">
        <v>20670</v>
      </c>
      <c r="I70" s="4">
        <v>20400</v>
      </c>
    </row>
    <row r="71" spans="1:9" x14ac:dyDescent="0.3">
      <c r="A71" s="2" t="s">
        <v>103</v>
      </c>
      <c r="B71" s="3">
        <v>45667</v>
      </c>
      <c r="C71" s="2" t="s">
        <v>31</v>
      </c>
      <c r="D71" s="2" t="s">
        <v>11</v>
      </c>
      <c r="E71" s="2" t="s">
        <v>17</v>
      </c>
      <c r="F71" s="2" t="s">
        <v>59</v>
      </c>
      <c r="G71" s="2" t="s">
        <v>14</v>
      </c>
      <c r="H71" s="4">
        <v>194371</v>
      </c>
      <c r="I71" s="4">
        <v>222700</v>
      </c>
    </row>
    <row r="72" spans="1:9" x14ac:dyDescent="0.3">
      <c r="A72" s="2" t="s">
        <v>104</v>
      </c>
      <c r="B72" s="3">
        <v>45668</v>
      </c>
      <c r="C72" s="2" t="s">
        <v>62</v>
      </c>
      <c r="D72" s="2" t="s">
        <v>11</v>
      </c>
      <c r="E72" s="2" t="s">
        <v>22</v>
      </c>
      <c r="F72" s="2" t="s">
        <v>33</v>
      </c>
      <c r="G72" s="2" t="s">
        <v>19</v>
      </c>
      <c r="H72" s="4">
        <v>71840</v>
      </c>
      <c r="I72" s="4">
        <v>68600</v>
      </c>
    </row>
    <row r="73" spans="1:9" x14ac:dyDescent="0.3">
      <c r="A73" s="2" t="s">
        <v>105</v>
      </c>
      <c r="B73" s="3">
        <v>45668</v>
      </c>
      <c r="C73" s="2" t="s">
        <v>62</v>
      </c>
      <c r="D73" s="2" t="s">
        <v>11</v>
      </c>
      <c r="E73" s="2" t="s">
        <v>22</v>
      </c>
      <c r="F73" s="2" t="s">
        <v>12</v>
      </c>
      <c r="G73" s="2" t="s">
        <v>14</v>
      </c>
      <c r="H73" s="4">
        <v>101824</v>
      </c>
      <c r="I73" s="4">
        <v>98800</v>
      </c>
    </row>
    <row r="74" spans="1:9" x14ac:dyDescent="0.3">
      <c r="A74" s="2" t="s">
        <v>106</v>
      </c>
      <c r="B74" s="3">
        <v>45668</v>
      </c>
      <c r="C74" s="2" t="s">
        <v>10</v>
      </c>
      <c r="D74" s="2" t="s">
        <v>11</v>
      </c>
      <c r="E74" s="2" t="s">
        <v>12</v>
      </c>
      <c r="F74" s="2" t="s">
        <v>12</v>
      </c>
      <c r="G74" s="2" t="s">
        <v>14</v>
      </c>
      <c r="H74" s="4">
        <v>85367</v>
      </c>
      <c r="I74" s="4">
        <v>85200</v>
      </c>
    </row>
    <row r="75" spans="1:9" x14ac:dyDescent="0.3">
      <c r="A75" s="2" t="s">
        <v>107</v>
      </c>
      <c r="B75" s="3">
        <v>45668</v>
      </c>
      <c r="C75" s="2" t="s">
        <v>16</v>
      </c>
      <c r="D75" s="2" t="s">
        <v>11</v>
      </c>
      <c r="E75" s="2" t="s">
        <v>17</v>
      </c>
      <c r="F75" s="2" t="s">
        <v>39</v>
      </c>
      <c r="G75" s="2" t="s">
        <v>19</v>
      </c>
      <c r="H75" s="4">
        <v>87752</v>
      </c>
      <c r="I75" s="4">
        <v>92000</v>
      </c>
    </row>
    <row r="76" spans="1:9" x14ac:dyDescent="0.3">
      <c r="A76" s="2" t="s">
        <v>108</v>
      </c>
      <c r="B76" s="3">
        <v>45668</v>
      </c>
      <c r="C76" s="2" t="s">
        <v>55</v>
      </c>
      <c r="D76" s="2" t="s">
        <v>11</v>
      </c>
      <c r="E76" s="2" t="s">
        <v>37</v>
      </c>
      <c r="F76" s="2" t="s">
        <v>23</v>
      </c>
      <c r="G76" s="2" t="s">
        <v>14</v>
      </c>
      <c r="H76" s="4">
        <v>72532</v>
      </c>
      <c r="I76" s="4">
        <v>72100</v>
      </c>
    </row>
    <row r="77" spans="1:9" x14ac:dyDescent="0.3">
      <c r="A77" s="2" t="s">
        <v>109</v>
      </c>
      <c r="B77" s="3">
        <v>45669</v>
      </c>
      <c r="C77" s="2" t="s">
        <v>62</v>
      </c>
      <c r="D77" s="2" t="s">
        <v>11</v>
      </c>
      <c r="E77" s="2" t="s">
        <v>22</v>
      </c>
      <c r="F77" s="2" t="s">
        <v>39</v>
      </c>
      <c r="G77" s="2" t="s">
        <v>19</v>
      </c>
      <c r="H77" s="4">
        <v>118879</v>
      </c>
      <c r="I77" s="4">
        <v>109800</v>
      </c>
    </row>
    <row r="78" spans="1:9" x14ac:dyDescent="0.3">
      <c r="A78" s="2" t="s">
        <v>110</v>
      </c>
      <c r="B78" s="3">
        <v>45669</v>
      </c>
      <c r="C78" s="2" t="s">
        <v>16</v>
      </c>
      <c r="D78" s="2" t="s">
        <v>11</v>
      </c>
      <c r="E78" s="2" t="s">
        <v>17</v>
      </c>
      <c r="F78" s="2" t="s">
        <v>33</v>
      </c>
      <c r="G78" s="2" t="s">
        <v>19</v>
      </c>
      <c r="H78" s="4">
        <v>109624</v>
      </c>
      <c r="I78" s="4">
        <v>86500</v>
      </c>
    </row>
    <row r="79" spans="1:9" x14ac:dyDescent="0.3">
      <c r="A79" s="2" t="s">
        <v>111</v>
      </c>
      <c r="B79" s="3">
        <v>45669</v>
      </c>
      <c r="C79" s="2" t="s">
        <v>36</v>
      </c>
      <c r="D79" s="2" t="s">
        <v>11</v>
      </c>
      <c r="E79" s="2" t="s">
        <v>37</v>
      </c>
      <c r="F79" s="2" t="s">
        <v>46</v>
      </c>
      <c r="G79" s="2" t="s">
        <v>19</v>
      </c>
      <c r="H79" s="4">
        <v>27660</v>
      </c>
      <c r="I79" s="4">
        <v>29700</v>
      </c>
    </row>
    <row r="80" spans="1:9" x14ac:dyDescent="0.3">
      <c r="A80" s="2" t="s">
        <v>112</v>
      </c>
      <c r="B80" s="3">
        <v>45669</v>
      </c>
      <c r="C80" s="2" t="s">
        <v>25</v>
      </c>
      <c r="D80" s="2" t="s">
        <v>11</v>
      </c>
      <c r="E80" s="2" t="s">
        <v>22</v>
      </c>
      <c r="F80" s="2" t="s">
        <v>18</v>
      </c>
      <c r="G80" s="2" t="s">
        <v>19</v>
      </c>
      <c r="H80" s="4">
        <v>70637</v>
      </c>
      <c r="I80" s="4">
        <v>73600</v>
      </c>
    </row>
    <row r="81" spans="1:9" x14ac:dyDescent="0.3">
      <c r="A81" s="2" t="s">
        <v>113</v>
      </c>
      <c r="B81" s="3">
        <v>45669</v>
      </c>
      <c r="C81" s="2" t="s">
        <v>25</v>
      </c>
      <c r="D81" s="2" t="s">
        <v>11</v>
      </c>
      <c r="E81" s="2" t="s">
        <v>22</v>
      </c>
      <c r="F81" s="2" t="s">
        <v>37</v>
      </c>
      <c r="G81" s="2" t="s">
        <v>14</v>
      </c>
      <c r="H81" s="4">
        <v>211807</v>
      </c>
      <c r="I81" s="4">
        <v>189400</v>
      </c>
    </row>
    <row r="82" spans="1:9" x14ac:dyDescent="0.3">
      <c r="A82" s="2" t="s">
        <v>114</v>
      </c>
      <c r="B82" s="3">
        <v>45669</v>
      </c>
      <c r="C82" s="2" t="s">
        <v>31</v>
      </c>
      <c r="D82" s="2" t="s">
        <v>11</v>
      </c>
      <c r="E82" s="2" t="s">
        <v>17</v>
      </c>
      <c r="F82" s="2" t="s">
        <v>42</v>
      </c>
      <c r="G82" s="2" t="s">
        <v>19</v>
      </c>
      <c r="H82" s="4">
        <v>108485</v>
      </c>
      <c r="I82" s="4">
        <v>114400</v>
      </c>
    </row>
    <row r="83" spans="1:9" x14ac:dyDescent="0.3">
      <c r="A83" s="2" t="s">
        <v>115</v>
      </c>
      <c r="B83" s="3">
        <v>45669</v>
      </c>
      <c r="C83" s="2" t="s">
        <v>31</v>
      </c>
      <c r="D83" s="2" t="s">
        <v>11</v>
      </c>
      <c r="E83" s="2" t="s">
        <v>17</v>
      </c>
      <c r="F83" s="2" t="s">
        <v>46</v>
      </c>
      <c r="G83" s="2" t="s">
        <v>19</v>
      </c>
      <c r="H83" s="4">
        <v>108911</v>
      </c>
      <c r="I83" s="4">
        <v>102100</v>
      </c>
    </row>
    <row r="84" spans="1:9" x14ac:dyDescent="0.3">
      <c r="A84" s="2" t="s">
        <v>116</v>
      </c>
      <c r="B84" s="3">
        <v>45670</v>
      </c>
      <c r="C84" s="2" t="s">
        <v>62</v>
      </c>
      <c r="D84" s="2" t="s">
        <v>11</v>
      </c>
      <c r="E84" s="2" t="s">
        <v>22</v>
      </c>
      <c r="F84" s="2" t="s">
        <v>59</v>
      </c>
      <c r="G84" s="2" t="s">
        <v>14</v>
      </c>
      <c r="H84" s="4">
        <v>174697</v>
      </c>
      <c r="I84" s="4">
        <v>169100</v>
      </c>
    </row>
    <row r="85" spans="1:9" x14ac:dyDescent="0.3">
      <c r="A85" s="2" t="s">
        <v>117</v>
      </c>
      <c r="B85" s="3">
        <v>45670</v>
      </c>
      <c r="C85" s="2" t="s">
        <v>10</v>
      </c>
      <c r="D85" s="2" t="s">
        <v>11</v>
      </c>
      <c r="E85" s="2" t="s">
        <v>12</v>
      </c>
      <c r="F85" s="2" t="s">
        <v>46</v>
      </c>
      <c r="G85" s="2" t="s">
        <v>19</v>
      </c>
      <c r="H85" s="4">
        <v>112415</v>
      </c>
      <c r="I85" s="4">
        <v>117900</v>
      </c>
    </row>
    <row r="86" spans="1:9" x14ac:dyDescent="0.3">
      <c r="A86" s="2" t="s">
        <v>118</v>
      </c>
      <c r="B86" s="3">
        <v>45670</v>
      </c>
      <c r="C86" s="2" t="s">
        <v>10</v>
      </c>
      <c r="D86" s="2" t="s">
        <v>11</v>
      </c>
      <c r="E86" s="2" t="s">
        <v>12</v>
      </c>
      <c r="F86" s="2" t="s">
        <v>26</v>
      </c>
      <c r="G86" s="2" t="s">
        <v>14</v>
      </c>
      <c r="H86" s="4">
        <v>101191</v>
      </c>
      <c r="I86" s="4">
        <v>107800</v>
      </c>
    </row>
    <row r="87" spans="1:9" x14ac:dyDescent="0.3">
      <c r="A87" s="2" t="s">
        <v>119</v>
      </c>
      <c r="B87" s="3">
        <v>45670</v>
      </c>
      <c r="C87" s="2" t="s">
        <v>16</v>
      </c>
      <c r="D87" s="2" t="s">
        <v>11</v>
      </c>
      <c r="E87" s="2" t="s">
        <v>17</v>
      </c>
      <c r="F87" s="2" t="s">
        <v>46</v>
      </c>
      <c r="G87" s="2" t="s">
        <v>19</v>
      </c>
      <c r="H87" s="4">
        <v>76067</v>
      </c>
      <c r="I87" s="4">
        <v>66800</v>
      </c>
    </row>
    <row r="88" spans="1:9" x14ac:dyDescent="0.3">
      <c r="A88" s="2" t="s">
        <v>120</v>
      </c>
      <c r="B88" s="3">
        <v>45670</v>
      </c>
      <c r="C88" s="2" t="s">
        <v>16</v>
      </c>
      <c r="D88" s="2" t="s">
        <v>11</v>
      </c>
      <c r="E88" s="2" t="s">
        <v>17</v>
      </c>
      <c r="F88" s="2" t="s">
        <v>26</v>
      </c>
      <c r="G88" s="2" t="s">
        <v>14</v>
      </c>
      <c r="H88" s="4">
        <v>137847</v>
      </c>
      <c r="I88" s="4">
        <v>128300</v>
      </c>
    </row>
    <row r="89" spans="1:9" x14ac:dyDescent="0.3">
      <c r="A89" s="2" t="s">
        <v>121</v>
      </c>
      <c r="B89" s="3">
        <v>45670</v>
      </c>
      <c r="C89" s="2" t="s">
        <v>36</v>
      </c>
      <c r="D89" s="2" t="s">
        <v>11</v>
      </c>
      <c r="E89" s="2" t="s">
        <v>37</v>
      </c>
      <c r="F89" s="2" t="s">
        <v>56</v>
      </c>
      <c r="G89" s="2" t="s">
        <v>19</v>
      </c>
      <c r="H89" s="4">
        <v>99680</v>
      </c>
      <c r="I89" s="4">
        <v>95100</v>
      </c>
    </row>
    <row r="90" spans="1:9" x14ac:dyDescent="0.3">
      <c r="A90" s="2" t="s">
        <v>122</v>
      </c>
      <c r="B90" s="3">
        <v>45670</v>
      </c>
      <c r="C90" s="2" t="s">
        <v>36</v>
      </c>
      <c r="D90" s="2" t="s">
        <v>11</v>
      </c>
      <c r="E90" s="2" t="s">
        <v>37</v>
      </c>
      <c r="F90" s="2" t="s">
        <v>59</v>
      </c>
      <c r="G90" s="2" t="s">
        <v>14</v>
      </c>
      <c r="H90" s="4">
        <v>244172</v>
      </c>
      <c r="I90" s="4">
        <v>226200</v>
      </c>
    </row>
    <row r="91" spans="1:9" x14ac:dyDescent="0.3">
      <c r="A91" s="2" t="s">
        <v>123</v>
      </c>
      <c r="B91" s="3">
        <v>45670</v>
      </c>
      <c r="C91" s="2" t="s">
        <v>21</v>
      </c>
      <c r="D91" s="2" t="s">
        <v>11</v>
      </c>
      <c r="E91" s="2" t="s">
        <v>22</v>
      </c>
      <c r="F91" s="2" t="s">
        <v>39</v>
      </c>
      <c r="G91" s="2" t="s">
        <v>19</v>
      </c>
      <c r="H91" s="4">
        <v>97953</v>
      </c>
      <c r="I91" s="4">
        <v>105500</v>
      </c>
    </row>
    <row r="92" spans="1:9" x14ac:dyDescent="0.3">
      <c r="A92" s="2" t="s">
        <v>124</v>
      </c>
      <c r="B92" s="3">
        <v>45670</v>
      </c>
      <c r="C92" s="2" t="s">
        <v>25</v>
      </c>
      <c r="D92" s="2" t="s">
        <v>11</v>
      </c>
      <c r="E92" s="2" t="s">
        <v>22</v>
      </c>
      <c r="F92" s="2" t="s">
        <v>42</v>
      </c>
      <c r="G92" s="2" t="s">
        <v>19</v>
      </c>
      <c r="H92" s="4">
        <v>111670</v>
      </c>
      <c r="I92" s="4">
        <v>105100</v>
      </c>
    </row>
    <row r="93" spans="1:9" x14ac:dyDescent="0.3">
      <c r="A93" s="2" t="s">
        <v>125</v>
      </c>
      <c r="B93" s="3">
        <v>45670</v>
      </c>
      <c r="C93" s="2" t="s">
        <v>25</v>
      </c>
      <c r="D93" s="2" t="s">
        <v>11</v>
      </c>
      <c r="E93" s="2" t="s">
        <v>22</v>
      </c>
      <c r="F93" s="2" t="s">
        <v>46</v>
      </c>
      <c r="G93" s="2" t="s">
        <v>19</v>
      </c>
      <c r="H93" s="4">
        <v>59242</v>
      </c>
      <c r="I93" s="4">
        <v>57200</v>
      </c>
    </row>
    <row r="94" spans="1:9" x14ac:dyDescent="0.3">
      <c r="A94" s="2" t="s">
        <v>126</v>
      </c>
      <c r="B94" s="3">
        <v>45670</v>
      </c>
      <c r="C94" s="2" t="s">
        <v>55</v>
      </c>
      <c r="D94" s="2" t="s">
        <v>11</v>
      </c>
      <c r="E94" s="2" t="s">
        <v>37</v>
      </c>
      <c r="F94" s="2" t="s">
        <v>42</v>
      </c>
      <c r="G94" s="2" t="s">
        <v>19</v>
      </c>
      <c r="H94" s="4">
        <v>78968</v>
      </c>
      <c r="I94" s="4">
        <v>90000</v>
      </c>
    </row>
    <row r="95" spans="1:9" x14ac:dyDescent="0.3">
      <c r="A95" s="2" t="s">
        <v>127</v>
      </c>
      <c r="B95" s="3">
        <v>45670</v>
      </c>
      <c r="C95" s="2" t="s">
        <v>55</v>
      </c>
      <c r="D95" s="2" t="s">
        <v>11</v>
      </c>
      <c r="E95" s="2" t="s">
        <v>37</v>
      </c>
      <c r="F95" s="2" t="s">
        <v>59</v>
      </c>
      <c r="G95" s="2" t="s">
        <v>14</v>
      </c>
      <c r="H95" s="4">
        <v>82905</v>
      </c>
      <c r="I95" s="4">
        <v>79200</v>
      </c>
    </row>
    <row r="96" spans="1:9" x14ac:dyDescent="0.3">
      <c r="A96" s="2" t="s">
        <v>128</v>
      </c>
      <c r="B96" s="3">
        <v>45671</v>
      </c>
      <c r="C96" s="2" t="s">
        <v>62</v>
      </c>
      <c r="D96" s="2" t="s">
        <v>11</v>
      </c>
      <c r="E96" s="2" t="s">
        <v>22</v>
      </c>
      <c r="F96" s="2" t="s">
        <v>42</v>
      </c>
      <c r="G96" s="2" t="s">
        <v>19</v>
      </c>
      <c r="H96" s="4">
        <v>61102</v>
      </c>
      <c r="I96" s="4">
        <v>59000</v>
      </c>
    </row>
    <row r="97" spans="1:9" x14ac:dyDescent="0.3">
      <c r="A97" s="2" t="s">
        <v>129</v>
      </c>
      <c r="B97" s="3">
        <v>45671</v>
      </c>
      <c r="C97" s="2" t="s">
        <v>10</v>
      </c>
      <c r="D97" s="2" t="s">
        <v>11</v>
      </c>
      <c r="E97" s="2" t="s">
        <v>12</v>
      </c>
      <c r="F97" s="2" t="s">
        <v>39</v>
      </c>
      <c r="G97" s="2" t="s">
        <v>19</v>
      </c>
      <c r="H97" s="4">
        <v>118550</v>
      </c>
      <c r="I97" s="4">
        <v>110100</v>
      </c>
    </row>
    <row r="98" spans="1:9" x14ac:dyDescent="0.3">
      <c r="A98" s="2" t="s">
        <v>130</v>
      </c>
      <c r="B98" s="3">
        <v>45671</v>
      </c>
      <c r="C98" s="2" t="s">
        <v>16</v>
      </c>
      <c r="D98" s="2" t="s">
        <v>11</v>
      </c>
      <c r="E98" s="2" t="s">
        <v>17</v>
      </c>
      <c r="F98" s="2" t="s">
        <v>39</v>
      </c>
      <c r="G98" s="2" t="s">
        <v>19</v>
      </c>
      <c r="H98" s="4">
        <v>42449</v>
      </c>
      <c r="I98" s="4">
        <v>46600</v>
      </c>
    </row>
    <row r="99" spans="1:9" x14ac:dyDescent="0.3">
      <c r="A99" s="2" t="s">
        <v>131</v>
      </c>
      <c r="B99" s="3">
        <v>45671</v>
      </c>
      <c r="C99" s="2" t="s">
        <v>16</v>
      </c>
      <c r="D99" s="2" t="s">
        <v>11</v>
      </c>
      <c r="E99" s="2" t="s">
        <v>17</v>
      </c>
      <c r="F99" s="2" t="s">
        <v>46</v>
      </c>
      <c r="G99" s="2" t="s">
        <v>19</v>
      </c>
      <c r="H99" s="4">
        <v>19308</v>
      </c>
      <c r="I99" s="4">
        <v>17600</v>
      </c>
    </row>
    <row r="100" spans="1:9" x14ac:dyDescent="0.3">
      <c r="A100" s="2" t="s">
        <v>132</v>
      </c>
      <c r="B100" s="3">
        <v>45671</v>
      </c>
      <c r="C100" s="2" t="s">
        <v>16</v>
      </c>
      <c r="D100" s="2" t="s">
        <v>11</v>
      </c>
      <c r="E100" s="2" t="s">
        <v>17</v>
      </c>
      <c r="F100" s="2" t="s">
        <v>13</v>
      </c>
      <c r="G100" s="2" t="s">
        <v>14</v>
      </c>
      <c r="H100" s="4">
        <v>181199</v>
      </c>
      <c r="I100" s="4">
        <v>152200</v>
      </c>
    </row>
    <row r="101" spans="1:9" x14ac:dyDescent="0.3">
      <c r="A101" s="2" t="s">
        <v>133</v>
      </c>
      <c r="B101" s="3">
        <v>45671</v>
      </c>
      <c r="C101" s="2" t="s">
        <v>21</v>
      </c>
      <c r="D101" s="2" t="s">
        <v>11</v>
      </c>
      <c r="E101" s="2" t="s">
        <v>22</v>
      </c>
      <c r="F101" s="2" t="s">
        <v>18</v>
      </c>
      <c r="G101" s="2" t="s">
        <v>19</v>
      </c>
      <c r="H101" s="4">
        <v>86284</v>
      </c>
      <c r="I101" s="4">
        <v>86200</v>
      </c>
    </row>
    <row r="102" spans="1:9" x14ac:dyDescent="0.3">
      <c r="A102" s="2" t="s">
        <v>134</v>
      </c>
      <c r="B102" s="3">
        <v>45671</v>
      </c>
      <c r="C102" s="2" t="s">
        <v>25</v>
      </c>
      <c r="D102" s="2" t="s">
        <v>11</v>
      </c>
      <c r="E102" s="2" t="s">
        <v>22</v>
      </c>
      <c r="F102" s="2" t="s">
        <v>39</v>
      </c>
      <c r="G102" s="2" t="s">
        <v>19</v>
      </c>
      <c r="H102" s="4">
        <v>71265</v>
      </c>
      <c r="I102" s="4">
        <v>74400</v>
      </c>
    </row>
    <row r="103" spans="1:9" x14ac:dyDescent="0.3">
      <c r="A103" s="2" t="s">
        <v>135</v>
      </c>
      <c r="B103" s="3">
        <v>45672</v>
      </c>
      <c r="C103" s="2" t="s">
        <v>10</v>
      </c>
      <c r="D103" s="2" t="s">
        <v>11</v>
      </c>
      <c r="E103" s="2" t="s">
        <v>12</v>
      </c>
      <c r="F103" s="2" t="s">
        <v>37</v>
      </c>
      <c r="G103" s="2" t="s">
        <v>14</v>
      </c>
      <c r="H103" s="4">
        <v>77075</v>
      </c>
      <c r="I103" s="4">
        <v>75500</v>
      </c>
    </row>
    <row r="104" spans="1:9" x14ac:dyDescent="0.3">
      <c r="A104" s="2" t="s">
        <v>136</v>
      </c>
      <c r="B104" s="3">
        <v>45672</v>
      </c>
      <c r="C104" s="2" t="s">
        <v>16</v>
      </c>
      <c r="D104" s="2" t="s">
        <v>11</v>
      </c>
      <c r="E104" s="2" t="s">
        <v>17</v>
      </c>
      <c r="F104" s="2" t="s">
        <v>33</v>
      </c>
      <c r="G104" s="2" t="s">
        <v>19</v>
      </c>
      <c r="H104" s="4">
        <v>46017</v>
      </c>
      <c r="I104" s="4">
        <v>42500</v>
      </c>
    </row>
    <row r="105" spans="1:9" x14ac:dyDescent="0.3">
      <c r="A105" s="2" t="s">
        <v>137</v>
      </c>
      <c r="B105" s="3">
        <v>45672</v>
      </c>
      <c r="C105" s="2" t="s">
        <v>16</v>
      </c>
      <c r="D105" s="2" t="s">
        <v>11</v>
      </c>
      <c r="E105" s="2" t="s">
        <v>17</v>
      </c>
      <c r="F105" s="2" t="s">
        <v>56</v>
      </c>
      <c r="G105" s="2" t="s">
        <v>19</v>
      </c>
      <c r="H105" s="4">
        <v>99220</v>
      </c>
      <c r="I105" s="4">
        <v>105200</v>
      </c>
    </row>
    <row r="106" spans="1:9" x14ac:dyDescent="0.3">
      <c r="A106" s="2" t="s">
        <v>138</v>
      </c>
      <c r="B106" s="3">
        <v>45672</v>
      </c>
      <c r="C106" s="2" t="s">
        <v>16</v>
      </c>
      <c r="D106" s="2" t="s">
        <v>11</v>
      </c>
      <c r="E106" s="2" t="s">
        <v>17</v>
      </c>
      <c r="F106" s="2" t="s">
        <v>42</v>
      </c>
      <c r="G106" s="2" t="s">
        <v>19</v>
      </c>
      <c r="H106" s="4">
        <v>98682</v>
      </c>
      <c r="I106" s="4">
        <v>106100</v>
      </c>
    </row>
    <row r="107" spans="1:9" x14ac:dyDescent="0.3">
      <c r="A107" s="2" t="s">
        <v>139</v>
      </c>
      <c r="B107" s="3">
        <v>45672</v>
      </c>
      <c r="C107" s="2" t="s">
        <v>16</v>
      </c>
      <c r="D107" s="2" t="s">
        <v>11</v>
      </c>
      <c r="E107" s="2" t="s">
        <v>17</v>
      </c>
      <c r="F107" s="2" t="s">
        <v>59</v>
      </c>
      <c r="G107" s="2" t="s">
        <v>14</v>
      </c>
      <c r="H107" s="4">
        <v>138848</v>
      </c>
      <c r="I107" s="4">
        <v>146700</v>
      </c>
    </row>
    <row r="108" spans="1:9" x14ac:dyDescent="0.3">
      <c r="A108" s="2" t="s">
        <v>140</v>
      </c>
      <c r="B108" s="3">
        <v>45672</v>
      </c>
      <c r="C108" s="2" t="s">
        <v>21</v>
      </c>
      <c r="D108" s="2" t="s">
        <v>11</v>
      </c>
      <c r="E108" s="2" t="s">
        <v>22</v>
      </c>
      <c r="F108" s="2" t="s">
        <v>59</v>
      </c>
      <c r="G108" s="2" t="s">
        <v>14</v>
      </c>
      <c r="H108" s="4">
        <v>81403</v>
      </c>
      <c r="I108" s="4">
        <v>80400</v>
      </c>
    </row>
    <row r="109" spans="1:9" x14ac:dyDescent="0.3">
      <c r="A109" s="2" t="s">
        <v>141</v>
      </c>
      <c r="B109" s="3">
        <v>45672</v>
      </c>
      <c r="C109" s="2" t="s">
        <v>25</v>
      </c>
      <c r="D109" s="2" t="s">
        <v>11</v>
      </c>
      <c r="E109" s="2" t="s">
        <v>22</v>
      </c>
      <c r="F109" s="2" t="s">
        <v>46</v>
      </c>
      <c r="G109" s="2" t="s">
        <v>19</v>
      </c>
      <c r="H109" s="4">
        <v>108485</v>
      </c>
      <c r="I109" s="4">
        <v>127600</v>
      </c>
    </row>
    <row r="110" spans="1:9" x14ac:dyDescent="0.3">
      <c r="A110" s="2" t="s">
        <v>142</v>
      </c>
      <c r="B110" s="3">
        <v>45672</v>
      </c>
      <c r="C110" s="2" t="s">
        <v>55</v>
      </c>
      <c r="D110" s="2" t="s">
        <v>11</v>
      </c>
      <c r="E110" s="2" t="s">
        <v>37</v>
      </c>
      <c r="F110" s="2" t="s">
        <v>12</v>
      </c>
      <c r="G110" s="2" t="s">
        <v>14</v>
      </c>
      <c r="H110" s="4">
        <v>97336</v>
      </c>
      <c r="I110" s="4">
        <v>107800</v>
      </c>
    </row>
    <row r="111" spans="1:9" x14ac:dyDescent="0.3">
      <c r="A111" s="2" t="s">
        <v>143</v>
      </c>
      <c r="B111" s="3">
        <v>45673</v>
      </c>
      <c r="C111" s="2" t="s">
        <v>31</v>
      </c>
      <c r="D111" s="2" t="s">
        <v>11</v>
      </c>
      <c r="E111" s="2" t="s">
        <v>17</v>
      </c>
      <c r="F111" s="2" t="s">
        <v>42</v>
      </c>
      <c r="G111" s="2" t="s">
        <v>19</v>
      </c>
      <c r="H111" s="4">
        <v>101020</v>
      </c>
      <c r="I111" s="4">
        <v>87400</v>
      </c>
    </row>
    <row r="112" spans="1:9" x14ac:dyDescent="0.3">
      <c r="A112" s="2" t="s">
        <v>144</v>
      </c>
      <c r="B112" s="3">
        <v>45673</v>
      </c>
      <c r="C112" s="2" t="s">
        <v>31</v>
      </c>
      <c r="D112" s="2" t="s">
        <v>11</v>
      </c>
      <c r="E112" s="2" t="s">
        <v>17</v>
      </c>
      <c r="F112" s="2" t="s">
        <v>12</v>
      </c>
      <c r="G112" s="2" t="s">
        <v>14</v>
      </c>
      <c r="H112" s="4">
        <v>33242</v>
      </c>
      <c r="I112" s="4">
        <v>32300</v>
      </c>
    </row>
    <row r="113" spans="1:9" x14ac:dyDescent="0.3">
      <c r="A113" s="2" t="s">
        <v>145</v>
      </c>
      <c r="B113" s="3">
        <v>45673</v>
      </c>
      <c r="C113" s="2" t="s">
        <v>31</v>
      </c>
      <c r="D113" s="2" t="s">
        <v>11</v>
      </c>
      <c r="E113" s="2" t="s">
        <v>17</v>
      </c>
      <c r="F113" s="2" t="s">
        <v>12</v>
      </c>
      <c r="G113" s="2" t="s">
        <v>14</v>
      </c>
      <c r="H113" s="4">
        <v>152665</v>
      </c>
      <c r="I113" s="4">
        <v>158400</v>
      </c>
    </row>
    <row r="114" spans="1:9" x14ac:dyDescent="0.3">
      <c r="A114" s="2" t="s">
        <v>146</v>
      </c>
      <c r="B114" s="3">
        <v>45674</v>
      </c>
      <c r="C114" s="2" t="s">
        <v>62</v>
      </c>
      <c r="D114" s="2" t="s">
        <v>11</v>
      </c>
      <c r="E114" s="2" t="s">
        <v>22</v>
      </c>
      <c r="F114" s="2" t="s">
        <v>33</v>
      </c>
      <c r="G114" s="2" t="s">
        <v>19</v>
      </c>
      <c r="H114" s="4">
        <v>26357</v>
      </c>
      <c r="I114" s="4">
        <v>27500</v>
      </c>
    </row>
    <row r="115" spans="1:9" x14ac:dyDescent="0.3">
      <c r="A115" s="2" t="s">
        <v>147</v>
      </c>
      <c r="B115" s="3">
        <v>45674</v>
      </c>
      <c r="C115" s="2" t="s">
        <v>62</v>
      </c>
      <c r="D115" s="2" t="s">
        <v>11</v>
      </c>
      <c r="E115" s="2" t="s">
        <v>22</v>
      </c>
      <c r="F115" s="2" t="s">
        <v>12</v>
      </c>
      <c r="G115" s="2" t="s">
        <v>14</v>
      </c>
      <c r="H115" s="4">
        <v>98621</v>
      </c>
      <c r="I115" s="4">
        <v>90500</v>
      </c>
    </row>
    <row r="116" spans="1:9" x14ac:dyDescent="0.3">
      <c r="A116" s="2" t="s">
        <v>148</v>
      </c>
      <c r="B116" s="3">
        <v>45674</v>
      </c>
      <c r="C116" s="2" t="s">
        <v>10</v>
      </c>
      <c r="D116" s="2" t="s">
        <v>11</v>
      </c>
      <c r="E116" s="2" t="s">
        <v>12</v>
      </c>
      <c r="F116" s="2" t="s">
        <v>12</v>
      </c>
      <c r="G116" s="2" t="s">
        <v>14</v>
      </c>
      <c r="H116" s="4">
        <v>127368</v>
      </c>
      <c r="I116" s="4">
        <v>140300</v>
      </c>
    </row>
    <row r="117" spans="1:9" x14ac:dyDescent="0.3">
      <c r="A117" s="2" t="s">
        <v>149</v>
      </c>
      <c r="B117" s="3">
        <v>45674</v>
      </c>
      <c r="C117" s="2" t="s">
        <v>36</v>
      </c>
      <c r="D117" s="2" t="s">
        <v>11</v>
      </c>
      <c r="E117" s="2" t="s">
        <v>37</v>
      </c>
      <c r="F117" s="2" t="s">
        <v>46</v>
      </c>
      <c r="G117" s="2" t="s">
        <v>19</v>
      </c>
      <c r="H117" s="4">
        <v>20314</v>
      </c>
      <c r="I117" s="4">
        <v>24600</v>
      </c>
    </row>
    <row r="118" spans="1:9" x14ac:dyDescent="0.3">
      <c r="A118" s="2" t="s">
        <v>150</v>
      </c>
      <c r="B118" s="3">
        <v>45674</v>
      </c>
      <c r="C118" s="2" t="s">
        <v>25</v>
      </c>
      <c r="D118" s="2" t="s">
        <v>11</v>
      </c>
      <c r="E118" s="2" t="s">
        <v>22</v>
      </c>
      <c r="F118" s="2" t="s">
        <v>46</v>
      </c>
      <c r="G118" s="2" t="s">
        <v>19</v>
      </c>
      <c r="H118" s="4">
        <v>39167</v>
      </c>
      <c r="I118" s="4">
        <v>33300</v>
      </c>
    </row>
    <row r="119" spans="1:9" x14ac:dyDescent="0.3">
      <c r="A119" s="2" t="s">
        <v>151</v>
      </c>
      <c r="B119" s="3">
        <v>45675</v>
      </c>
      <c r="C119" s="2" t="s">
        <v>62</v>
      </c>
      <c r="D119" s="2" t="s">
        <v>11</v>
      </c>
      <c r="E119" s="2" t="s">
        <v>22</v>
      </c>
      <c r="F119" s="2" t="s">
        <v>33</v>
      </c>
      <c r="G119" s="2" t="s">
        <v>19</v>
      </c>
      <c r="H119" s="4">
        <v>24898</v>
      </c>
      <c r="I119" s="4">
        <v>27200</v>
      </c>
    </row>
    <row r="120" spans="1:9" x14ac:dyDescent="0.3">
      <c r="A120" s="2" t="s">
        <v>152</v>
      </c>
      <c r="B120" s="3">
        <v>45675</v>
      </c>
      <c r="C120" s="2" t="s">
        <v>62</v>
      </c>
      <c r="D120" s="2" t="s">
        <v>11</v>
      </c>
      <c r="E120" s="2" t="s">
        <v>22</v>
      </c>
      <c r="F120" s="2" t="s">
        <v>23</v>
      </c>
      <c r="G120" s="2" t="s">
        <v>14</v>
      </c>
      <c r="H120" s="4">
        <v>218268</v>
      </c>
      <c r="I120" s="4">
        <v>189000</v>
      </c>
    </row>
    <row r="121" spans="1:9" x14ac:dyDescent="0.3">
      <c r="A121" s="2" t="s">
        <v>153</v>
      </c>
      <c r="B121" s="3">
        <v>45675</v>
      </c>
      <c r="C121" s="2" t="s">
        <v>62</v>
      </c>
      <c r="D121" s="2" t="s">
        <v>11</v>
      </c>
      <c r="E121" s="2" t="s">
        <v>22</v>
      </c>
      <c r="F121" s="2" t="s">
        <v>26</v>
      </c>
      <c r="G121" s="2" t="s">
        <v>14</v>
      </c>
      <c r="H121" s="4">
        <v>27054</v>
      </c>
      <c r="I121" s="4">
        <v>28600</v>
      </c>
    </row>
    <row r="122" spans="1:9" x14ac:dyDescent="0.3">
      <c r="A122" s="2" t="s">
        <v>154</v>
      </c>
      <c r="B122" s="3">
        <v>45675</v>
      </c>
      <c r="C122" s="2" t="s">
        <v>62</v>
      </c>
      <c r="D122" s="2" t="s">
        <v>11</v>
      </c>
      <c r="E122" s="2" t="s">
        <v>22</v>
      </c>
      <c r="F122" s="2" t="s">
        <v>26</v>
      </c>
      <c r="G122" s="2" t="s">
        <v>14</v>
      </c>
      <c r="H122" s="4">
        <v>169462</v>
      </c>
      <c r="I122" s="4">
        <v>182600</v>
      </c>
    </row>
    <row r="123" spans="1:9" x14ac:dyDescent="0.3">
      <c r="A123" s="2" t="s">
        <v>155</v>
      </c>
      <c r="B123" s="3">
        <v>45675</v>
      </c>
      <c r="C123" s="2" t="s">
        <v>16</v>
      </c>
      <c r="D123" s="2" t="s">
        <v>11</v>
      </c>
      <c r="E123" s="2" t="s">
        <v>17</v>
      </c>
      <c r="F123" s="2" t="s">
        <v>13</v>
      </c>
      <c r="G123" s="2" t="s">
        <v>14</v>
      </c>
      <c r="H123" s="4">
        <v>239340</v>
      </c>
      <c r="I123" s="4">
        <v>243300</v>
      </c>
    </row>
    <row r="124" spans="1:9" x14ac:dyDescent="0.3">
      <c r="A124" s="2" t="s">
        <v>156</v>
      </c>
      <c r="B124" s="3">
        <v>45675</v>
      </c>
      <c r="C124" s="2" t="s">
        <v>55</v>
      </c>
      <c r="D124" s="2" t="s">
        <v>11</v>
      </c>
      <c r="E124" s="2" t="s">
        <v>37</v>
      </c>
      <c r="F124" s="2" t="s">
        <v>33</v>
      </c>
      <c r="G124" s="2" t="s">
        <v>19</v>
      </c>
      <c r="H124" s="4">
        <v>50718</v>
      </c>
      <c r="I124" s="4">
        <v>59800</v>
      </c>
    </row>
    <row r="125" spans="1:9" x14ac:dyDescent="0.3">
      <c r="A125" s="2" t="s">
        <v>157</v>
      </c>
      <c r="B125" s="3">
        <v>45675</v>
      </c>
      <c r="C125" s="2" t="s">
        <v>55</v>
      </c>
      <c r="D125" s="2" t="s">
        <v>11</v>
      </c>
      <c r="E125" s="2" t="s">
        <v>37</v>
      </c>
      <c r="F125" s="2" t="s">
        <v>13</v>
      </c>
      <c r="G125" s="2" t="s">
        <v>14</v>
      </c>
      <c r="H125" s="4">
        <v>131156</v>
      </c>
      <c r="I125" s="4">
        <v>133700</v>
      </c>
    </row>
    <row r="126" spans="1:9" x14ac:dyDescent="0.3">
      <c r="A126" s="2" t="s">
        <v>158</v>
      </c>
      <c r="B126" s="3">
        <v>45676</v>
      </c>
      <c r="C126" s="2" t="s">
        <v>62</v>
      </c>
      <c r="D126" s="2" t="s">
        <v>11</v>
      </c>
      <c r="E126" s="2" t="s">
        <v>22</v>
      </c>
      <c r="F126" s="2" t="s">
        <v>56</v>
      </c>
      <c r="G126" s="2" t="s">
        <v>19</v>
      </c>
      <c r="H126" s="4">
        <v>86553</v>
      </c>
      <c r="I126" s="4">
        <v>87700</v>
      </c>
    </row>
    <row r="127" spans="1:9" x14ac:dyDescent="0.3">
      <c r="A127" s="2" t="s">
        <v>159</v>
      </c>
      <c r="B127" s="3">
        <v>45676</v>
      </c>
      <c r="C127" s="2" t="s">
        <v>21</v>
      </c>
      <c r="D127" s="2" t="s">
        <v>11</v>
      </c>
      <c r="E127" s="2" t="s">
        <v>22</v>
      </c>
      <c r="F127" s="2" t="s">
        <v>33</v>
      </c>
      <c r="G127" s="2" t="s">
        <v>19</v>
      </c>
      <c r="H127" s="4">
        <v>24891</v>
      </c>
      <c r="I127" s="4">
        <v>24500</v>
      </c>
    </row>
    <row r="128" spans="1:9" x14ac:dyDescent="0.3">
      <c r="A128" s="2" t="s">
        <v>160</v>
      </c>
      <c r="B128" s="3">
        <v>45676</v>
      </c>
      <c r="C128" s="2" t="s">
        <v>31</v>
      </c>
      <c r="D128" s="2" t="s">
        <v>11</v>
      </c>
      <c r="E128" s="2" t="s">
        <v>17</v>
      </c>
      <c r="F128" s="2" t="s">
        <v>18</v>
      </c>
      <c r="G128" s="2" t="s">
        <v>19</v>
      </c>
      <c r="H128" s="4">
        <v>96560</v>
      </c>
      <c r="I128" s="4">
        <v>106000</v>
      </c>
    </row>
    <row r="129" spans="1:9" x14ac:dyDescent="0.3">
      <c r="A129" s="2" t="s">
        <v>161</v>
      </c>
      <c r="B129" s="3">
        <v>45676</v>
      </c>
      <c r="C129" s="2" t="s">
        <v>31</v>
      </c>
      <c r="D129" s="2" t="s">
        <v>11</v>
      </c>
      <c r="E129" s="2" t="s">
        <v>17</v>
      </c>
      <c r="F129" s="2" t="s">
        <v>59</v>
      </c>
      <c r="G129" s="2" t="s">
        <v>14</v>
      </c>
      <c r="H129" s="4">
        <v>97320</v>
      </c>
      <c r="I129" s="4">
        <v>93600</v>
      </c>
    </row>
    <row r="130" spans="1:9" x14ac:dyDescent="0.3">
      <c r="A130" s="2" t="s">
        <v>162</v>
      </c>
      <c r="B130" s="3">
        <v>45676</v>
      </c>
      <c r="C130" s="2" t="s">
        <v>55</v>
      </c>
      <c r="D130" s="2" t="s">
        <v>11</v>
      </c>
      <c r="E130" s="2" t="s">
        <v>37</v>
      </c>
      <c r="F130" s="2" t="s">
        <v>59</v>
      </c>
      <c r="G130" s="2" t="s">
        <v>14</v>
      </c>
      <c r="H130" s="4">
        <v>179613</v>
      </c>
      <c r="I130" s="4">
        <v>151800</v>
      </c>
    </row>
    <row r="131" spans="1:9" x14ac:dyDescent="0.3">
      <c r="A131" s="2" t="s">
        <v>163</v>
      </c>
      <c r="B131" s="3">
        <v>45677</v>
      </c>
      <c r="C131" s="2" t="s">
        <v>16</v>
      </c>
      <c r="D131" s="2" t="s">
        <v>11</v>
      </c>
      <c r="E131" s="2" t="s">
        <v>17</v>
      </c>
      <c r="F131" s="2" t="s">
        <v>59</v>
      </c>
      <c r="G131" s="2" t="s">
        <v>14</v>
      </c>
      <c r="H131" s="4">
        <v>181088</v>
      </c>
      <c r="I131" s="4">
        <v>181100</v>
      </c>
    </row>
    <row r="132" spans="1:9" x14ac:dyDescent="0.3">
      <c r="A132" s="2" t="s">
        <v>164</v>
      </c>
      <c r="B132" s="3">
        <v>45677</v>
      </c>
      <c r="C132" s="2" t="s">
        <v>21</v>
      </c>
      <c r="D132" s="2" t="s">
        <v>11</v>
      </c>
      <c r="E132" s="2" t="s">
        <v>22</v>
      </c>
      <c r="F132" s="2" t="s">
        <v>12</v>
      </c>
      <c r="G132" s="2" t="s">
        <v>14</v>
      </c>
      <c r="H132" s="4">
        <v>126990</v>
      </c>
      <c r="I132" s="4">
        <v>127000</v>
      </c>
    </row>
    <row r="133" spans="1:9" x14ac:dyDescent="0.3">
      <c r="A133" s="2" t="s">
        <v>165</v>
      </c>
      <c r="B133" s="3">
        <v>45677</v>
      </c>
      <c r="C133" s="2" t="s">
        <v>25</v>
      </c>
      <c r="D133" s="2" t="s">
        <v>11</v>
      </c>
      <c r="E133" s="2" t="s">
        <v>22</v>
      </c>
      <c r="F133" s="2" t="s">
        <v>18</v>
      </c>
      <c r="G133" s="2" t="s">
        <v>19</v>
      </c>
      <c r="H133" s="4">
        <v>91441</v>
      </c>
      <c r="I133" s="4">
        <v>82900</v>
      </c>
    </row>
    <row r="134" spans="1:9" x14ac:dyDescent="0.3">
      <c r="A134" s="2" t="s">
        <v>166</v>
      </c>
      <c r="B134" s="3">
        <v>45677</v>
      </c>
      <c r="C134" s="2" t="s">
        <v>31</v>
      </c>
      <c r="D134" s="2" t="s">
        <v>11</v>
      </c>
      <c r="E134" s="2" t="s">
        <v>17</v>
      </c>
      <c r="F134" s="2" t="s">
        <v>56</v>
      </c>
      <c r="G134" s="2" t="s">
        <v>19</v>
      </c>
      <c r="H134" s="4">
        <v>46296</v>
      </c>
      <c r="I134" s="4">
        <v>49900</v>
      </c>
    </row>
    <row r="135" spans="1:9" x14ac:dyDescent="0.3">
      <c r="A135" s="2" t="s">
        <v>167</v>
      </c>
      <c r="B135" s="3">
        <v>45677</v>
      </c>
      <c r="C135" s="2" t="s">
        <v>31</v>
      </c>
      <c r="D135" s="2" t="s">
        <v>11</v>
      </c>
      <c r="E135" s="2" t="s">
        <v>17</v>
      </c>
      <c r="F135" s="2" t="s">
        <v>37</v>
      </c>
      <c r="G135" s="2" t="s">
        <v>14</v>
      </c>
      <c r="H135" s="4">
        <v>94034</v>
      </c>
      <c r="I135" s="4">
        <v>87400</v>
      </c>
    </row>
    <row r="136" spans="1:9" x14ac:dyDescent="0.3">
      <c r="A136" s="2" t="s">
        <v>168</v>
      </c>
      <c r="B136" s="3">
        <v>45677</v>
      </c>
      <c r="C136" s="2" t="s">
        <v>55</v>
      </c>
      <c r="D136" s="2" t="s">
        <v>11</v>
      </c>
      <c r="E136" s="2" t="s">
        <v>37</v>
      </c>
      <c r="F136" s="2" t="s">
        <v>42</v>
      </c>
      <c r="G136" s="2" t="s">
        <v>19</v>
      </c>
      <c r="H136" s="4">
        <v>43793</v>
      </c>
      <c r="I136" s="4">
        <v>40800</v>
      </c>
    </row>
    <row r="137" spans="1:9" x14ac:dyDescent="0.3">
      <c r="A137" s="2" t="s">
        <v>169</v>
      </c>
      <c r="B137" s="3">
        <v>45678</v>
      </c>
      <c r="C137" s="2" t="s">
        <v>62</v>
      </c>
      <c r="D137" s="2" t="s">
        <v>11</v>
      </c>
      <c r="E137" s="2" t="s">
        <v>22</v>
      </c>
      <c r="F137" s="2" t="s">
        <v>46</v>
      </c>
      <c r="G137" s="2" t="s">
        <v>19</v>
      </c>
      <c r="H137" s="4">
        <v>111524</v>
      </c>
      <c r="I137" s="4">
        <v>97600</v>
      </c>
    </row>
    <row r="138" spans="1:9" x14ac:dyDescent="0.3">
      <c r="A138" s="2" t="s">
        <v>170</v>
      </c>
      <c r="B138" s="3">
        <v>45678</v>
      </c>
      <c r="C138" s="2" t="s">
        <v>62</v>
      </c>
      <c r="D138" s="2" t="s">
        <v>11</v>
      </c>
      <c r="E138" s="2" t="s">
        <v>22</v>
      </c>
      <c r="F138" s="2" t="s">
        <v>46</v>
      </c>
      <c r="G138" s="2" t="s">
        <v>19</v>
      </c>
      <c r="H138" s="4">
        <v>57970</v>
      </c>
      <c r="I138" s="4">
        <v>64200</v>
      </c>
    </row>
    <row r="139" spans="1:9" x14ac:dyDescent="0.3">
      <c r="A139" s="2" t="s">
        <v>171</v>
      </c>
      <c r="B139" s="3">
        <v>45678</v>
      </c>
      <c r="C139" s="2" t="s">
        <v>10</v>
      </c>
      <c r="D139" s="2" t="s">
        <v>11</v>
      </c>
      <c r="E139" s="2" t="s">
        <v>12</v>
      </c>
      <c r="F139" s="2" t="s">
        <v>42</v>
      </c>
      <c r="G139" s="2" t="s">
        <v>19</v>
      </c>
      <c r="H139" s="4">
        <v>40263</v>
      </c>
      <c r="I139" s="4">
        <v>37600</v>
      </c>
    </row>
    <row r="140" spans="1:9" x14ac:dyDescent="0.3">
      <c r="A140" s="2" t="s">
        <v>172</v>
      </c>
      <c r="B140" s="3">
        <v>45678</v>
      </c>
      <c r="C140" s="2" t="s">
        <v>16</v>
      </c>
      <c r="D140" s="2" t="s">
        <v>11</v>
      </c>
      <c r="E140" s="2" t="s">
        <v>17</v>
      </c>
      <c r="F140" s="2" t="s">
        <v>18</v>
      </c>
      <c r="G140" s="2" t="s">
        <v>19</v>
      </c>
      <c r="H140" s="4">
        <v>92916</v>
      </c>
      <c r="I140" s="4">
        <v>101400</v>
      </c>
    </row>
    <row r="141" spans="1:9" x14ac:dyDescent="0.3">
      <c r="A141" s="2" t="s">
        <v>173</v>
      </c>
      <c r="B141" s="3">
        <v>45678</v>
      </c>
      <c r="C141" s="2" t="s">
        <v>16</v>
      </c>
      <c r="D141" s="2" t="s">
        <v>11</v>
      </c>
      <c r="E141" s="2" t="s">
        <v>17</v>
      </c>
      <c r="F141" s="2" t="s">
        <v>42</v>
      </c>
      <c r="G141" s="2" t="s">
        <v>19</v>
      </c>
      <c r="H141" s="4">
        <v>35192</v>
      </c>
      <c r="I141" s="4">
        <v>35900</v>
      </c>
    </row>
    <row r="142" spans="1:9" x14ac:dyDescent="0.3">
      <c r="A142" s="2" t="s">
        <v>174</v>
      </c>
      <c r="B142" s="3">
        <v>45678</v>
      </c>
      <c r="C142" s="2" t="s">
        <v>16</v>
      </c>
      <c r="D142" s="2" t="s">
        <v>11</v>
      </c>
      <c r="E142" s="2" t="s">
        <v>17</v>
      </c>
      <c r="F142" s="2" t="s">
        <v>13</v>
      </c>
      <c r="G142" s="2" t="s">
        <v>14</v>
      </c>
      <c r="H142" s="4">
        <v>34942</v>
      </c>
      <c r="I142" s="4">
        <v>31600</v>
      </c>
    </row>
    <row r="143" spans="1:9" x14ac:dyDescent="0.3">
      <c r="A143" s="2" t="s">
        <v>175</v>
      </c>
      <c r="B143" s="3">
        <v>45678</v>
      </c>
      <c r="C143" s="2" t="s">
        <v>21</v>
      </c>
      <c r="D143" s="2" t="s">
        <v>11</v>
      </c>
      <c r="E143" s="2" t="s">
        <v>22</v>
      </c>
      <c r="F143" s="2" t="s">
        <v>23</v>
      </c>
      <c r="G143" s="2" t="s">
        <v>14</v>
      </c>
      <c r="H143" s="4">
        <v>25302</v>
      </c>
      <c r="I143" s="4">
        <v>23900</v>
      </c>
    </row>
    <row r="144" spans="1:9" x14ac:dyDescent="0.3">
      <c r="A144" s="2" t="s">
        <v>176</v>
      </c>
      <c r="B144" s="3">
        <v>45678</v>
      </c>
      <c r="C144" s="2" t="s">
        <v>25</v>
      </c>
      <c r="D144" s="2" t="s">
        <v>11</v>
      </c>
      <c r="E144" s="2" t="s">
        <v>22</v>
      </c>
      <c r="F144" s="2" t="s">
        <v>12</v>
      </c>
      <c r="G144" s="2" t="s">
        <v>14</v>
      </c>
      <c r="H144" s="4">
        <v>100130</v>
      </c>
      <c r="I144" s="4">
        <v>95100</v>
      </c>
    </row>
    <row r="145" spans="1:9" x14ac:dyDescent="0.3">
      <c r="A145" s="2" t="s">
        <v>177</v>
      </c>
      <c r="B145" s="3">
        <v>45679</v>
      </c>
      <c r="C145" s="2" t="s">
        <v>16</v>
      </c>
      <c r="D145" s="2" t="s">
        <v>11</v>
      </c>
      <c r="E145" s="2" t="s">
        <v>17</v>
      </c>
      <c r="F145" s="2" t="s">
        <v>12</v>
      </c>
      <c r="G145" s="2" t="s">
        <v>14</v>
      </c>
      <c r="H145" s="4">
        <v>114796</v>
      </c>
      <c r="I145" s="4">
        <v>119400</v>
      </c>
    </row>
    <row r="146" spans="1:9" x14ac:dyDescent="0.3">
      <c r="A146" s="2" t="s">
        <v>178</v>
      </c>
      <c r="B146" s="3">
        <v>45679</v>
      </c>
      <c r="C146" s="2" t="s">
        <v>21</v>
      </c>
      <c r="D146" s="2" t="s">
        <v>11</v>
      </c>
      <c r="E146" s="2" t="s">
        <v>22</v>
      </c>
      <c r="F146" s="2" t="s">
        <v>39</v>
      </c>
      <c r="G146" s="2" t="s">
        <v>19</v>
      </c>
      <c r="H146" s="4">
        <v>65910</v>
      </c>
      <c r="I146" s="4">
        <v>58600</v>
      </c>
    </row>
    <row r="147" spans="1:9" x14ac:dyDescent="0.3">
      <c r="A147" s="2" t="s">
        <v>179</v>
      </c>
      <c r="B147" s="3">
        <v>45679</v>
      </c>
      <c r="C147" s="2" t="s">
        <v>31</v>
      </c>
      <c r="D147" s="2" t="s">
        <v>11</v>
      </c>
      <c r="E147" s="2" t="s">
        <v>17</v>
      </c>
      <c r="F147" s="2" t="s">
        <v>46</v>
      </c>
      <c r="G147" s="2" t="s">
        <v>19</v>
      </c>
      <c r="H147" s="4">
        <v>115240</v>
      </c>
      <c r="I147" s="4">
        <v>123200</v>
      </c>
    </row>
    <row r="148" spans="1:9" x14ac:dyDescent="0.3">
      <c r="A148" s="2" t="s">
        <v>180</v>
      </c>
      <c r="B148" s="3">
        <v>45679</v>
      </c>
      <c r="C148" s="2" t="s">
        <v>31</v>
      </c>
      <c r="D148" s="2" t="s">
        <v>11</v>
      </c>
      <c r="E148" s="2" t="s">
        <v>17</v>
      </c>
      <c r="F148" s="2" t="s">
        <v>42</v>
      </c>
      <c r="G148" s="2" t="s">
        <v>19</v>
      </c>
      <c r="H148" s="4">
        <v>103319</v>
      </c>
      <c r="I148" s="4">
        <v>112200</v>
      </c>
    </row>
    <row r="149" spans="1:9" x14ac:dyDescent="0.3">
      <c r="A149" s="2" t="s">
        <v>181</v>
      </c>
      <c r="B149" s="3">
        <v>45679</v>
      </c>
      <c r="C149" s="2" t="s">
        <v>55</v>
      </c>
      <c r="D149" s="2" t="s">
        <v>11</v>
      </c>
      <c r="E149" s="2" t="s">
        <v>37</v>
      </c>
      <c r="F149" s="2" t="s">
        <v>18</v>
      </c>
      <c r="G149" s="2" t="s">
        <v>19</v>
      </c>
      <c r="H149" s="4">
        <v>101519</v>
      </c>
      <c r="I149" s="4">
        <v>96900</v>
      </c>
    </row>
    <row r="150" spans="1:9" x14ac:dyDescent="0.3">
      <c r="A150" s="2" t="s">
        <v>182</v>
      </c>
      <c r="B150" s="3">
        <v>45680</v>
      </c>
      <c r="C150" s="2" t="s">
        <v>62</v>
      </c>
      <c r="D150" s="2" t="s">
        <v>11</v>
      </c>
      <c r="E150" s="2" t="s">
        <v>22</v>
      </c>
      <c r="F150" s="2" t="s">
        <v>18</v>
      </c>
      <c r="G150" s="2" t="s">
        <v>19</v>
      </c>
      <c r="H150" s="4">
        <v>32263</v>
      </c>
      <c r="I150" s="4">
        <v>34300</v>
      </c>
    </row>
    <row r="151" spans="1:9" x14ac:dyDescent="0.3">
      <c r="A151" s="2" t="s">
        <v>183</v>
      </c>
      <c r="B151" s="3">
        <v>45680</v>
      </c>
      <c r="C151" s="2" t="s">
        <v>10</v>
      </c>
      <c r="D151" s="2" t="s">
        <v>11</v>
      </c>
      <c r="E151" s="2" t="s">
        <v>12</v>
      </c>
      <c r="F151" s="2" t="s">
        <v>42</v>
      </c>
      <c r="G151" s="2" t="s">
        <v>19</v>
      </c>
      <c r="H151" s="4">
        <v>63705</v>
      </c>
      <c r="I151" s="4">
        <v>57700</v>
      </c>
    </row>
    <row r="152" spans="1:9" x14ac:dyDescent="0.3">
      <c r="A152" s="2" t="s">
        <v>184</v>
      </c>
      <c r="B152" s="3">
        <v>45680</v>
      </c>
      <c r="C152" s="2" t="s">
        <v>10</v>
      </c>
      <c r="D152" s="2" t="s">
        <v>11</v>
      </c>
      <c r="E152" s="2" t="s">
        <v>12</v>
      </c>
      <c r="F152" s="2" t="s">
        <v>18</v>
      </c>
      <c r="G152" s="2" t="s">
        <v>19</v>
      </c>
      <c r="H152" s="4">
        <v>63617</v>
      </c>
      <c r="I152" s="4">
        <v>70100</v>
      </c>
    </row>
    <row r="153" spans="1:9" x14ac:dyDescent="0.3">
      <c r="A153" s="2" t="s">
        <v>185</v>
      </c>
      <c r="B153" s="3">
        <v>45680</v>
      </c>
      <c r="C153" s="2" t="s">
        <v>10</v>
      </c>
      <c r="D153" s="2" t="s">
        <v>11</v>
      </c>
      <c r="E153" s="2" t="s">
        <v>12</v>
      </c>
      <c r="F153" s="2" t="s">
        <v>59</v>
      </c>
      <c r="G153" s="2" t="s">
        <v>14</v>
      </c>
      <c r="H153" s="4">
        <v>180644</v>
      </c>
      <c r="I153" s="4">
        <v>185200</v>
      </c>
    </row>
    <row r="154" spans="1:9" x14ac:dyDescent="0.3">
      <c r="A154" s="2" t="s">
        <v>186</v>
      </c>
      <c r="B154" s="3">
        <v>45680</v>
      </c>
      <c r="C154" s="2" t="s">
        <v>16</v>
      </c>
      <c r="D154" s="2" t="s">
        <v>11</v>
      </c>
      <c r="E154" s="2" t="s">
        <v>17</v>
      </c>
      <c r="F154" s="2" t="s">
        <v>39</v>
      </c>
      <c r="G154" s="2" t="s">
        <v>19</v>
      </c>
      <c r="H154" s="4">
        <v>114055</v>
      </c>
      <c r="I154" s="4">
        <v>115100</v>
      </c>
    </row>
    <row r="155" spans="1:9" x14ac:dyDescent="0.3">
      <c r="A155" s="2" t="s">
        <v>187</v>
      </c>
      <c r="B155" s="3">
        <v>45680</v>
      </c>
      <c r="C155" s="2" t="s">
        <v>16</v>
      </c>
      <c r="D155" s="2" t="s">
        <v>11</v>
      </c>
      <c r="E155" s="2" t="s">
        <v>17</v>
      </c>
      <c r="F155" s="2" t="s">
        <v>12</v>
      </c>
      <c r="G155" s="2" t="s">
        <v>14</v>
      </c>
      <c r="H155" s="4">
        <v>139844</v>
      </c>
      <c r="I155" s="4">
        <v>136100</v>
      </c>
    </row>
    <row r="156" spans="1:9" x14ac:dyDescent="0.3">
      <c r="A156" s="2" t="s">
        <v>188</v>
      </c>
      <c r="B156" s="3">
        <v>45680</v>
      </c>
      <c r="C156" s="2" t="s">
        <v>25</v>
      </c>
      <c r="D156" s="2" t="s">
        <v>11</v>
      </c>
      <c r="E156" s="2" t="s">
        <v>22</v>
      </c>
      <c r="F156" s="2" t="s">
        <v>39</v>
      </c>
      <c r="G156" s="2" t="s">
        <v>19</v>
      </c>
      <c r="H156" s="4">
        <v>113324</v>
      </c>
      <c r="I156" s="4">
        <v>94700</v>
      </c>
    </row>
    <row r="157" spans="1:9" x14ac:dyDescent="0.3">
      <c r="A157" s="2" t="s">
        <v>189</v>
      </c>
      <c r="B157" s="3">
        <v>45680</v>
      </c>
      <c r="C157" s="2" t="s">
        <v>25</v>
      </c>
      <c r="D157" s="2" t="s">
        <v>11</v>
      </c>
      <c r="E157" s="2" t="s">
        <v>22</v>
      </c>
      <c r="F157" s="2" t="s">
        <v>33</v>
      </c>
      <c r="G157" s="2" t="s">
        <v>19</v>
      </c>
      <c r="H157" s="4">
        <v>74943</v>
      </c>
      <c r="I157" s="4">
        <v>76200</v>
      </c>
    </row>
    <row r="158" spans="1:9" x14ac:dyDescent="0.3">
      <c r="A158" s="2" t="s">
        <v>190</v>
      </c>
      <c r="B158" s="3">
        <v>45680</v>
      </c>
      <c r="C158" s="2" t="s">
        <v>55</v>
      </c>
      <c r="D158" s="2" t="s">
        <v>11</v>
      </c>
      <c r="E158" s="2" t="s">
        <v>37</v>
      </c>
      <c r="F158" s="2" t="s">
        <v>18</v>
      </c>
      <c r="G158" s="2" t="s">
        <v>19</v>
      </c>
      <c r="H158" s="4">
        <v>50250</v>
      </c>
      <c r="I158" s="4">
        <v>51400</v>
      </c>
    </row>
    <row r="159" spans="1:9" x14ac:dyDescent="0.3">
      <c r="A159" s="2" t="s">
        <v>191</v>
      </c>
      <c r="B159" s="3">
        <v>45680</v>
      </c>
      <c r="C159" s="2" t="s">
        <v>55</v>
      </c>
      <c r="D159" s="2" t="s">
        <v>11</v>
      </c>
      <c r="E159" s="2" t="s">
        <v>37</v>
      </c>
      <c r="F159" s="2" t="s">
        <v>56</v>
      </c>
      <c r="G159" s="2" t="s">
        <v>19</v>
      </c>
      <c r="H159" s="4">
        <v>48185</v>
      </c>
      <c r="I159" s="4">
        <v>40500</v>
      </c>
    </row>
    <row r="160" spans="1:9" x14ac:dyDescent="0.3">
      <c r="A160" s="2" t="s">
        <v>192</v>
      </c>
      <c r="B160" s="3">
        <v>45681</v>
      </c>
      <c r="C160" s="2" t="s">
        <v>10</v>
      </c>
      <c r="D160" s="2" t="s">
        <v>11</v>
      </c>
      <c r="E160" s="2" t="s">
        <v>12</v>
      </c>
      <c r="F160" s="2" t="s">
        <v>33</v>
      </c>
      <c r="G160" s="2" t="s">
        <v>19</v>
      </c>
      <c r="H160" s="4">
        <v>51402</v>
      </c>
      <c r="I160" s="4">
        <v>56000</v>
      </c>
    </row>
    <row r="161" spans="1:9" x14ac:dyDescent="0.3">
      <c r="A161" s="2" t="s">
        <v>193</v>
      </c>
      <c r="B161" s="3">
        <v>45681</v>
      </c>
      <c r="C161" s="2" t="s">
        <v>10</v>
      </c>
      <c r="D161" s="2" t="s">
        <v>11</v>
      </c>
      <c r="E161" s="2" t="s">
        <v>12</v>
      </c>
      <c r="F161" s="2" t="s">
        <v>26</v>
      </c>
      <c r="G161" s="2" t="s">
        <v>14</v>
      </c>
      <c r="H161" s="4">
        <v>155708</v>
      </c>
      <c r="I161" s="4">
        <v>140000</v>
      </c>
    </row>
    <row r="162" spans="1:9" x14ac:dyDescent="0.3">
      <c r="A162" s="2" t="s">
        <v>194</v>
      </c>
      <c r="B162" s="3">
        <v>45681</v>
      </c>
      <c r="C162" s="2" t="s">
        <v>21</v>
      </c>
      <c r="D162" s="2" t="s">
        <v>11</v>
      </c>
      <c r="E162" s="2" t="s">
        <v>22</v>
      </c>
      <c r="F162" s="2" t="s">
        <v>42</v>
      </c>
      <c r="G162" s="2" t="s">
        <v>19</v>
      </c>
      <c r="H162" s="4">
        <v>55726</v>
      </c>
      <c r="I162" s="4">
        <v>59900</v>
      </c>
    </row>
    <row r="163" spans="1:9" x14ac:dyDescent="0.3">
      <c r="A163" s="2" t="s">
        <v>195</v>
      </c>
      <c r="B163" s="3">
        <v>45681</v>
      </c>
      <c r="C163" s="2" t="s">
        <v>21</v>
      </c>
      <c r="D163" s="2" t="s">
        <v>11</v>
      </c>
      <c r="E163" s="2" t="s">
        <v>22</v>
      </c>
      <c r="F163" s="2" t="s">
        <v>13</v>
      </c>
      <c r="G163" s="2" t="s">
        <v>14</v>
      </c>
      <c r="H163" s="4">
        <v>101053</v>
      </c>
      <c r="I163" s="4">
        <v>108700</v>
      </c>
    </row>
    <row r="164" spans="1:9" x14ac:dyDescent="0.3">
      <c r="A164" s="2" t="s">
        <v>196</v>
      </c>
      <c r="B164" s="3">
        <v>45681</v>
      </c>
      <c r="C164" s="2" t="s">
        <v>31</v>
      </c>
      <c r="D164" s="2" t="s">
        <v>11</v>
      </c>
      <c r="E164" s="2" t="s">
        <v>17</v>
      </c>
      <c r="F164" s="2" t="s">
        <v>46</v>
      </c>
      <c r="G164" s="2" t="s">
        <v>19</v>
      </c>
      <c r="H164" s="4">
        <v>42927</v>
      </c>
      <c r="I164" s="4">
        <v>43600</v>
      </c>
    </row>
    <row r="165" spans="1:9" x14ac:dyDescent="0.3">
      <c r="A165" s="2" t="s">
        <v>197</v>
      </c>
      <c r="B165" s="3">
        <v>45681</v>
      </c>
      <c r="C165" s="2" t="s">
        <v>31</v>
      </c>
      <c r="D165" s="2" t="s">
        <v>11</v>
      </c>
      <c r="E165" s="2" t="s">
        <v>17</v>
      </c>
      <c r="F165" s="2" t="s">
        <v>33</v>
      </c>
      <c r="G165" s="2" t="s">
        <v>19</v>
      </c>
      <c r="H165" s="4">
        <v>18208</v>
      </c>
      <c r="I165" s="4">
        <v>21400</v>
      </c>
    </row>
    <row r="166" spans="1:9" x14ac:dyDescent="0.3">
      <c r="A166" s="2" t="s">
        <v>198</v>
      </c>
      <c r="B166" s="3">
        <v>45681</v>
      </c>
      <c r="C166" s="2" t="s">
        <v>31</v>
      </c>
      <c r="D166" s="2" t="s">
        <v>11</v>
      </c>
      <c r="E166" s="2" t="s">
        <v>17</v>
      </c>
      <c r="F166" s="2" t="s">
        <v>23</v>
      </c>
      <c r="G166" s="2" t="s">
        <v>14</v>
      </c>
      <c r="H166" s="4">
        <v>84024</v>
      </c>
      <c r="I166" s="4">
        <v>84200</v>
      </c>
    </row>
    <row r="167" spans="1:9" x14ac:dyDescent="0.3">
      <c r="A167" s="2" t="s">
        <v>199</v>
      </c>
      <c r="B167" s="3">
        <v>45681</v>
      </c>
      <c r="C167" s="2" t="s">
        <v>55</v>
      </c>
      <c r="D167" s="2" t="s">
        <v>11</v>
      </c>
      <c r="E167" s="2" t="s">
        <v>37</v>
      </c>
      <c r="F167" s="2" t="s">
        <v>42</v>
      </c>
      <c r="G167" s="2" t="s">
        <v>19</v>
      </c>
      <c r="H167" s="4">
        <v>71103</v>
      </c>
      <c r="I167" s="4">
        <v>57600</v>
      </c>
    </row>
    <row r="168" spans="1:9" x14ac:dyDescent="0.3">
      <c r="A168" s="2" t="s">
        <v>200</v>
      </c>
      <c r="B168" s="3">
        <v>45681</v>
      </c>
      <c r="C168" s="2" t="s">
        <v>55</v>
      </c>
      <c r="D168" s="2" t="s">
        <v>11</v>
      </c>
      <c r="E168" s="2" t="s">
        <v>37</v>
      </c>
      <c r="F168" s="2" t="s">
        <v>12</v>
      </c>
      <c r="G168" s="2" t="s">
        <v>14</v>
      </c>
      <c r="H168" s="4">
        <v>233422</v>
      </c>
      <c r="I168" s="4">
        <v>252600</v>
      </c>
    </row>
    <row r="169" spans="1:9" x14ac:dyDescent="0.3">
      <c r="A169" s="2" t="s">
        <v>201</v>
      </c>
      <c r="B169" s="3">
        <v>45682</v>
      </c>
      <c r="C169" s="2" t="s">
        <v>10</v>
      </c>
      <c r="D169" s="2" t="s">
        <v>11</v>
      </c>
      <c r="E169" s="2" t="s">
        <v>12</v>
      </c>
      <c r="F169" s="2" t="s">
        <v>18</v>
      </c>
      <c r="G169" s="2" t="s">
        <v>19</v>
      </c>
      <c r="H169" s="4">
        <v>86765</v>
      </c>
      <c r="I169" s="4">
        <v>96900</v>
      </c>
    </row>
    <row r="170" spans="1:9" x14ac:dyDescent="0.3">
      <c r="A170" s="2" t="s">
        <v>202</v>
      </c>
      <c r="B170" s="3">
        <v>45682</v>
      </c>
      <c r="C170" s="2" t="s">
        <v>10</v>
      </c>
      <c r="D170" s="2" t="s">
        <v>11</v>
      </c>
      <c r="E170" s="2" t="s">
        <v>12</v>
      </c>
      <c r="F170" s="2" t="s">
        <v>18</v>
      </c>
      <c r="G170" s="2" t="s">
        <v>19</v>
      </c>
      <c r="H170" s="4">
        <v>68096</v>
      </c>
      <c r="I170" s="4">
        <v>59400</v>
      </c>
    </row>
    <row r="171" spans="1:9" x14ac:dyDescent="0.3">
      <c r="A171" s="2" t="s">
        <v>203</v>
      </c>
      <c r="B171" s="3">
        <v>45682</v>
      </c>
      <c r="C171" s="2" t="s">
        <v>10</v>
      </c>
      <c r="D171" s="2" t="s">
        <v>11</v>
      </c>
      <c r="E171" s="2" t="s">
        <v>12</v>
      </c>
      <c r="F171" s="2" t="s">
        <v>39</v>
      </c>
      <c r="G171" s="2" t="s">
        <v>19</v>
      </c>
      <c r="H171" s="4">
        <v>71527</v>
      </c>
      <c r="I171" s="4">
        <v>65800</v>
      </c>
    </row>
    <row r="172" spans="1:9" x14ac:dyDescent="0.3">
      <c r="A172" s="2" t="s">
        <v>204</v>
      </c>
      <c r="B172" s="3">
        <v>45682</v>
      </c>
      <c r="C172" s="2" t="s">
        <v>21</v>
      </c>
      <c r="D172" s="2" t="s">
        <v>11</v>
      </c>
      <c r="E172" s="2" t="s">
        <v>22</v>
      </c>
      <c r="F172" s="2" t="s">
        <v>23</v>
      </c>
      <c r="G172" s="2" t="s">
        <v>14</v>
      </c>
      <c r="H172" s="4">
        <v>197872</v>
      </c>
      <c r="I172" s="4">
        <v>192700</v>
      </c>
    </row>
    <row r="173" spans="1:9" x14ac:dyDescent="0.3">
      <c r="A173" s="2" t="s">
        <v>205</v>
      </c>
      <c r="B173" s="3">
        <v>45682</v>
      </c>
      <c r="C173" s="2" t="s">
        <v>21</v>
      </c>
      <c r="D173" s="2" t="s">
        <v>11</v>
      </c>
      <c r="E173" s="2" t="s">
        <v>22</v>
      </c>
      <c r="F173" s="2" t="s">
        <v>12</v>
      </c>
      <c r="G173" s="2" t="s">
        <v>14</v>
      </c>
      <c r="H173" s="4">
        <v>246037</v>
      </c>
      <c r="I173" s="4">
        <v>247700</v>
      </c>
    </row>
    <row r="174" spans="1:9" x14ac:dyDescent="0.3">
      <c r="A174" s="2" t="s">
        <v>206</v>
      </c>
      <c r="B174" s="3">
        <v>45682</v>
      </c>
      <c r="C174" s="2" t="s">
        <v>25</v>
      </c>
      <c r="D174" s="2" t="s">
        <v>11</v>
      </c>
      <c r="E174" s="2" t="s">
        <v>22</v>
      </c>
      <c r="F174" s="2" t="s">
        <v>26</v>
      </c>
      <c r="G174" s="2" t="s">
        <v>14</v>
      </c>
      <c r="H174" s="4">
        <v>92272</v>
      </c>
      <c r="I174" s="4">
        <v>106900</v>
      </c>
    </row>
    <row r="175" spans="1:9" x14ac:dyDescent="0.3">
      <c r="A175" s="2" t="s">
        <v>207</v>
      </c>
      <c r="B175" s="3">
        <v>45682</v>
      </c>
      <c r="C175" s="2" t="s">
        <v>31</v>
      </c>
      <c r="D175" s="2" t="s">
        <v>11</v>
      </c>
      <c r="E175" s="2" t="s">
        <v>17</v>
      </c>
      <c r="F175" s="2" t="s">
        <v>23</v>
      </c>
      <c r="G175" s="2" t="s">
        <v>14</v>
      </c>
      <c r="H175" s="4">
        <v>132277</v>
      </c>
      <c r="I175" s="4">
        <v>118100</v>
      </c>
    </row>
    <row r="176" spans="1:9" x14ac:dyDescent="0.3">
      <c r="A176" s="2" t="s">
        <v>208</v>
      </c>
      <c r="B176" s="3">
        <v>45683</v>
      </c>
      <c r="C176" s="2" t="s">
        <v>62</v>
      </c>
      <c r="D176" s="2" t="s">
        <v>11</v>
      </c>
      <c r="E176" s="2" t="s">
        <v>22</v>
      </c>
      <c r="F176" s="2" t="s">
        <v>33</v>
      </c>
      <c r="G176" s="2" t="s">
        <v>19</v>
      </c>
      <c r="H176" s="4">
        <v>98530</v>
      </c>
      <c r="I176" s="4">
        <v>122500</v>
      </c>
    </row>
    <row r="177" spans="1:9" x14ac:dyDescent="0.3">
      <c r="A177" s="2" t="s">
        <v>209</v>
      </c>
      <c r="B177" s="3">
        <v>45683</v>
      </c>
      <c r="C177" s="2" t="s">
        <v>62</v>
      </c>
      <c r="D177" s="2" t="s">
        <v>11</v>
      </c>
      <c r="E177" s="2" t="s">
        <v>22</v>
      </c>
      <c r="F177" s="2" t="s">
        <v>56</v>
      </c>
      <c r="G177" s="2" t="s">
        <v>19</v>
      </c>
      <c r="H177" s="4">
        <v>66409</v>
      </c>
      <c r="I177" s="4">
        <v>62200</v>
      </c>
    </row>
    <row r="178" spans="1:9" x14ac:dyDescent="0.3">
      <c r="A178" s="2" t="s">
        <v>210</v>
      </c>
      <c r="B178" s="3">
        <v>45683</v>
      </c>
      <c r="C178" s="2" t="s">
        <v>10</v>
      </c>
      <c r="D178" s="2" t="s">
        <v>11</v>
      </c>
      <c r="E178" s="2" t="s">
        <v>12</v>
      </c>
      <c r="F178" s="2" t="s">
        <v>46</v>
      </c>
      <c r="G178" s="2" t="s">
        <v>19</v>
      </c>
      <c r="H178" s="4">
        <v>51729</v>
      </c>
      <c r="I178" s="4">
        <v>48000</v>
      </c>
    </row>
    <row r="179" spans="1:9" x14ac:dyDescent="0.3">
      <c r="A179" s="2" t="s">
        <v>211</v>
      </c>
      <c r="B179" s="3">
        <v>45683</v>
      </c>
      <c r="C179" s="2" t="s">
        <v>10</v>
      </c>
      <c r="D179" s="2" t="s">
        <v>11</v>
      </c>
      <c r="E179" s="2" t="s">
        <v>12</v>
      </c>
      <c r="F179" s="2" t="s">
        <v>26</v>
      </c>
      <c r="G179" s="2" t="s">
        <v>14</v>
      </c>
      <c r="H179" s="4">
        <v>178184</v>
      </c>
      <c r="I179" s="4">
        <v>172600</v>
      </c>
    </row>
    <row r="180" spans="1:9" x14ac:dyDescent="0.3">
      <c r="A180" s="2" t="s">
        <v>212</v>
      </c>
      <c r="B180" s="3">
        <v>45683</v>
      </c>
      <c r="C180" s="2" t="s">
        <v>36</v>
      </c>
      <c r="D180" s="2" t="s">
        <v>11</v>
      </c>
      <c r="E180" s="2" t="s">
        <v>37</v>
      </c>
      <c r="F180" s="2" t="s">
        <v>33</v>
      </c>
      <c r="G180" s="2" t="s">
        <v>19</v>
      </c>
      <c r="H180" s="4">
        <v>119924</v>
      </c>
      <c r="I180" s="4">
        <v>126200</v>
      </c>
    </row>
    <row r="181" spans="1:9" x14ac:dyDescent="0.3">
      <c r="A181" s="2" t="s">
        <v>213</v>
      </c>
      <c r="B181" s="3">
        <v>45683</v>
      </c>
      <c r="C181" s="2" t="s">
        <v>21</v>
      </c>
      <c r="D181" s="2" t="s">
        <v>11</v>
      </c>
      <c r="E181" s="2" t="s">
        <v>22</v>
      </c>
      <c r="F181" s="2" t="s">
        <v>33</v>
      </c>
      <c r="G181" s="2" t="s">
        <v>19</v>
      </c>
      <c r="H181" s="4">
        <v>52346</v>
      </c>
      <c r="I181" s="4">
        <v>58300</v>
      </c>
    </row>
    <row r="182" spans="1:9" x14ac:dyDescent="0.3">
      <c r="A182" s="2" t="s">
        <v>214</v>
      </c>
      <c r="B182" s="3">
        <v>45683</v>
      </c>
      <c r="C182" s="2" t="s">
        <v>21</v>
      </c>
      <c r="D182" s="2" t="s">
        <v>11</v>
      </c>
      <c r="E182" s="2" t="s">
        <v>22</v>
      </c>
      <c r="F182" s="2" t="s">
        <v>18</v>
      </c>
      <c r="G182" s="2" t="s">
        <v>19</v>
      </c>
      <c r="H182" s="4">
        <v>14372</v>
      </c>
      <c r="I182" s="4">
        <v>12700</v>
      </c>
    </row>
    <row r="183" spans="1:9" x14ac:dyDescent="0.3">
      <c r="A183" s="2" t="s">
        <v>215</v>
      </c>
      <c r="B183" s="3">
        <v>45683</v>
      </c>
      <c r="C183" s="2" t="s">
        <v>21</v>
      </c>
      <c r="D183" s="2" t="s">
        <v>11</v>
      </c>
      <c r="E183" s="2" t="s">
        <v>22</v>
      </c>
      <c r="F183" s="2" t="s">
        <v>26</v>
      </c>
      <c r="G183" s="2" t="s">
        <v>14</v>
      </c>
      <c r="H183" s="4">
        <v>221055</v>
      </c>
      <c r="I183" s="4">
        <v>230100</v>
      </c>
    </row>
    <row r="184" spans="1:9" x14ac:dyDescent="0.3">
      <c r="A184" s="2" t="s">
        <v>216</v>
      </c>
      <c r="B184" s="3">
        <v>45683</v>
      </c>
      <c r="C184" s="2" t="s">
        <v>55</v>
      </c>
      <c r="D184" s="2" t="s">
        <v>11</v>
      </c>
      <c r="E184" s="2" t="s">
        <v>37</v>
      </c>
      <c r="F184" s="2" t="s">
        <v>13</v>
      </c>
      <c r="G184" s="2" t="s">
        <v>14</v>
      </c>
      <c r="H184" s="4">
        <v>244073</v>
      </c>
      <c r="I184" s="4">
        <v>237500</v>
      </c>
    </row>
    <row r="185" spans="1:9" x14ac:dyDescent="0.3">
      <c r="A185" s="2" t="s">
        <v>217</v>
      </c>
      <c r="B185" s="3">
        <v>45684</v>
      </c>
      <c r="C185" s="2" t="s">
        <v>62</v>
      </c>
      <c r="D185" s="2" t="s">
        <v>11</v>
      </c>
      <c r="E185" s="2" t="s">
        <v>22</v>
      </c>
      <c r="F185" s="2" t="s">
        <v>37</v>
      </c>
      <c r="G185" s="2" t="s">
        <v>14</v>
      </c>
      <c r="H185" s="4">
        <v>60283</v>
      </c>
      <c r="I185" s="4">
        <v>65700</v>
      </c>
    </row>
    <row r="186" spans="1:9" x14ac:dyDescent="0.3">
      <c r="A186" s="2" t="s">
        <v>218</v>
      </c>
      <c r="B186" s="3">
        <v>45684</v>
      </c>
      <c r="C186" s="2" t="s">
        <v>10</v>
      </c>
      <c r="D186" s="2" t="s">
        <v>11</v>
      </c>
      <c r="E186" s="2" t="s">
        <v>12</v>
      </c>
      <c r="F186" s="2" t="s">
        <v>23</v>
      </c>
      <c r="G186" s="2" t="s">
        <v>14</v>
      </c>
      <c r="H186" s="4">
        <v>108406</v>
      </c>
      <c r="I186" s="4">
        <v>105100</v>
      </c>
    </row>
    <row r="187" spans="1:9" x14ac:dyDescent="0.3">
      <c r="A187" s="2" t="s">
        <v>219</v>
      </c>
      <c r="B187" s="3">
        <v>45684</v>
      </c>
      <c r="C187" s="2" t="s">
        <v>36</v>
      </c>
      <c r="D187" s="2" t="s">
        <v>11</v>
      </c>
      <c r="E187" s="2" t="s">
        <v>37</v>
      </c>
      <c r="F187" s="2" t="s">
        <v>42</v>
      </c>
      <c r="G187" s="2" t="s">
        <v>19</v>
      </c>
      <c r="H187" s="4">
        <v>92395</v>
      </c>
      <c r="I187" s="4">
        <v>101200</v>
      </c>
    </row>
    <row r="188" spans="1:9" x14ac:dyDescent="0.3">
      <c r="A188" s="2" t="s">
        <v>220</v>
      </c>
      <c r="B188" s="3">
        <v>45684</v>
      </c>
      <c r="C188" s="2" t="s">
        <v>25</v>
      </c>
      <c r="D188" s="2" t="s">
        <v>11</v>
      </c>
      <c r="E188" s="2" t="s">
        <v>22</v>
      </c>
      <c r="F188" s="2" t="s">
        <v>37</v>
      </c>
      <c r="G188" s="2" t="s">
        <v>14</v>
      </c>
      <c r="H188" s="4">
        <v>243326</v>
      </c>
      <c r="I188" s="4">
        <v>205200</v>
      </c>
    </row>
    <row r="189" spans="1:9" x14ac:dyDescent="0.3">
      <c r="A189" s="2" t="s">
        <v>221</v>
      </c>
      <c r="B189" s="3">
        <v>45684</v>
      </c>
      <c r="C189" s="2" t="s">
        <v>31</v>
      </c>
      <c r="D189" s="2" t="s">
        <v>11</v>
      </c>
      <c r="E189" s="2" t="s">
        <v>17</v>
      </c>
      <c r="F189" s="2" t="s">
        <v>26</v>
      </c>
      <c r="G189" s="2" t="s">
        <v>14</v>
      </c>
      <c r="H189" s="4">
        <v>123357</v>
      </c>
      <c r="I189" s="4">
        <v>118500</v>
      </c>
    </row>
    <row r="190" spans="1:9" x14ac:dyDescent="0.3">
      <c r="A190" s="2" t="s">
        <v>222</v>
      </c>
      <c r="B190" s="3">
        <v>45684</v>
      </c>
      <c r="C190" s="2" t="s">
        <v>55</v>
      </c>
      <c r="D190" s="2" t="s">
        <v>11</v>
      </c>
      <c r="E190" s="2" t="s">
        <v>37</v>
      </c>
      <c r="F190" s="2" t="s">
        <v>23</v>
      </c>
      <c r="G190" s="2" t="s">
        <v>14</v>
      </c>
      <c r="H190" s="4">
        <v>167836</v>
      </c>
      <c r="I190" s="4">
        <v>183800</v>
      </c>
    </row>
    <row r="191" spans="1:9" x14ac:dyDescent="0.3">
      <c r="A191" s="2" t="s">
        <v>223</v>
      </c>
      <c r="B191" s="3">
        <v>45684</v>
      </c>
      <c r="C191" s="2" t="s">
        <v>55</v>
      </c>
      <c r="D191" s="2" t="s">
        <v>11</v>
      </c>
      <c r="E191" s="2" t="s">
        <v>37</v>
      </c>
      <c r="F191" s="2" t="s">
        <v>23</v>
      </c>
      <c r="G191" s="2" t="s">
        <v>14</v>
      </c>
      <c r="H191" s="4">
        <v>211190</v>
      </c>
      <c r="I191" s="4">
        <v>256000</v>
      </c>
    </row>
    <row r="192" spans="1:9" x14ac:dyDescent="0.3">
      <c r="A192" s="2" t="s">
        <v>224</v>
      </c>
      <c r="B192" s="3">
        <v>45685</v>
      </c>
      <c r="C192" s="2" t="s">
        <v>62</v>
      </c>
      <c r="D192" s="2" t="s">
        <v>11</v>
      </c>
      <c r="E192" s="2" t="s">
        <v>22</v>
      </c>
      <c r="F192" s="2" t="s">
        <v>39</v>
      </c>
      <c r="G192" s="2" t="s">
        <v>19</v>
      </c>
      <c r="H192" s="4">
        <v>94412</v>
      </c>
      <c r="I192" s="4">
        <v>104600</v>
      </c>
    </row>
    <row r="193" spans="1:9" x14ac:dyDescent="0.3">
      <c r="A193" s="2" t="s">
        <v>225</v>
      </c>
      <c r="B193" s="3">
        <v>45685</v>
      </c>
      <c r="C193" s="2" t="s">
        <v>10</v>
      </c>
      <c r="D193" s="2" t="s">
        <v>11</v>
      </c>
      <c r="E193" s="2" t="s">
        <v>12</v>
      </c>
      <c r="F193" s="2" t="s">
        <v>42</v>
      </c>
      <c r="G193" s="2" t="s">
        <v>19</v>
      </c>
      <c r="H193" s="4">
        <v>97400</v>
      </c>
      <c r="I193" s="4">
        <v>88900</v>
      </c>
    </row>
    <row r="194" spans="1:9" x14ac:dyDescent="0.3">
      <c r="A194" s="2" t="s">
        <v>226</v>
      </c>
      <c r="B194" s="3">
        <v>45685</v>
      </c>
      <c r="C194" s="2" t="s">
        <v>10</v>
      </c>
      <c r="D194" s="2" t="s">
        <v>11</v>
      </c>
      <c r="E194" s="2" t="s">
        <v>12</v>
      </c>
      <c r="F194" s="2" t="s">
        <v>33</v>
      </c>
      <c r="G194" s="2" t="s">
        <v>19</v>
      </c>
      <c r="H194" s="4">
        <v>106173</v>
      </c>
      <c r="I194" s="4">
        <v>114300</v>
      </c>
    </row>
    <row r="195" spans="1:9" x14ac:dyDescent="0.3">
      <c r="A195" s="2" t="s">
        <v>227</v>
      </c>
      <c r="B195" s="3">
        <v>45685</v>
      </c>
      <c r="C195" s="2" t="s">
        <v>16</v>
      </c>
      <c r="D195" s="2" t="s">
        <v>11</v>
      </c>
      <c r="E195" s="2" t="s">
        <v>17</v>
      </c>
      <c r="F195" s="2" t="s">
        <v>33</v>
      </c>
      <c r="G195" s="2" t="s">
        <v>19</v>
      </c>
      <c r="H195" s="4">
        <v>71111</v>
      </c>
      <c r="I195" s="4">
        <v>73700</v>
      </c>
    </row>
    <row r="196" spans="1:9" x14ac:dyDescent="0.3">
      <c r="A196" s="2" t="s">
        <v>228</v>
      </c>
      <c r="B196" s="3">
        <v>45685</v>
      </c>
      <c r="C196" s="2" t="s">
        <v>21</v>
      </c>
      <c r="D196" s="2" t="s">
        <v>11</v>
      </c>
      <c r="E196" s="2" t="s">
        <v>22</v>
      </c>
      <c r="F196" s="2" t="s">
        <v>23</v>
      </c>
      <c r="G196" s="2" t="s">
        <v>14</v>
      </c>
      <c r="H196" s="4">
        <v>239772</v>
      </c>
      <c r="I196" s="4">
        <v>279500</v>
      </c>
    </row>
    <row r="197" spans="1:9" x14ac:dyDescent="0.3">
      <c r="A197" s="2" t="s">
        <v>229</v>
      </c>
      <c r="B197" s="3">
        <v>45685</v>
      </c>
      <c r="C197" s="2" t="s">
        <v>31</v>
      </c>
      <c r="D197" s="2" t="s">
        <v>11</v>
      </c>
      <c r="E197" s="2" t="s">
        <v>17</v>
      </c>
      <c r="F197" s="2" t="s">
        <v>33</v>
      </c>
      <c r="G197" s="2" t="s">
        <v>19</v>
      </c>
      <c r="H197" s="4">
        <v>61000</v>
      </c>
      <c r="I197" s="4">
        <v>56900</v>
      </c>
    </row>
    <row r="198" spans="1:9" x14ac:dyDescent="0.3">
      <c r="A198" s="2" t="s">
        <v>230</v>
      </c>
      <c r="B198" s="3">
        <v>45685</v>
      </c>
      <c r="C198" s="2" t="s">
        <v>31</v>
      </c>
      <c r="D198" s="2" t="s">
        <v>11</v>
      </c>
      <c r="E198" s="2" t="s">
        <v>17</v>
      </c>
      <c r="F198" s="2" t="s">
        <v>46</v>
      </c>
      <c r="G198" s="2" t="s">
        <v>19</v>
      </c>
      <c r="H198" s="4">
        <v>33861</v>
      </c>
      <c r="I198" s="4">
        <v>34600</v>
      </c>
    </row>
    <row r="199" spans="1:9" x14ac:dyDescent="0.3">
      <c r="A199" s="2" t="s">
        <v>231</v>
      </c>
      <c r="B199" s="3">
        <v>45685</v>
      </c>
      <c r="C199" s="2" t="s">
        <v>31</v>
      </c>
      <c r="D199" s="2" t="s">
        <v>11</v>
      </c>
      <c r="E199" s="2" t="s">
        <v>17</v>
      </c>
      <c r="F199" s="2" t="s">
        <v>13</v>
      </c>
      <c r="G199" s="2" t="s">
        <v>14</v>
      </c>
      <c r="H199" s="4">
        <v>137628</v>
      </c>
      <c r="I199" s="4">
        <v>137200</v>
      </c>
    </row>
    <row r="200" spans="1:9" x14ac:dyDescent="0.3">
      <c r="A200" s="2" t="s">
        <v>232</v>
      </c>
      <c r="B200" s="3">
        <v>45686</v>
      </c>
      <c r="C200" s="2" t="s">
        <v>36</v>
      </c>
      <c r="D200" s="2" t="s">
        <v>11</v>
      </c>
      <c r="E200" s="2" t="s">
        <v>37</v>
      </c>
      <c r="F200" s="2" t="s">
        <v>39</v>
      </c>
      <c r="G200" s="2" t="s">
        <v>19</v>
      </c>
      <c r="H200" s="4">
        <v>51605</v>
      </c>
      <c r="I200" s="4">
        <v>54800</v>
      </c>
    </row>
    <row r="201" spans="1:9" x14ac:dyDescent="0.3">
      <c r="A201" s="2" t="s">
        <v>233</v>
      </c>
      <c r="B201" s="3">
        <v>45686</v>
      </c>
      <c r="C201" s="2" t="s">
        <v>25</v>
      </c>
      <c r="D201" s="2" t="s">
        <v>11</v>
      </c>
      <c r="E201" s="2" t="s">
        <v>22</v>
      </c>
      <c r="F201" s="2" t="s">
        <v>12</v>
      </c>
      <c r="G201" s="2" t="s">
        <v>14</v>
      </c>
      <c r="H201" s="4">
        <v>61109</v>
      </c>
      <c r="I201" s="4">
        <v>58200</v>
      </c>
    </row>
    <row r="202" spans="1:9" x14ac:dyDescent="0.3">
      <c r="A202" s="2" t="s">
        <v>234</v>
      </c>
      <c r="B202" s="3">
        <v>45686</v>
      </c>
      <c r="C202" s="2" t="s">
        <v>25</v>
      </c>
      <c r="D202" s="2" t="s">
        <v>11</v>
      </c>
      <c r="E202" s="2" t="s">
        <v>22</v>
      </c>
      <c r="F202" s="2" t="s">
        <v>23</v>
      </c>
      <c r="G202" s="2" t="s">
        <v>14</v>
      </c>
      <c r="H202" s="4">
        <v>231716</v>
      </c>
      <c r="I202" s="4">
        <v>245900</v>
      </c>
    </row>
    <row r="203" spans="1:9" x14ac:dyDescent="0.3">
      <c r="A203" s="2" t="s">
        <v>235</v>
      </c>
      <c r="B203" s="3">
        <v>45686</v>
      </c>
      <c r="C203" s="2" t="s">
        <v>55</v>
      </c>
      <c r="D203" s="2" t="s">
        <v>11</v>
      </c>
      <c r="E203" s="2" t="s">
        <v>37</v>
      </c>
      <c r="F203" s="2" t="s">
        <v>33</v>
      </c>
      <c r="G203" s="2" t="s">
        <v>19</v>
      </c>
      <c r="H203" s="4">
        <v>87924</v>
      </c>
      <c r="I203" s="4">
        <v>96200</v>
      </c>
    </row>
    <row r="204" spans="1:9" x14ac:dyDescent="0.3">
      <c r="A204" s="2" t="s">
        <v>236</v>
      </c>
      <c r="B204" s="3">
        <v>45687</v>
      </c>
      <c r="C204" s="2" t="s">
        <v>62</v>
      </c>
      <c r="D204" s="2" t="s">
        <v>11</v>
      </c>
      <c r="E204" s="2" t="s">
        <v>22</v>
      </c>
      <c r="F204" s="2" t="s">
        <v>39</v>
      </c>
      <c r="G204" s="2" t="s">
        <v>19</v>
      </c>
      <c r="H204" s="4">
        <v>28974</v>
      </c>
      <c r="I204" s="4">
        <v>26300</v>
      </c>
    </row>
    <row r="205" spans="1:9" x14ac:dyDescent="0.3">
      <c r="A205" s="2" t="s">
        <v>237</v>
      </c>
      <c r="B205" s="3">
        <v>45687</v>
      </c>
      <c r="C205" s="2" t="s">
        <v>62</v>
      </c>
      <c r="D205" s="2" t="s">
        <v>11</v>
      </c>
      <c r="E205" s="2" t="s">
        <v>22</v>
      </c>
      <c r="F205" s="2" t="s">
        <v>18</v>
      </c>
      <c r="G205" s="2" t="s">
        <v>19</v>
      </c>
      <c r="H205" s="4">
        <v>87893</v>
      </c>
      <c r="I205" s="4">
        <v>78200</v>
      </c>
    </row>
    <row r="206" spans="1:9" x14ac:dyDescent="0.3">
      <c r="A206" s="2" t="s">
        <v>238</v>
      </c>
      <c r="B206" s="3">
        <v>45687</v>
      </c>
      <c r="C206" s="2" t="s">
        <v>62</v>
      </c>
      <c r="D206" s="2" t="s">
        <v>11</v>
      </c>
      <c r="E206" s="2" t="s">
        <v>22</v>
      </c>
      <c r="F206" s="2" t="s">
        <v>42</v>
      </c>
      <c r="G206" s="2" t="s">
        <v>19</v>
      </c>
      <c r="H206" s="4">
        <v>74051</v>
      </c>
      <c r="I206" s="4">
        <v>82500</v>
      </c>
    </row>
    <row r="207" spans="1:9" x14ac:dyDescent="0.3">
      <c r="A207" s="2" t="s">
        <v>239</v>
      </c>
      <c r="B207" s="3">
        <v>45687</v>
      </c>
      <c r="C207" s="2" t="s">
        <v>10</v>
      </c>
      <c r="D207" s="2" t="s">
        <v>11</v>
      </c>
      <c r="E207" s="2" t="s">
        <v>12</v>
      </c>
      <c r="F207" s="2" t="s">
        <v>56</v>
      </c>
      <c r="G207" s="2" t="s">
        <v>19</v>
      </c>
      <c r="H207" s="4">
        <v>55673</v>
      </c>
      <c r="I207" s="4">
        <v>62700</v>
      </c>
    </row>
    <row r="208" spans="1:9" x14ac:dyDescent="0.3">
      <c r="A208" s="2" t="s">
        <v>240</v>
      </c>
      <c r="B208" s="3">
        <v>45687</v>
      </c>
      <c r="C208" s="2" t="s">
        <v>16</v>
      </c>
      <c r="D208" s="2" t="s">
        <v>11</v>
      </c>
      <c r="E208" s="2" t="s">
        <v>17</v>
      </c>
      <c r="F208" s="2" t="s">
        <v>33</v>
      </c>
      <c r="G208" s="2" t="s">
        <v>19</v>
      </c>
      <c r="H208" s="4">
        <v>102729</v>
      </c>
      <c r="I208" s="4">
        <v>101000</v>
      </c>
    </row>
    <row r="209" spans="1:9" x14ac:dyDescent="0.3">
      <c r="A209" s="2" t="s">
        <v>241</v>
      </c>
      <c r="B209" s="3">
        <v>45687</v>
      </c>
      <c r="C209" s="2" t="s">
        <v>25</v>
      </c>
      <c r="D209" s="2" t="s">
        <v>11</v>
      </c>
      <c r="E209" s="2" t="s">
        <v>22</v>
      </c>
      <c r="F209" s="2" t="s">
        <v>42</v>
      </c>
      <c r="G209" s="2" t="s">
        <v>19</v>
      </c>
      <c r="H209" s="4">
        <v>112290</v>
      </c>
      <c r="I209" s="4">
        <v>102400</v>
      </c>
    </row>
    <row r="210" spans="1:9" x14ac:dyDescent="0.3">
      <c r="A210" s="2" t="s">
        <v>242</v>
      </c>
      <c r="B210" s="3">
        <v>45687</v>
      </c>
      <c r="C210" s="2" t="s">
        <v>31</v>
      </c>
      <c r="D210" s="2" t="s">
        <v>11</v>
      </c>
      <c r="E210" s="2" t="s">
        <v>17</v>
      </c>
      <c r="F210" s="2" t="s">
        <v>18</v>
      </c>
      <c r="G210" s="2" t="s">
        <v>19</v>
      </c>
      <c r="H210" s="4">
        <v>103663</v>
      </c>
      <c r="I210" s="4">
        <v>100600</v>
      </c>
    </row>
    <row r="211" spans="1:9" x14ac:dyDescent="0.3">
      <c r="A211" s="2" t="s">
        <v>243</v>
      </c>
      <c r="B211" s="3">
        <v>45687</v>
      </c>
      <c r="C211" s="2" t="s">
        <v>55</v>
      </c>
      <c r="D211" s="2" t="s">
        <v>11</v>
      </c>
      <c r="E211" s="2" t="s">
        <v>37</v>
      </c>
      <c r="F211" s="2" t="s">
        <v>46</v>
      </c>
      <c r="G211" s="2" t="s">
        <v>19</v>
      </c>
      <c r="H211" s="4">
        <v>27017</v>
      </c>
      <c r="I211" s="4">
        <v>25500</v>
      </c>
    </row>
    <row r="212" spans="1:9" x14ac:dyDescent="0.3">
      <c r="A212" s="2" t="s">
        <v>244</v>
      </c>
      <c r="B212" s="3">
        <v>45688</v>
      </c>
      <c r="C212" s="2" t="s">
        <v>10</v>
      </c>
      <c r="D212" s="2" t="s">
        <v>11</v>
      </c>
      <c r="E212" s="2" t="s">
        <v>12</v>
      </c>
      <c r="F212" s="2" t="s">
        <v>46</v>
      </c>
      <c r="G212" s="2" t="s">
        <v>19</v>
      </c>
      <c r="H212" s="4">
        <v>20364</v>
      </c>
      <c r="I212" s="4">
        <v>19500</v>
      </c>
    </row>
    <row r="213" spans="1:9" x14ac:dyDescent="0.3">
      <c r="A213" s="2" t="s">
        <v>245</v>
      </c>
      <c r="B213" s="3">
        <v>45688</v>
      </c>
      <c r="C213" s="2" t="s">
        <v>10</v>
      </c>
      <c r="D213" s="2" t="s">
        <v>11</v>
      </c>
      <c r="E213" s="2" t="s">
        <v>12</v>
      </c>
      <c r="F213" s="2" t="s">
        <v>37</v>
      </c>
      <c r="G213" s="2" t="s">
        <v>14</v>
      </c>
      <c r="H213" s="4">
        <v>199523</v>
      </c>
      <c r="I213" s="4">
        <v>191200</v>
      </c>
    </row>
    <row r="214" spans="1:9" x14ac:dyDescent="0.3">
      <c r="A214" s="2" t="s">
        <v>246</v>
      </c>
      <c r="B214" s="3">
        <v>45688</v>
      </c>
      <c r="C214" s="2" t="s">
        <v>21</v>
      </c>
      <c r="D214" s="2" t="s">
        <v>11</v>
      </c>
      <c r="E214" s="2" t="s">
        <v>22</v>
      </c>
      <c r="F214" s="2" t="s">
        <v>42</v>
      </c>
      <c r="G214" s="2" t="s">
        <v>19</v>
      </c>
      <c r="H214" s="4">
        <v>66958</v>
      </c>
      <c r="I214" s="4">
        <v>77000</v>
      </c>
    </row>
    <row r="215" spans="1:9" x14ac:dyDescent="0.3">
      <c r="A215" s="2" t="s">
        <v>247</v>
      </c>
      <c r="B215" s="3">
        <v>45688</v>
      </c>
      <c r="C215" s="2" t="s">
        <v>25</v>
      </c>
      <c r="D215" s="2" t="s">
        <v>11</v>
      </c>
      <c r="E215" s="2" t="s">
        <v>22</v>
      </c>
      <c r="F215" s="2" t="s">
        <v>23</v>
      </c>
      <c r="G215" s="2" t="s">
        <v>14</v>
      </c>
      <c r="H215" s="4">
        <v>196104</v>
      </c>
      <c r="I215" s="4">
        <v>209500</v>
      </c>
    </row>
    <row r="216" spans="1:9" x14ac:dyDescent="0.3">
      <c r="A216" s="2" t="s">
        <v>248</v>
      </c>
      <c r="B216" s="3">
        <v>45688</v>
      </c>
      <c r="C216" s="2" t="s">
        <v>31</v>
      </c>
      <c r="D216" s="2" t="s">
        <v>11</v>
      </c>
      <c r="E216" s="2" t="s">
        <v>17</v>
      </c>
      <c r="F216" s="2" t="s">
        <v>23</v>
      </c>
      <c r="G216" s="2" t="s">
        <v>14</v>
      </c>
      <c r="H216" s="4">
        <v>71793</v>
      </c>
      <c r="I216" s="4">
        <v>76300</v>
      </c>
    </row>
    <row r="217" spans="1:9" x14ac:dyDescent="0.3">
      <c r="A217" s="2" t="s">
        <v>249</v>
      </c>
      <c r="B217" s="3">
        <v>45689</v>
      </c>
      <c r="C217" s="2" t="s">
        <v>62</v>
      </c>
      <c r="D217" s="2" t="s">
        <v>11</v>
      </c>
      <c r="E217" s="2" t="s">
        <v>22</v>
      </c>
      <c r="F217" s="2" t="s">
        <v>56</v>
      </c>
      <c r="G217" s="2" t="s">
        <v>19</v>
      </c>
      <c r="H217" s="4">
        <v>46884</v>
      </c>
      <c r="I217" s="4">
        <v>48500</v>
      </c>
    </row>
    <row r="218" spans="1:9" x14ac:dyDescent="0.3">
      <c r="A218" s="2" t="s">
        <v>250</v>
      </c>
      <c r="B218" s="3">
        <v>45689</v>
      </c>
      <c r="C218" s="2" t="s">
        <v>62</v>
      </c>
      <c r="D218" s="2" t="s">
        <v>11</v>
      </c>
      <c r="E218" s="2" t="s">
        <v>22</v>
      </c>
      <c r="F218" s="2" t="s">
        <v>46</v>
      </c>
      <c r="G218" s="2" t="s">
        <v>19</v>
      </c>
      <c r="H218" s="4">
        <v>89421</v>
      </c>
      <c r="I218" s="4">
        <v>94500</v>
      </c>
    </row>
    <row r="219" spans="1:9" x14ac:dyDescent="0.3">
      <c r="A219" s="2" t="s">
        <v>251</v>
      </c>
      <c r="B219" s="3">
        <v>45689</v>
      </c>
      <c r="C219" s="2" t="s">
        <v>10</v>
      </c>
      <c r="D219" s="2" t="s">
        <v>11</v>
      </c>
      <c r="E219" s="2" t="s">
        <v>12</v>
      </c>
      <c r="F219" s="2" t="s">
        <v>39</v>
      </c>
      <c r="G219" s="2" t="s">
        <v>19</v>
      </c>
      <c r="H219" s="4">
        <v>97324</v>
      </c>
      <c r="I219" s="4">
        <v>100600</v>
      </c>
    </row>
    <row r="220" spans="1:9" x14ac:dyDescent="0.3">
      <c r="A220" s="2" t="s">
        <v>252</v>
      </c>
      <c r="B220" s="3">
        <v>45689</v>
      </c>
      <c r="C220" s="2" t="s">
        <v>16</v>
      </c>
      <c r="D220" s="2" t="s">
        <v>11</v>
      </c>
      <c r="E220" s="2" t="s">
        <v>17</v>
      </c>
      <c r="F220" s="2" t="s">
        <v>56</v>
      </c>
      <c r="G220" s="2" t="s">
        <v>19</v>
      </c>
      <c r="H220" s="4">
        <v>68712</v>
      </c>
      <c r="I220" s="4">
        <v>73500</v>
      </c>
    </row>
    <row r="221" spans="1:9" x14ac:dyDescent="0.3">
      <c r="A221" s="2" t="s">
        <v>253</v>
      </c>
      <c r="B221" s="3">
        <v>45689</v>
      </c>
      <c r="C221" s="2" t="s">
        <v>16</v>
      </c>
      <c r="D221" s="2" t="s">
        <v>11</v>
      </c>
      <c r="E221" s="2" t="s">
        <v>17</v>
      </c>
      <c r="F221" s="2" t="s">
        <v>18</v>
      </c>
      <c r="G221" s="2" t="s">
        <v>19</v>
      </c>
      <c r="H221" s="4">
        <v>36715</v>
      </c>
      <c r="I221" s="4">
        <v>38200</v>
      </c>
    </row>
    <row r="222" spans="1:9" x14ac:dyDescent="0.3">
      <c r="A222" s="2" t="s">
        <v>254</v>
      </c>
      <c r="B222" s="3">
        <v>45689</v>
      </c>
      <c r="C222" s="2" t="s">
        <v>36</v>
      </c>
      <c r="D222" s="2" t="s">
        <v>11</v>
      </c>
      <c r="E222" s="2" t="s">
        <v>37</v>
      </c>
      <c r="F222" s="2" t="s">
        <v>26</v>
      </c>
      <c r="G222" s="2" t="s">
        <v>14</v>
      </c>
      <c r="H222" s="4">
        <v>141640</v>
      </c>
      <c r="I222" s="4">
        <v>134900</v>
      </c>
    </row>
    <row r="223" spans="1:9" x14ac:dyDescent="0.3">
      <c r="A223" s="2" t="s">
        <v>255</v>
      </c>
      <c r="B223" s="3">
        <v>45689</v>
      </c>
      <c r="C223" s="2" t="s">
        <v>21</v>
      </c>
      <c r="D223" s="2" t="s">
        <v>11</v>
      </c>
      <c r="E223" s="2" t="s">
        <v>22</v>
      </c>
      <c r="F223" s="2" t="s">
        <v>33</v>
      </c>
      <c r="G223" s="2" t="s">
        <v>19</v>
      </c>
      <c r="H223" s="4">
        <v>45029</v>
      </c>
      <c r="I223" s="4">
        <v>44600</v>
      </c>
    </row>
    <row r="224" spans="1:9" x14ac:dyDescent="0.3">
      <c r="A224" s="2" t="s">
        <v>256</v>
      </c>
      <c r="B224" s="3">
        <v>45689</v>
      </c>
      <c r="C224" s="2" t="s">
        <v>25</v>
      </c>
      <c r="D224" s="2" t="s">
        <v>11</v>
      </c>
      <c r="E224" s="2" t="s">
        <v>22</v>
      </c>
      <c r="F224" s="2" t="s">
        <v>56</v>
      </c>
      <c r="G224" s="2" t="s">
        <v>19</v>
      </c>
      <c r="H224" s="4">
        <v>36133</v>
      </c>
      <c r="I224" s="4">
        <v>36300</v>
      </c>
    </row>
    <row r="225" spans="1:9" x14ac:dyDescent="0.3">
      <c r="A225" s="2" t="s">
        <v>257</v>
      </c>
      <c r="B225" s="3">
        <v>45689</v>
      </c>
      <c r="C225" s="2" t="s">
        <v>31</v>
      </c>
      <c r="D225" s="2" t="s">
        <v>11</v>
      </c>
      <c r="E225" s="2" t="s">
        <v>17</v>
      </c>
      <c r="F225" s="2" t="s">
        <v>18</v>
      </c>
      <c r="G225" s="2" t="s">
        <v>19</v>
      </c>
      <c r="H225" s="4">
        <v>41846</v>
      </c>
      <c r="I225" s="4">
        <v>41100</v>
      </c>
    </row>
    <row r="226" spans="1:9" x14ac:dyDescent="0.3">
      <c r="A226" s="2" t="s">
        <v>258</v>
      </c>
      <c r="B226" s="3">
        <v>45689</v>
      </c>
      <c r="C226" s="2" t="s">
        <v>31</v>
      </c>
      <c r="D226" s="2" t="s">
        <v>11</v>
      </c>
      <c r="E226" s="2" t="s">
        <v>17</v>
      </c>
      <c r="F226" s="2" t="s">
        <v>39</v>
      </c>
      <c r="G226" s="2" t="s">
        <v>19</v>
      </c>
      <c r="H226" s="4">
        <v>61303</v>
      </c>
      <c r="I226" s="4">
        <v>44100</v>
      </c>
    </row>
    <row r="227" spans="1:9" x14ac:dyDescent="0.3">
      <c r="A227" s="2" t="s">
        <v>259</v>
      </c>
      <c r="B227" s="3">
        <v>45690</v>
      </c>
      <c r="C227" s="2" t="s">
        <v>62</v>
      </c>
      <c r="D227" s="2" t="s">
        <v>11</v>
      </c>
      <c r="E227" s="2" t="s">
        <v>22</v>
      </c>
      <c r="F227" s="2" t="s">
        <v>23</v>
      </c>
      <c r="G227" s="2" t="s">
        <v>14</v>
      </c>
      <c r="H227" s="4">
        <v>172574</v>
      </c>
      <c r="I227" s="4">
        <v>142500</v>
      </c>
    </row>
    <row r="228" spans="1:9" x14ac:dyDescent="0.3">
      <c r="A228" s="2" t="s">
        <v>260</v>
      </c>
      <c r="B228" s="3">
        <v>45690</v>
      </c>
      <c r="C228" s="2" t="s">
        <v>10</v>
      </c>
      <c r="D228" s="2" t="s">
        <v>11</v>
      </c>
      <c r="E228" s="2" t="s">
        <v>12</v>
      </c>
      <c r="F228" s="2" t="s">
        <v>18</v>
      </c>
      <c r="G228" s="2" t="s">
        <v>19</v>
      </c>
      <c r="H228" s="4">
        <v>49731</v>
      </c>
      <c r="I228" s="4">
        <v>48100</v>
      </c>
    </row>
    <row r="229" spans="1:9" x14ac:dyDescent="0.3">
      <c r="A229" s="2" t="s">
        <v>261</v>
      </c>
      <c r="B229" s="3">
        <v>45690</v>
      </c>
      <c r="C229" s="2" t="s">
        <v>10</v>
      </c>
      <c r="D229" s="2" t="s">
        <v>11</v>
      </c>
      <c r="E229" s="2" t="s">
        <v>12</v>
      </c>
      <c r="F229" s="2" t="s">
        <v>59</v>
      </c>
      <c r="G229" s="2" t="s">
        <v>14</v>
      </c>
      <c r="H229" s="4">
        <v>52705</v>
      </c>
      <c r="I229" s="4">
        <v>50400</v>
      </c>
    </row>
    <row r="230" spans="1:9" x14ac:dyDescent="0.3">
      <c r="A230" s="2" t="s">
        <v>262</v>
      </c>
      <c r="B230" s="3">
        <v>45690</v>
      </c>
      <c r="C230" s="2" t="s">
        <v>16</v>
      </c>
      <c r="D230" s="2" t="s">
        <v>11</v>
      </c>
      <c r="E230" s="2" t="s">
        <v>17</v>
      </c>
      <c r="F230" s="2" t="s">
        <v>18</v>
      </c>
      <c r="G230" s="2" t="s">
        <v>19</v>
      </c>
      <c r="H230" s="4">
        <v>44322</v>
      </c>
      <c r="I230" s="4">
        <v>50300</v>
      </c>
    </row>
    <row r="231" spans="1:9" x14ac:dyDescent="0.3">
      <c r="A231" s="2" t="s">
        <v>263</v>
      </c>
      <c r="B231" s="3">
        <v>45690</v>
      </c>
      <c r="C231" s="2" t="s">
        <v>16</v>
      </c>
      <c r="D231" s="2" t="s">
        <v>11</v>
      </c>
      <c r="E231" s="2" t="s">
        <v>17</v>
      </c>
      <c r="F231" s="2" t="s">
        <v>18</v>
      </c>
      <c r="G231" s="2" t="s">
        <v>19</v>
      </c>
      <c r="H231" s="4">
        <v>73273</v>
      </c>
      <c r="I231" s="4">
        <v>90500</v>
      </c>
    </row>
    <row r="232" spans="1:9" x14ac:dyDescent="0.3">
      <c r="A232" s="2" t="s">
        <v>264</v>
      </c>
      <c r="B232" s="3">
        <v>45690</v>
      </c>
      <c r="C232" s="2" t="s">
        <v>21</v>
      </c>
      <c r="D232" s="2" t="s">
        <v>11</v>
      </c>
      <c r="E232" s="2" t="s">
        <v>22</v>
      </c>
      <c r="F232" s="2" t="s">
        <v>18</v>
      </c>
      <c r="G232" s="2" t="s">
        <v>19</v>
      </c>
      <c r="H232" s="4">
        <v>69928</v>
      </c>
      <c r="I232" s="4">
        <v>64700</v>
      </c>
    </row>
    <row r="233" spans="1:9" x14ac:dyDescent="0.3">
      <c r="A233" s="2" t="s">
        <v>265</v>
      </c>
      <c r="B233" s="3">
        <v>45691</v>
      </c>
      <c r="C233" s="2" t="s">
        <v>62</v>
      </c>
      <c r="D233" s="2" t="s">
        <v>11</v>
      </c>
      <c r="E233" s="2" t="s">
        <v>22</v>
      </c>
      <c r="F233" s="2" t="s">
        <v>46</v>
      </c>
      <c r="G233" s="2" t="s">
        <v>19</v>
      </c>
      <c r="H233" s="4">
        <v>56965</v>
      </c>
      <c r="I233" s="4">
        <v>57900</v>
      </c>
    </row>
    <row r="234" spans="1:9" x14ac:dyDescent="0.3">
      <c r="A234" s="2" t="s">
        <v>266</v>
      </c>
      <c r="B234" s="3">
        <v>45691</v>
      </c>
      <c r="C234" s="2" t="s">
        <v>62</v>
      </c>
      <c r="D234" s="2" t="s">
        <v>11</v>
      </c>
      <c r="E234" s="2" t="s">
        <v>22</v>
      </c>
      <c r="F234" s="2" t="s">
        <v>13</v>
      </c>
      <c r="G234" s="2" t="s">
        <v>14</v>
      </c>
      <c r="H234" s="4">
        <v>139230</v>
      </c>
      <c r="I234" s="4">
        <v>125800</v>
      </c>
    </row>
    <row r="235" spans="1:9" x14ac:dyDescent="0.3">
      <c r="A235" s="2" t="s">
        <v>267</v>
      </c>
      <c r="B235" s="3">
        <v>45691</v>
      </c>
      <c r="C235" s="2" t="s">
        <v>16</v>
      </c>
      <c r="D235" s="2" t="s">
        <v>11</v>
      </c>
      <c r="E235" s="2" t="s">
        <v>17</v>
      </c>
      <c r="F235" s="2" t="s">
        <v>33</v>
      </c>
      <c r="G235" s="2" t="s">
        <v>19</v>
      </c>
      <c r="H235" s="4">
        <v>13358</v>
      </c>
      <c r="I235" s="4">
        <v>13300</v>
      </c>
    </row>
    <row r="236" spans="1:9" x14ac:dyDescent="0.3">
      <c r="A236" s="2" t="s">
        <v>268</v>
      </c>
      <c r="B236" s="3">
        <v>45691</v>
      </c>
      <c r="C236" s="2" t="s">
        <v>36</v>
      </c>
      <c r="D236" s="2" t="s">
        <v>11</v>
      </c>
      <c r="E236" s="2" t="s">
        <v>37</v>
      </c>
      <c r="F236" s="2" t="s">
        <v>33</v>
      </c>
      <c r="G236" s="2" t="s">
        <v>19</v>
      </c>
      <c r="H236" s="4">
        <v>88666</v>
      </c>
      <c r="I236" s="4">
        <v>99300</v>
      </c>
    </row>
    <row r="237" spans="1:9" x14ac:dyDescent="0.3">
      <c r="A237" s="2" t="s">
        <v>269</v>
      </c>
      <c r="B237" s="3">
        <v>45691</v>
      </c>
      <c r="C237" s="2" t="s">
        <v>36</v>
      </c>
      <c r="D237" s="2" t="s">
        <v>11</v>
      </c>
      <c r="E237" s="2" t="s">
        <v>37</v>
      </c>
      <c r="F237" s="2" t="s">
        <v>18</v>
      </c>
      <c r="G237" s="2" t="s">
        <v>19</v>
      </c>
      <c r="H237" s="4">
        <v>74415</v>
      </c>
      <c r="I237" s="4">
        <v>71300</v>
      </c>
    </row>
    <row r="238" spans="1:9" x14ac:dyDescent="0.3">
      <c r="A238" s="2" t="s">
        <v>270</v>
      </c>
      <c r="B238" s="3">
        <v>45691</v>
      </c>
      <c r="C238" s="2" t="s">
        <v>36</v>
      </c>
      <c r="D238" s="2" t="s">
        <v>11</v>
      </c>
      <c r="E238" s="2" t="s">
        <v>37</v>
      </c>
      <c r="F238" s="2" t="s">
        <v>59</v>
      </c>
      <c r="G238" s="2" t="s">
        <v>14</v>
      </c>
      <c r="H238" s="4">
        <v>126058</v>
      </c>
      <c r="I238" s="4">
        <v>145900</v>
      </c>
    </row>
    <row r="239" spans="1:9" x14ac:dyDescent="0.3">
      <c r="A239" s="2" t="s">
        <v>271</v>
      </c>
      <c r="B239" s="3">
        <v>45691</v>
      </c>
      <c r="C239" s="2" t="s">
        <v>21</v>
      </c>
      <c r="D239" s="2" t="s">
        <v>11</v>
      </c>
      <c r="E239" s="2" t="s">
        <v>22</v>
      </c>
      <c r="F239" s="2" t="s">
        <v>42</v>
      </c>
      <c r="G239" s="2" t="s">
        <v>19</v>
      </c>
      <c r="H239" s="4">
        <v>13234</v>
      </c>
      <c r="I239" s="4">
        <v>13400</v>
      </c>
    </row>
    <row r="240" spans="1:9" x14ac:dyDescent="0.3">
      <c r="A240" s="2" t="s">
        <v>272</v>
      </c>
      <c r="B240" s="3">
        <v>45692</v>
      </c>
      <c r="C240" s="2" t="s">
        <v>62</v>
      </c>
      <c r="D240" s="2" t="s">
        <v>11</v>
      </c>
      <c r="E240" s="2" t="s">
        <v>22</v>
      </c>
      <c r="F240" s="2" t="s">
        <v>23</v>
      </c>
      <c r="G240" s="2" t="s">
        <v>14</v>
      </c>
      <c r="H240" s="4">
        <v>31617</v>
      </c>
      <c r="I240" s="4">
        <v>31200</v>
      </c>
    </row>
    <row r="241" spans="1:9" x14ac:dyDescent="0.3">
      <c r="A241" s="2" t="s">
        <v>273</v>
      </c>
      <c r="B241" s="3">
        <v>45692</v>
      </c>
      <c r="C241" s="2" t="s">
        <v>62</v>
      </c>
      <c r="D241" s="2" t="s">
        <v>11</v>
      </c>
      <c r="E241" s="2" t="s">
        <v>22</v>
      </c>
      <c r="F241" s="2" t="s">
        <v>13</v>
      </c>
      <c r="G241" s="2" t="s">
        <v>14</v>
      </c>
      <c r="H241" s="4">
        <v>181181</v>
      </c>
      <c r="I241" s="4">
        <v>167100</v>
      </c>
    </row>
    <row r="242" spans="1:9" x14ac:dyDescent="0.3">
      <c r="A242" s="2" t="s">
        <v>274</v>
      </c>
      <c r="B242" s="3">
        <v>45692</v>
      </c>
      <c r="C242" s="2" t="s">
        <v>10</v>
      </c>
      <c r="D242" s="2" t="s">
        <v>11</v>
      </c>
      <c r="E242" s="2" t="s">
        <v>12</v>
      </c>
      <c r="F242" s="2" t="s">
        <v>23</v>
      </c>
      <c r="G242" s="2" t="s">
        <v>14</v>
      </c>
      <c r="H242" s="4">
        <v>138441</v>
      </c>
      <c r="I242" s="4">
        <v>125000</v>
      </c>
    </row>
    <row r="243" spans="1:9" x14ac:dyDescent="0.3">
      <c r="A243" s="2" t="s">
        <v>275</v>
      </c>
      <c r="B243" s="3">
        <v>45692</v>
      </c>
      <c r="C243" s="2" t="s">
        <v>16</v>
      </c>
      <c r="D243" s="2" t="s">
        <v>11</v>
      </c>
      <c r="E243" s="2" t="s">
        <v>17</v>
      </c>
      <c r="F243" s="2" t="s">
        <v>46</v>
      </c>
      <c r="G243" s="2" t="s">
        <v>19</v>
      </c>
      <c r="H243" s="4">
        <v>15885</v>
      </c>
      <c r="I243" s="4">
        <v>18900</v>
      </c>
    </row>
    <row r="244" spans="1:9" x14ac:dyDescent="0.3">
      <c r="A244" s="2" t="s">
        <v>276</v>
      </c>
      <c r="B244" s="3">
        <v>45692</v>
      </c>
      <c r="C244" s="2" t="s">
        <v>36</v>
      </c>
      <c r="D244" s="2" t="s">
        <v>11</v>
      </c>
      <c r="E244" s="2" t="s">
        <v>37</v>
      </c>
      <c r="F244" s="2" t="s">
        <v>26</v>
      </c>
      <c r="G244" s="2" t="s">
        <v>14</v>
      </c>
      <c r="H244" s="4">
        <v>72883</v>
      </c>
      <c r="I244" s="4">
        <v>63300</v>
      </c>
    </row>
    <row r="245" spans="1:9" x14ac:dyDescent="0.3">
      <c r="A245" s="2" t="s">
        <v>277</v>
      </c>
      <c r="B245" s="3">
        <v>45692</v>
      </c>
      <c r="C245" s="2" t="s">
        <v>25</v>
      </c>
      <c r="D245" s="2" t="s">
        <v>11</v>
      </c>
      <c r="E245" s="2" t="s">
        <v>22</v>
      </c>
      <c r="F245" s="2" t="s">
        <v>18</v>
      </c>
      <c r="G245" s="2" t="s">
        <v>19</v>
      </c>
      <c r="H245" s="4">
        <v>115782</v>
      </c>
      <c r="I245" s="4">
        <v>127000</v>
      </c>
    </row>
    <row r="246" spans="1:9" x14ac:dyDescent="0.3">
      <c r="A246" s="2" t="s">
        <v>278</v>
      </c>
      <c r="B246" s="3">
        <v>45692</v>
      </c>
      <c r="C246" s="2" t="s">
        <v>25</v>
      </c>
      <c r="D246" s="2" t="s">
        <v>11</v>
      </c>
      <c r="E246" s="2" t="s">
        <v>22</v>
      </c>
      <c r="F246" s="2" t="s">
        <v>37</v>
      </c>
      <c r="G246" s="2" t="s">
        <v>14</v>
      </c>
      <c r="H246" s="4">
        <v>53672</v>
      </c>
      <c r="I246" s="4">
        <v>47800</v>
      </c>
    </row>
    <row r="247" spans="1:9" x14ac:dyDescent="0.3">
      <c r="A247" s="2" t="s">
        <v>279</v>
      </c>
      <c r="B247" s="3">
        <v>45693</v>
      </c>
      <c r="C247" s="2" t="s">
        <v>62</v>
      </c>
      <c r="D247" s="2" t="s">
        <v>11</v>
      </c>
      <c r="E247" s="2" t="s">
        <v>22</v>
      </c>
      <c r="F247" s="2" t="s">
        <v>56</v>
      </c>
      <c r="G247" s="2" t="s">
        <v>19</v>
      </c>
      <c r="H247" s="4">
        <v>93145</v>
      </c>
      <c r="I247" s="4">
        <v>101100</v>
      </c>
    </row>
    <row r="248" spans="1:9" x14ac:dyDescent="0.3">
      <c r="A248" s="2" t="s">
        <v>280</v>
      </c>
      <c r="B248" s="3">
        <v>45693</v>
      </c>
      <c r="C248" s="2" t="s">
        <v>62</v>
      </c>
      <c r="D248" s="2" t="s">
        <v>11</v>
      </c>
      <c r="E248" s="2" t="s">
        <v>22</v>
      </c>
      <c r="F248" s="2" t="s">
        <v>33</v>
      </c>
      <c r="G248" s="2" t="s">
        <v>19</v>
      </c>
      <c r="H248" s="4">
        <v>86318</v>
      </c>
      <c r="I248" s="4">
        <v>70300</v>
      </c>
    </row>
    <row r="249" spans="1:9" x14ac:dyDescent="0.3">
      <c r="A249" s="2" t="s">
        <v>281</v>
      </c>
      <c r="B249" s="3">
        <v>45693</v>
      </c>
      <c r="C249" s="2" t="s">
        <v>62</v>
      </c>
      <c r="D249" s="2" t="s">
        <v>11</v>
      </c>
      <c r="E249" s="2" t="s">
        <v>22</v>
      </c>
      <c r="F249" s="2" t="s">
        <v>26</v>
      </c>
      <c r="G249" s="2" t="s">
        <v>14</v>
      </c>
      <c r="H249" s="4">
        <v>182117</v>
      </c>
      <c r="I249" s="4">
        <v>189600</v>
      </c>
    </row>
    <row r="250" spans="1:9" x14ac:dyDescent="0.3">
      <c r="A250" s="2" t="s">
        <v>282</v>
      </c>
      <c r="B250" s="3">
        <v>45693</v>
      </c>
      <c r="C250" s="2" t="s">
        <v>62</v>
      </c>
      <c r="D250" s="2" t="s">
        <v>11</v>
      </c>
      <c r="E250" s="2" t="s">
        <v>22</v>
      </c>
      <c r="F250" s="2" t="s">
        <v>26</v>
      </c>
      <c r="G250" s="2" t="s">
        <v>14</v>
      </c>
      <c r="H250" s="4">
        <v>239217</v>
      </c>
      <c r="I250" s="4">
        <v>225600</v>
      </c>
    </row>
    <row r="251" spans="1:9" x14ac:dyDescent="0.3">
      <c r="A251" s="2" t="s">
        <v>283</v>
      </c>
      <c r="B251" s="3">
        <v>45693</v>
      </c>
      <c r="C251" s="2" t="s">
        <v>62</v>
      </c>
      <c r="D251" s="2" t="s">
        <v>11</v>
      </c>
      <c r="E251" s="2" t="s">
        <v>22</v>
      </c>
      <c r="F251" s="2" t="s">
        <v>37</v>
      </c>
      <c r="G251" s="2" t="s">
        <v>14</v>
      </c>
      <c r="H251" s="4">
        <v>192338</v>
      </c>
      <c r="I251" s="4">
        <v>183700</v>
      </c>
    </row>
    <row r="252" spans="1:9" x14ac:dyDescent="0.3">
      <c r="A252" s="2" t="s">
        <v>284</v>
      </c>
      <c r="B252" s="3">
        <v>45693</v>
      </c>
      <c r="C252" s="2" t="s">
        <v>10</v>
      </c>
      <c r="D252" s="2" t="s">
        <v>11</v>
      </c>
      <c r="E252" s="2" t="s">
        <v>12</v>
      </c>
      <c r="F252" s="2" t="s">
        <v>42</v>
      </c>
      <c r="G252" s="2" t="s">
        <v>19</v>
      </c>
      <c r="H252" s="4">
        <v>98238</v>
      </c>
      <c r="I252" s="4">
        <v>103700</v>
      </c>
    </row>
    <row r="253" spans="1:9" x14ac:dyDescent="0.3">
      <c r="A253" s="2" t="s">
        <v>285</v>
      </c>
      <c r="B253" s="3">
        <v>45693</v>
      </c>
      <c r="C253" s="2" t="s">
        <v>25</v>
      </c>
      <c r="D253" s="2" t="s">
        <v>11</v>
      </c>
      <c r="E253" s="2" t="s">
        <v>22</v>
      </c>
      <c r="F253" s="2" t="s">
        <v>33</v>
      </c>
      <c r="G253" s="2" t="s">
        <v>19</v>
      </c>
      <c r="H253" s="4">
        <v>98431</v>
      </c>
      <c r="I253" s="4">
        <v>83900</v>
      </c>
    </row>
    <row r="254" spans="1:9" x14ac:dyDescent="0.3">
      <c r="A254" s="2" t="s">
        <v>286</v>
      </c>
      <c r="B254" s="3">
        <v>45694</v>
      </c>
      <c r="C254" s="2" t="s">
        <v>62</v>
      </c>
      <c r="D254" s="2" t="s">
        <v>11</v>
      </c>
      <c r="E254" s="2" t="s">
        <v>22</v>
      </c>
      <c r="F254" s="2" t="s">
        <v>26</v>
      </c>
      <c r="G254" s="2" t="s">
        <v>14</v>
      </c>
      <c r="H254" s="4">
        <v>167623</v>
      </c>
      <c r="I254" s="4">
        <v>171000</v>
      </c>
    </row>
    <row r="255" spans="1:9" x14ac:dyDescent="0.3">
      <c r="A255" s="2" t="s">
        <v>287</v>
      </c>
      <c r="B255" s="3">
        <v>45694</v>
      </c>
      <c r="C255" s="2" t="s">
        <v>62</v>
      </c>
      <c r="D255" s="2" t="s">
        <v>11</v>
      </c>
      <c r="E255" s="2" t="s">
        <v>22</v>
      </c>
      <c r="F255" s="2" t="s">
        <v>13</v>
      </c>
      <c r="G255" s="2" t="s">
        <v>14</v>
      </c>
      <c r="H255" s="4">
        <v>82310</v>
      </c>
      <c r="I255" s="4">
        <v>75600</v>
      </c>
    </row>
    <row r="256" spans="1:9" x14ac:dyDescent="0.3">
      <c r="A256" s="2" t="s">
        <v>288</v>
      </c>
      <c r="B256" s="3">
        <v>45694</v>
      </c>
      <c r="C256" s="2" t="s">
        <v>62</v>
      </c>
      <c r="D256" s="2" t="s">
        <v>11</v>
      </c>
      <c r="E256" s="2" t="s">
        <v>22</v>
      </c>
      <c r="F256" s="2" t="s">
        <v>26</v>
      </c>
      <c r="G256" s="2" t="s">
        <v>14</v>
      </c>
      <c r="H256" s="4">
        <v>161768</v>
      </c>
      <c r="I256" s="4">
        <v>159000</v>
      </c>
    </row>
    <row r="257" spans="1:9" x14ac:dyDescent="0.3">
      <c r="A257" s="2" t="s">
        <v>289</v>
      </c>
      <c r="B257" s="3">
        <v>45694</v>
      </c>
      <c r="C257" s="2" t="s">
        <v>62</v>
      </c>
      <c r="D257" s="2" t="s">
        <v>11</v>
      </c>
      <c r="E257" s="2" t="s">
        <v>22</v>
      </c>
      <c r="F257" s="2" t="s">
        <v>37</v>
      </c>
      <c r="G257" s="2" t="s">
        <v>14</v>
      </c>
      <c r="H257" s="4">
        <v>239019</v>
      </c>
      <c r="I257" s="4">
        <v>244800</v>
      </c>
    </row>
    <row r="258" spans="1:9" x14ac:dyDescent="0.3">
      <c r="A258" s="2" t="s">
        <v>290</v>
      </c>
      <c r="B258" s="3">
        <v>45694</v>
      </c>
      <c r="C258" s="2" t="s">
        <v>36</v>
      </c>
      <c r="D258" s="2" t="s">
        <v>11</v>
      </c>
      <c r="E258" s="2" t="s">
        <v>37</v>
      </c>
      <c r="F258" s="2" t="s">
        <v>39</v>
      </c>
      <c r="G258" s="2" t="s">
        <v>19</v>
      </c>
      <c r="H258" s="4">
        <v>85550</v>
      </c>
      <c r="I258" s="4">
        <v>86700</v>
      </c>
    </row>
    <row r="259" spans="1:9" x14ac:dyDescent="0.3">
      <c r="A259" s="2" t="s">
        <v>291</v>
      </c>
      <c r="B259" s="3">
        <v>45694</v>
      </c>
      <c r="C259" s="2" t="s">
        <v>21</v>
      </c>
      <c r="D259" s="2" t="s">
        <v>11</v>
      </c>
      <c r="E259" s="2" t="s">
        <v>22</v>
      </c>
      <c r="F259" s="2" t="s">
        <v>18</v>
      </c>
      <c r="G259" s="2" t="s">
        <v>19</v>
      </c>
      <c r="H259" s="4">
        <v>112110</v>
      </c>
      <c r="I259" s="4">
        <v>123300</v>
      </c>
    </row>
    <row r="260" spans="1:9" x14ac:dyDescent="0.3">
      <c r="A260" s="2" t="s">
        <v>292</v>
      </c>
      <c r="B260" s="3">
        <v>45694</v>
      </c>
      <c r="C260" s="2" t="s">
        <v>21</v>
      </c>
      <c r="D260" s="2" t="s">
        <v>11</v>
      </c>
      <c r="E260" s="2" t="s">
        <v>22</v>
      </c>
      <c r="F260" s="2" t="s">
        <v>13</v>
      </c>
      <c r="G260" s="2" t="s">
        <v>14</v>
      </c>
      <c r="H260" s="4">
        <v>180499</v>
      </c>
      <c r="I260" s="4">
        <v>153700</v>
      </c>
    </row>
    <row r="261" spans="1:9" x14ac:dyDescent="0.3">
      <c r="A261" s="2" t="s">
        <v>293</v>
      </c>
      <c r="B261" s="3">
        <v>45695</v>
      </c>
      <c r="C261" s="2" t="s">
        <v>62</v>
      </c>
      <c r="D261" s="2" t="s">
        <v>11</v>
      </c>
      <c r="E261" s="2" t="s">
        <v>22</v>
      </c>
      <c r="F261" s="2" t="s">
        <v>33</v>
      </c>
      <c r="G261" s="2" t="s">
        <v>19</v>
      </c>
      <c r="H261" s="4">
        <v>111582</v>
      </c>
      <c r="I261" s="4">
        <v>121800</v>
      </c>
    </row>
    <row r="262" spans="1:9" x14ac:dyDescent="0.3">
      <c r="A262" s="2" t="s">
        <v>294</v>
      </c>
      <c r="B262" s="3">
        <v>45695</v>
      </c>
      <c r="C262" s="2" t="s">
        <v>62</v>
      </c>
      <c r="D262" s="2" t="s">
        <v>11</v>
      </c>
      <c r="E262" s="2" t="s">
        <v>22</v>
      </c>
      <c r="F262" s="2" t="s">
        <v>37</v>
      </c>
      <c r="G262" s="2" t="s">
        <v>14</v>
      </c>
      <c r="H262" s="4">
        <v>49664</v>
      </c>
      <c r="I262" s="4">
        <v>60000</v>
      </c>
    </row>
    <row r="263" spans="1:9" x14ac:dyDescent="0.3">
      <c r="A263" s="2" t="s">
        <v>295</v>
      </c>
      <c r="B263" s="3">
        <v>45695</v>
      </c>
      <c r="C263" s="2" t="s">
        <v>10</v>
      </c>
      <c r="D263" s="2" t="s">
        <v>11</v>
      </c>
      <c r="E263" s="2" t="s">
        <v>12</v>
      </c>
      <c r="F263" s="2" t="s">
        <v>42</v>
      </c>
      <c r="G263" s="2" t="s">
        <v>19</v>
      </c>
      <c r="H263" s="4">
        <v>94820</v>
      </c>
      <c r="I263" s="4">
        <v>84200</v>
      </c>
    </row>
    <row r="264" spans="1:9" x14ac:dyDescent="0.3">
      <c r="A264" s="2" t="s">
        <v>296</v>
      </c>
      <c r="B264" s="3">
        <v>45695</v>
      </c>
      <c r="C264" s="2" t="s">
        <v>16</v>
      </c>
      <c r="D264" s="2" t="s">
        <v>11</v>
      </c>
      <c r="E264" s="2" t="s">
        <v>17</v>
      </c>
      <c r="F264" s="2" t="s">
        <v>23</v>
      </c>
      <c r="G264" s="2" t="s">
        <v>14</v>
      </c>
      <c r="H264" s="4">
        <v>174254</v>
      </c>
      <c r="I264" s="4">
        <v>197100</v>
      </c>
    </row>
    <row r="265" spans="1:9" x14ac:dyDescent="0.3">
      <c r="A265" s="2" t="s">
        <v>297</v>
      </c>
      <c r="B265" s="3">
        <v>45695</v>
      </c>
      <c r="C265" s="2" t="s">
        <v>36</v>
      </c>
      <c r="D265" s="2" t="s">
        <v>11</v>
      </c>
      <c r="E265" s="2" t="s">
        <v>37</v>
      </c>
      <c r="F265" s="2" t="s">
        <v>18</v>
      </c>
      <c r="G265" s="2" t="s">
        <v>19</v>
      </c>
      <c r="H265" s="4">
        <v>43823</v>
      </c>
      <c r="I265" s="4">
        <v>38400</v>
      </c>
    </row>
    <row r="266" spans="1:9" x14ac:dyDescent="0.3">
      <c r="A266" s="2" t="s">
        <v>298</v>
      </c>
      <c r="B266" s="3">
        <v>45695</v>
      </c>
      <c r="C266" s="2" t="s">
        <v>36</v>
      </c>
      <c r="D266" s="2" t="s">
        <v>11</v>
      </c>
      <c r="E266" s="2" t="s">
        <v>37</v>
      </c>
      <c r="F266" s="2" t="s">
        <v>59</v>
      </c>
      <c r="G266" s="2" t="s">
        <v>14</v>
      </c>
      <c r="H266" s="4">
        <v>220826</v>
      </c>
      <c r="I266" s="4">
        <v>191900</v>
      </c>
    </row>
    <row r="267" spans="1:9" x14ac:dyDescent="0.3">
      <c r="A267" s="2" t="s">
        <v>299</v>
      </c>
      <c r="B267" s="3">
        <v>45695</v>
      </c>
      <c r="C267" s="2" t="s">
        <v>21</v>
      </c>
      <c r="D267" s="2" t="s">
        <v>11</v>
      </c>
      <c r="E267" s="2" t="s">
        <v>22</v>
      </c>
      <c r="F267" s="2" t="s">
        <v>42</v>
      </c>
      <c r="G267" s="2" t="s">
        <v>19</v>
      </c>
      <c r="H267" s="4">
        <v>50318</v>
      </c>
      <c r="I267" s="4">
        <v>50700</v>
      </c>
    </row>
    <row r="268" spans="1:9" x14ac:dyDescent="0.3">
      <c r="A268" s="2" t="s">
        <v>300</v>
      </c>
      <c r="B268" s="3">
        <v>45695</v>
      </c>
      <c r="C268" s="2" t="s">
        <v>25</v>
      </c>
      <c r="D268" s="2" t="s">
        <v>11</v>
      </c>
      <c r="E268" s="2" t="s">
        <v>22</v>
      </c>
      <c r="F268" s="2" t="s">
        <v>18</v>
      </c>
      <c r="G268" s="2" t="s">
        <v>19</v>
      </c>
      <c r="H268" s="4">
        <v>13799</v>
      </c>
      <c r="I268" s="4">
        <v>14900</v>
      </c>
    </row>
    <row r="269" spans="1:9" x14ac:dyDescent="0.3">
      <c r="A269" s="2" t="s">
        <v>301</v>
      </c>
      <c r="B269" s="3">
        <v>45696</v>
      </c>
      <c r="C269" s="2" t="s">
        <v>21</v>
      </c>
      <c r="D269" s="2" t="s">
        <v>11</v>
      </c>
      <c r="E269" s="2" t="s">
        <v>22</v>
      </c>
      <c r="F269" s="2" t="s">
        <v>23</v>
      </c>
      <c r="G269" s="2" t="s">
        <v>14</v>
      </c>
      <c r="H269" s="4">
        <v>137490</v>
      </c>
      <c r="I269" s="4">
        <v>135100</v>
      </c>
    </row>
    <row r="270" spans="1:9" x14ac:dyDescent="0.3">
      <c r="A270" s="2" t="s">
        <v>302</v>
      </c>
      <c r="B270" s="3">
        <v>45696</v>
      </c>
      <c r="C270" s="2" t="s">
        <v>25</v>
      </c>
      <c r="D270" s="2" t="s">
        <v>11</v>
      </c>
      <c r="E270" s="2" t="s">
        <v>22</v>
      </c>
      <c r="F270" s="2" t="s">
        <v>18</v>
      </c>
      <c r="G270" s="2" t="s">
        <v>19</v>
      </c>
      <c r="H270" s="4">
        <v>46715</v>
      </c>
      <c r="I270" s="4">
        <v>39500</v>
      </c>
    </row>
    <row r="271" spans="1:9" x14ac:dyDescent="0.3">
      <c r="A271" s="2" t="s">
        <v>303</v>
      </c>
      <c r="B271" s="3">
        <v>45696</v>
      </c>
      <c r="C271" s="2" t="s">
        <v>55</v>
      </c>
      <c r="D271" s="2" t="s">
        <v>11</v>
      </c>
      <c r="E271" s="2" t="s">
        <v>37</v>
      </c>
      <c r="F271" s="2" t="s">
        <v>56</v>
      </c>
      <c r="G271" s="2" t="s">
        <v>19</v>
      </c>
      <c r="H271" s="4">
        <v>27378</v>
      </c>
      <c r="I271" s="4">
        <v>28500</v>
      </c>
    </row>
    <row r="272" spans="1:9" x14ac:dyDescent="0.3">
      <c r="A272" s="2" t="s">
        <v>304</v>
      </c>
      <c r="B272" s="3">
        <v>45696</v>
      </c>
      <c r="C272" s="2" t="s">
        <v>55</v>
      </c>
      <c r="D272" s="2" t="s">
        <v>11</v>
      </c>
      <c r="E272" s="2" t="s">
        <v>37</v>
      </c>
      <c r="F272" s="2" t="s">
        <v>33</v>
      </c>
      <c r="G272" s="2" t="s">
        <v>19</v>
      </c>
      <c r="H272" s="4">
        <v>66935</v>
      </c>
      <c r="I272" s="4">
        <v>59300</v>
      </c>
    </row>
    <row r="273" spans="1:9" x14ac:dyDescent="0.3">
      <c r="A273" s="2" t="s">
        <v>305</v>
      </c>
      <c r="B273" s="3">
        <v>45697</v>
      </c>
      <c r="C273" s="2" t="s">
        <v>62</v>
      </c>
      <c r="D273" s="2" t="s">
        <v>11</v>
      </c>
      <c r="E273" s="2" t="s">
        <v>22</v>
      </c>
      <c r="F273" s="2" t="s">
        <v>12</v>
      </c>
      <c r="G273" s="2" t="s">
        <v>14</v>
      </c>
      <c r="H273" s="4">
        <v>157572</v>
      </c>
      <c r="I273" s="4">
        <v>139200</v>
      </c>
    </row>
    <row r="274" spans="1:9" x14ac:dyDescent="0.3">
      <c r="A274" s="2" t="s">
        <v>306</v>
      </c>
      <c r="B274" s="3">
        <v>45697</v>
      </c>
      <c r="C274" s="2" t="s">
        <v>16</v>
      </c>
      <c r="D274" s="2" t="s">
        <v>11</v>
      </c>
      <c r="E274" s="2" t="s">
        <v>17</v>
      </c>
      <c r="F274" s="2" t="s">
        <v>18</v>
      </c>
      <c r="G274" s="2" t="s">
        <v>19</v>
      </c>
      <c r="H274" s="4">
        <v>84200</v>
      </c>
      <c r="I274" s="4">
        <v>80700</v>
      </c>
    </row>
    <row r="275" spans="1:9" x14ac:dyDescent="0.3">
      <c r="A275" s="2" t="s">
        <v>307</v>
      </c>
      <c r="B275" s="3">
        <v>45697</v>
      </c>
      <c r="C275" s="2" t="s">
        <v>16</v>
      </c>
      <c r="D275" s="2" t="s">
        <v>11</v>
      </c>
      <c r="E275" s="2" t="s">
        <v>17</v>
      </c>
      <c r="F275" s="2" t="s">
        <v>33</v>
      </c>
      <c r="G275" s="2" t="s">
        <v>19</v>
      </c>
      <c r="H275" s="4">
        <v>100654</v>
      </c>
      <c r="I275" s="4">
        <v>99300</v>
      </c>
    </row>
    <row r="276" spans="1:9" x14ac:dyDescent="0.3">
      <c r="A276" s="2" t="s">
        <v>308</v>
      </c>
      <c r="B276" s="3">
        <v>45697</v>
      </c>
      <c r="C276" s="2" t="s">
        <v>25</v>
      </c>
      <c r="D276" s="2" t="s">
        <v>11</v>
      </c>
      <c r="E276" s="2" t="s">
        <v>22</v>
      </c>
      <c r="F276" s="2" t="s">
        <v>46</v>
      </c>
      <c r="G276" s="2" t="s">
        <v>19</v>
      </c>
      <c r="H276" s="4">
        <v>38297</v>
      </c>
      <c r="I276" s="4">
        <v>40800</v>
      </c>
    </row>
    <row r="277" spans="1:9" x14ac:dyDescent="0.3">
      <c r="A277" s="2" t="s">
        <v>309</v>
      </c>
      <c r="B277" s="3">
        <v>45697</v>
      </c>
      <c r="C277" s="2" t="s">
        <v>55</v>
      </c>
      <c r="D277" s="2" t="s">
        <v>11</v>
      </c>
      <c r="E277" s="2" t="s">
        <v>37</v>
      </c>
      <c r="F277" s="2" t="s">
        <v>42</v>
      </c>
      <c r="G277" s="2" t="s">
        <v>19</v>
      </c>
      <c r="H277" s="4">
        <v>85535</v>
      </c>
      <c r="I277" s="4">
        <v>93600</v>
      </c>
    </row>
    <row r="278" spans="1:9" x14ac:dyDescent="0.3">
      <c r="A278" s="2" t="s">
        <v>310</v>
      </c>
      <c r="B278" s="3">
        <v>45697</v>
      </c>
      <c r="C278" s="2" t="s">
        <v>55</v>
      </c>
      <c r="D278" s="2" t="s">
        <v>11</v>
      </c>
      <c r="E278" s="2" t="s">
        <v>37</v>
      </c>
      <c r="F278" s="2" t="s">
        <v>33</v>
      </c>
      <c r="G278" s="2" t="s">
        <v>19</v>
      </c>
      <c r="H278" s="4">
        <v>80839</v>
      </c>
      <c r="I278" s="4">
        <v>78800</v>
      </c>
    </row>
    <row r="279" spans="1:9" x14ac:dyDescent="0.3">
      <c r="A279" s="2" t="s">
        <v>311</v>
      </c>
      <c r="B279" s="3">
        <v>45697</v>
      </c>
      <c r="C279" s="2" t="s">
        <v>55</v>
      </c>
      <c r="D279" s="2" t="s">
        <v>11</v>
      </c>
      <c r="E279" s="2" t="s">
        <v>37</v>
      </c>
      <c r="F279" s="2" t="s">
        <v>26</v>
      </c>
      <c r="G279" s="2" t="s">
        <v>14</v>
      </c>
      <c r="H279" s="4">
        <v>183880</v>
      </c>
      <c r="I279" s="4">
        <v>152900</v>
      </c>
    </row>
    <row r="280" spans="1:9" x14ac:dyDescent="0.3">
      <c r="A280" s="2" t="s">
        <v>312</v>
      </c>
      <c r="B280" s="3">
        <v>45698</v>
      </c>
      <c r="C280" s="2" t="s">
        <v>10</v>
      </c>
      <c r="D280" s="2" t="s">
        <v>11</v>
      </c>
      <c r="E280" s="2" t="s">
        <v>12</v>
      </c>
      <c r="F280" s="2" t="s">
        <v>59</v>
      </c>
      <c r="G280" s="2" t="s">
        <v>14</v>
      </c>
      <c r="H280" s="4">
        <v>71984</v>
      </c>
      <c r="I280" s="4">
        <v>61800</v>
      </c>
    </row>
    <row r="281" spans="1:9" x14ac:dyDescent="0.3">
      <c r="A281" s="2" t="s">
        <v>313</v>
      </c>
      <c r="B281" s="3">
        <v>45698</v>
      </c>
      <c r="C281" s="2" t="s">
        <v>10</v>
      </c>
      <c r="D281" s="2" t="s">
        <v>11</v>
      </c>
      <c r="E281" s="2" t="s">
        <v>12</v>
      </c>
      <c r="F281" s="2" t="s">
        <v>13</v>
      </c>
      <c r="G281" s="2" t="s">
        <v>14</v>
      </c>
      <c r="H281" s="4">
        <v>172050</v>
      </c>
      <c r="I281" s="4">
        <v>186200</v>
      </c>
    </row>
    <row r="282" spans="1:9" x14ac:dyDescent="0.3">
      <c r="A282" s="2" t="s">
        <v>314</v>
      </c>
      <c r="B282" s="3">
        <v>45698</v>
      </c>
      <c r="C282" s="2" t="s">
        <v>16</v>
      </c>
      <c r="D282" s="2" t="s">
        <v>11</v>
      </c>
      <c r="E282" s="2" t="s">
        <v>17</v>
      </c>
      <c r="F282" s="2" t="s">
        <v>42</v>
      </c>
      <c r="G282" s="2" t="s">
        <v>19</v>
      </c>
      <c r="H282" s="4">
        <v>91007</v>
      </c>
      <c r="I282" s="4">
        <v>84900</v>
      </c>
    </row>
    <row r="283" spans="1:9" x14ac:dyDescent="0.3">
      <c r="A283" s="2" t="s">
        <v>315</v>
      </c>
      <c r="B283" s="3">
        <v>45698</v>
      </c>
      <c r="C283" s="2" t="s">
        <v>16</v>
      </c>
      <c r="D283" s="2" t="s">
        <v>11</v>
      </c>
      <c r="E283" s="2" t="s">
        <v>17</v>
      </c>
      <c r="F283" s="2" t="s">
        <v>23</v>
      </c>
      <c r="G283" s="2" t="s">
        <v>14</v>
      </c>
      <c r="H283" s="4">
        <v>242719</v>
      </c>
      <c r="I283" s="4">
        <v>244000</v>
      </c>
    </row>
    <row r="284" spans="1:9" x14ac:dyDescent="0.3">
      <c r="A284" s="2" t="s">
        <v>316</v>
      </c>
      <c r="B284" s="3">
        <v>45698</v>
      </c>
      <c r="C284" s="2" t="s">
        <v>25</v>
      </c>
      <c r="D284" s="2" t="s">
        <v>11</v>
      </c>
      <c r="E284" s="2" t="s">
        <v>22</v>
      </c>
      <c r="F284" s="2" t="s">
        <v>59</v>
      </c>
      <c r="G284" s="2" t="s">
        <v>14</v>
      </c>
      <c r="H284" s="4">
        <v>208452</v>
      </c>
      <c r="I284" s="4">
        <v>159300</v>
      </c>
    </row>
    <row r="285" spans="1:9" x14ac:dyDescent="0.3">
      <c r="A285" s="2" t="s">
        <v>317</v>
      </c>
      <c r="B285" s="3">
        <v>45698</v>
      </c>
      <c r="C285" s="2" t="s">
        <v>25</v>
      </c>
      <c r="D285" s="2" t="s">
        <v>11</v>
      </c>
      <c r="E285" s="2" t="s">
        <v>22</v>
      </c>
      <c r="F285" s="2" t="s">
        <v>26</v>
      </c>
      <c r="G285" s="2" t="s">
        <v>14</v>
      </c>
      <c r="H285" s="4">
        <v>195270</v>
      </c>
      <c r="I285" s="4">
        <v>171100</v>
      </c>
    </row>
    <row r="286" spans="1:9" x14ac:dyDescent="0.3">
      <c r="A286" s="2" t="s">
        <v>318</v>
      </c>
      <c r="B286" s="3">
        <v>45699</v>
      </c>
      <c r="C286" s="2" t="s">
        <v>62</v>
      </c>
      <c r="D286" s="2" t="s">
        <v>11</v>
      </c>
      <c r="E286" s="2" t="s">
        <v>22</v>
      </c>
      <c r="F286" s="2" t="s">
        <v>39</v>
      </c>
      <c r="G286" s="2" t="s">
        <v>19</v>
      </c>
      <c r="H286" s="4">
        <v>64750</v>
      </c>
      <c r="I286" s="4">
        <v>65700</v>
      </c>
    </row>
    <row r="287" spans="1:9" x14ac:dyDescent="0.3">
      <c r="A287" s="2" t="s">
        <v>319</v>
      </c>
      <c r="B287" s="3">
        <v>45699</v>
      </c>
      <c r="C287" s="2" t="s">
        <v>10</v>
      </c>
      <c r="D287" s="2" t="s">
        <v>11</v>
      </c>
      <c r="E287" s="2" t="s">
        <v>12</v>
      </c>
      <c r="F287" s="2" t="s">
        <v>12</v>
      </c>
      <c r="G287" s="2" t="s">
        <v>14</v>
      </c>
      <c r="H287" s="4">
        <v>163435</v>
      </c>
      <c r="I287" s="4">
        <v>160400</v>
      </c>
    </row>
    <row r="288" spans="1:9" x14ac:dyDescent="0.3">
      <c r="A288" s="2" t="s">
        <v>320</v>
      </c>
      <c r="B288" s="3">
        <v>45699</v>
      </c>
      <c r="C288" s="2" t="s">
        <v>10</v>
      </c>
      <c r="D288" s="2" t="s">
        <v>11</v>
      </c>
      <c r="E288" s="2" t="s">
        <v>12</v>
      </c>
      <c r="F288" s="2" t="s">
        <v>23</v>
      </c>
      <c r="G288" s="2" t="s">
        <v>14</v>
      </c>
      <c r="H288" s="4">
        <v>74116</v>
      </c>
      <c r="I288" s="4">
        <v>83100</v>
      </c>
    </row>
    <row r="289" spans="1:9" x14ac:dyDescent="0.3">
      <c r="A289" s="2" t="s">
        <v>321</v>
      </c>
      <c r="B289" s="3">
        <v>45699</v>
      </c>
      <c r="C289" s="2" t="s">
        <v>16</v>
      </c>
      <c r="D289" s="2" t="s">
        <v>11</v>
      </c>
      <c r="E289" s="2" t="s">
        <v>17</v>
      </c>
      <c r="F289" s="2" t="s">
        <v>26</v>
      </c>
      <c r="G289" s="2" t="s">
        <v>14</v>
      </c>
      <c r="H289" s="4">
        <v>237371</v>
      </c>
      <c r="I289" s="4">
        <v>282000</v>
      </c>
    </row>
    <row r="290" spans="1:9" x14ac:dyDescent="0.3">
      <c r="A290" s="2" t="s">
        <v>322</v>
      </c>
      <c r="B290" s="3">
        <v>45699</v>
      </c>
      <c r="C290" s="2" t="s">
        <v>16</v>
      </c>
      <c r="D290" s="2" t="s">
        <v>11</v>
      </c>
      <c r="E290" s="2" t="s">
        <v>17</v>
      </c>
      <c r="F290" s="2" t="s">
        <v>59</v>
      </c>
      <c r="G290" s="2" t="s">
        <v>14</v>
      </c>
      <c r="H290" s="4">
        <v>78242</v>
      </c>
      <c r="I290" s="4">
        <v>71700</v>
      </c>
    </row>
    <row r="291" spans="1:9" x14ac:dyDescent="0.3">
      <c r="A291" s="2" t="s">
        <v>323</v>
      </c>
      <c r="B291" s="3">
        <v>45699</v>
      </c>
      <c r="C291" s="2" t="s">
        <v>21</v>
      </c>
      <c r="D291" s="2" t="s">
        <v>11</v>
      </c>
      <c r="E291" s="2" t="s">
        <v>22</v>
      </c>
      <c r="F291" s="2" t="s">
        <v>18</v>
      </c>
      <c r="G291" s="2" t="s">
        <v>19</v>
      </c>
      <c r="H291" s="4">
        <v>92308</v>
      </c>
      <c r="I291" s="4">
        <v>102700</v>
      </c>
    </row>
    <row r="292" spans="1:9" x14ac:dyDescent="0.3">
      <c r="A292" s="2" t="s">
        <v>324</v>
      </c>
      <c r="B292" s="3">
        <v>45699</v>
      </c>
      <c r="C292" s="2" t="s">
        <v>21</v>
      </c>
      <c r="D292" s="2" t="s">
        <v>11</v>
      </c>
      <c r="E292" s="2" t="s">
        <v>22</v>
      </c>
      <c r="F292" s="2" t="s">
        <v>59</v>
      </c>
      <c r="G292" s="2" t="s">
        <v>14</v>
      </c>
      <c r="H292" s="4">
        <v>47707</v>
      </c>
      <c r="I292" s="4">
        <v>44900</v>
      </c>
    </row>
    <row r="293" spans="1:9" x14ac:dyDescent="0.3">
      <c r="A293" s="2" t="s">
        <v>325</v>
      </c>
      <c r="B293" s="3">
        <v>45700</v>
      </c>
      <c r="C293" s="2" t="s">
        <v>10</v>
      </c>
      <c r="D293" s="2" t="s">
        <v>11</v>
      </c>
      <c r="E293" s="2" t="s">
        <v>12</v>
      </c>
      <c r="F293" s="2" t="s">
        <v>23</v>
      </c>
      <c r="G293" s="2" t="s">
        <v>14</v>
      </c>
      <c r="H293" s="4">
        <v>52924</v>
      </c>
      <c r="I293" s="4">
        <v>51000</v>
      </c>
    </row>
    <row r="294" spans="1:9" x14ac:dyDescent="0.3">
      <c r="A294" s="2" t="s">
        <v>326</v>
      </c>
      <c r="B294" s="3">
        <v>45700</v>
      </c>
      <c r="C294" s="2" t="s">
        <v>36</v>
      </c>
      <c r="D294" s="2" t="s">
        <v>11</v>
      </c>
      <c r="E294" s="2" t="s">
        <v>37</v>
      </c>
      <c r="F294" s="2" t="s">
        <v>13</v>
      </c>
      <c r="G294" s="2" t="s">
        <v>14</v>
      </c>
      <c r="H294" s="4">
        <v>196748</v>
      </c>
      <c r="I294" s="4">
        <v>204200</v>
      </c>
    </row>
    <row r="295" spans="1:9" x14ac:dyDescent="0.3">
      <c r="A295" s="2" t="s">
        <v>327</v>
      </c>
      <c r="B295" s="3">
        <v>45700</v>
      </c>
      <c r="C295" s="2" t="s">
        <v>21</v>
      </c>
      <c r="D295" s="2" t="s">
        <v>11</v>
      </c>
      <c r="E295" s="2" t="s">
        <v>22</v>
      </c>
      <c r="F295" s="2" t="s">
        <v>46</v>
      </c>
      <c r="G295" s="2" t="s">
        <v>19</v>
      </c>
      <c r="H295" s="4">
        <v>107326</v>
      </c>
      <c r="I295" s="4">
        <v>106600</v>
      </c>
    </row>
    <row r="296" spans="1:9" x14ac:dyDescent="0.3">
      <c r="A296" s="2" t="s">
        <v>328</v>
      </c>
      <c r="B296" s="3">
        <v>45700</v>
      </c>
      <c r="C296" s="2" t="s">
        <v>21</v>
      </c>
      <c r="D296" s="2" t="s">
        <v>11</v>
      </c>
      <c r="E296" s="2" t="s">
        <v>22</v>
      </c>
      <c r="F296" s="2" t="s">
        <v>37</v>
      </c>
      <c r="G296" s="2" t="s">
        <v>14</v>
      </c>
      <c r="H296" s="4">
        <v>210849</v>
      </c>
      <c r="I296" s="4">
        <v>226600</v>
      </c>
    </row>
    <row r="297" spans="1:9" x14ac:dyDescent="0.3">
      <c r="A297" s="2" t="s">
        <v>329</v>
      </c>
      <c r="B297" s="3">
        <v>45701</v>
      </c>
      <c r="C297" s="2" t="s">
        <v>16</v>
      </c>
      <c r="D297" s="2" t="s">
        <v>11</v>
      </c>
      <c r="E297" s="2" t="s">
        <v>17</v>
      </c>
      <c r="F297" s="2" t="s">
        <v>59</v>
      </c>
      <c r="G297" s="2" t="s">
        <v>14</v>
      </c>
      <c r="H297" s="4">
        <v>33208</v>
      </c>
      <c r="I297" s="4">
        <v>33200</v>
      </c>
    </row>
    <row r="298" spans="1:9" x14ac:dyDescent="0.3">
      <c r="A298" s="2" t="s">
        <v>330</v>
      </c>
      <c r="B298" s="3">
        <v>45701</v>
      </c>
      <c r="C298" s="2" t="s">
        <v>36</v>
      </c>
      <c r="D298" s="2" t="s">
        <v>11</v>
      </c>
      <c r="E298" s="2" t="s">
        <v>37</v>
      </c>
      <c r="F298" s="2" t="s">
        <v>39</v>
      </c>
      <c r="G298" s="2" t="s">
        <v>19</v>
      </c>
      <c r="H298" s="4">
        <v>70530</v>
      </c>
      <c r="I298" s="4">
        <v>60100</v>
      </c>
    </row>
    <row r="299" spans="1:9" x14ac:dyDescent="0.3">
      <c r="A299" s="2" t="s">
        <v>331</v>
      </c>
      <c r="B299" s="3">
        <v>45701</v>
      </c>
      <c r="C299" s="2" t="s">
        <v>31</v>
      </c>
      <c r="D299" s="2" t="s">
        <v>11</v>
      </c>
      <c r="E299" s="2" t="s">
        <v>17</v>
      </c>
      <c r="F299" s="2" t="s">
        <v>18</v>
      </c>
      <c r="G299" s="2" t="s">
        <v>19</v>
      </c>
      <c r="H299" s="4">
        <v>111425</v>
      </c>
      <c r="I299" s="4">
        <v>108800</v>
      </c>
    </row>
    <row r="300" spans="1:9" x14ac:dyDescent="0.3">
      <c r="A300" s="2" t="s">
        <v>332</v>
      </c>
      <c r="B300" s="3">
        <v>45701</v>
      </c>
      <c r="C300" s="2" t="s">
        <v>31</v>
      </c>
      <c r="D300" s="2" t="s">
        <v>11</v>
      </c>
      <c r="E300" s="2" t="s">
        <v>17</v>
      </c>
      <c r="F300" s="2" t="s">
        <v>23</v>
      </c>
      <c r="G300" s="2" t="s">
        <v>14</v>
      </c>
      <c r="H300" s="4">
        <v>38356</v>
      </c>
      <c r="I300" s="4">
        <v>35900</v>
      </c>
    </row>
    <row r="301" spans="1:9" x14ac:dyDescent="0.3">
      <c r="A301" s="2" t="s">
        <v>333</v>
      </c>
      <c r="B301" s="3">
        <v>45701</v>
      </c>
      <c r="C301" s="2" t="s">
        <v>31</v>
      </c>
      <c r="D301" s="2" t="s">
        <v>11</v>
      </c>
      <c r="E301" s="2" t="s">
        <v>17</v>
      </c>
      <c r="F301" s="2" t="s">
        <v>13</v>
      </c>
      <c r="G301" s="2" t="s">
        <v>14</v>
      </c>
      <c r="H301" s="4">
        <v>153056</v>
      </c>
      <c r="I301" s="4">
        <v>125800</v>
      </c>
    </row>
    <row r="302" spans="1:9" x14ac:dyDescent="0.3">
      <c r="A302" s="2" t="s">
        <v>334</v>
      </c>
      <c r="B302" s="3">
        <v>45701</v>
      </c>
      <c r="C302" s="2" t="s">
        <v>55</v>
      </c>
      <c r="D302" s="2" t="s">
        <v>11</v>
      </c>
      <c r="E302" s="2" t="s">
        <v>37</v>
      </c>
      <c r="F302" s="2" t="s">
        <v>23</v>
      </c>
      <c r="G302" s="2" t="s">
        <v>14</v>
      </c>
      <c r="H302" s="4">
        <v>75134</v>
      </c>
      <c r="I302" s="4">
        <v>78000</v>
      </c>
    </row>
    <row r="303" spans="1:9" x14ac:dyDescent="0.3">
      <c r="A303" s="2" t="s">
        <v>335</v>
      </c>
      <c r="B303" s="3">
        <v>45702</v>
      </c>
      <c r="C303" s="2" t="s">
        <v>10</v>
      </c>
      <c r="D303" s="2" t="s">
        <v>11</v>
      </c>
      <c r="E303" s="2" t="s">
        <v>12</v>
      </c>
      <c r="F303" s="2" t="s">
        <v>33</v>
      </c>
      <c r="G303" s="2" t="s">
        <v>19</v>
      </c>
      <c r="H303" s="4">
        <v>13958</v>
      </c>
      <c r="I303" s="4">
        <v>12400</v>
      </c>
    </row>
    <row r="304" spans="1:9" x14ac:dyDescent="0.3">
      <c r="A304" s="2" t="s">
        <v>336</v>
      </c>
      <c r="B304" s="3">
        <v>45702</v>
      </c>
      <c r="C304" s="2" t="s">
        <v>16</v>
      </c>
      <c r="D304" s="2" t="s">
        <v>11</v>
      </c>
      <c r="E304" s="2" t="s">
        <v>17</v>
      </c>
      <c r="F304" s="2" t="s">
        <v>46</v>
      </c>
      <c r="G304" s="2" t="s">
        <v>19</v>
      </c>
      <c r="H304" s="4">
        <v>41116</v>
      </c>
      <c r="I304" s="4">
        <v>44400</v>
      </c>
    </row>
    <row r="305" spans="1:9" x14ac:dyDescent="0.3">
      <c r="A305" s="2" t="s">
        <v>337</v>
      </c>
      <c r="B305" s="3">
        <v>45702</v>
      </c>
      <c r="C305" s="2" t="s">
        <v>31</v>
      </c>
      <c r="D305" s="2" t="s">
        <v>11</v>
      </c>
      <c r="E305" s="2" t="s">
        <v>17</v>
      </c>
      <c r="F305" s="2" t="s">
        <v>33</v>
      </c>
      <c r="G305" s="2" t="s">
        <v>19</v>
      </c>
      <c r="H305" s="4">
        <v>68016</v>
      </c>
      <c r="I305" s="4">
        <v>65800</v>
      </c>
    </row>
    <row r="306" spans="1:9" x14ac:dyDescent="0.3">
      <c r="A306" s="2" t="s">
        <v>338</v>
      </c>
      <c r="B306" s="3">
        <v>45702</v>
      </c>
      <c r="C306" s="2" t="s">
        <v>31</v>
      </c>
      <c r="D306" s="2" t="s">
        <v>11</v>
      </c>
      <c r="E306" s="2" t="s">
        <v>17</v>
      </c>
      <c r="F306" s="2" t="s">
        <v>37</v>
      </c>
      <c r="G306" s="2" t="s">
        <v>14</v>
      </c>
      <c r="H306" s="4">
        <v>237011</v>
      </c>
      <c r="I306" s="4">
        <v>230400</v>
      </c>
    </row>
    <row r="307" spans="1:9" x14ac:dyDescent="0.3">
      <c r="A307" s="2" t="s">
        <v>339</v>
      </c>
      <c r="B307" s="3">
        <v>45703</v>
      </c>
      <c r="C307" s="2" t="s">
        <v>62</v>
      </c>
      <c r="D307" s="2" t="s">
        <v>11</v>
      </c>
      <c r="E307" s="2" t="s">
        <v>22</v>
      </c>
      <c r="F307" s="2" t="s">
        <v>42</v>
      </c>
      <c r="G307" s="2" t="s">
        <v>19</v>
      </c>
      <c r="H307" s="4">
        <v>50667</v>
      </c>
      <c r="I307" s="4">
        <v>48500</v>
      </c>
    </row>
    <row r="308" spans="1:9" x14ac:dyDescent="0.3">
      <c r="A308" s="2" t="s">
        <v>340</v>
      </c>
      <c r="B308" s="3">
        <v>45703</v>
      </c>
      <c r="C308" s="2" t="s">
        <v>16</v>
      </c>
      <c r="D308" s="2" t="s">
        <v>11</v>
      </c>
      <c r="E308" s="2" t="s">
        <v>17</v>
      </c>
      <c r="F308" s="2" t="s">
        <v>56</v>
      </c>
      <c r="G308" s="2" t="s">
        <v>19</v>
      </c>
      <c r="H308" s="4">
        <v>25677</v>
      </c>
      <c r="I308" s="4">
        <v>24200</v>
      </c>
    </row>
    <row r="309" spans="1:9" x14ac:dyDescent="0.3">
      <c r="A309" s="2" t="s">
        <v>341</v>
      </c>
      <c r="B309" s="3">
        <v>45703</v>
      </c>
      <c r="C309" s="2" t="s">
        <v>16</v>
      </c>
      <c r="D309" s="2" t="s">
        <v>11</v>
      </c>
      <c r="E309" s="2" t="s">
        <v>17</v>
      </c>
      <c r="F309" s="2" t="s">
        <v>46</v>
      </c>
      <c r="G309" s="2" t="s">
        <v>19</v>
      </c>
      <c r="H309" s="4">
        <v>107651</v>
      </c>
      <c r="I309" s="4">
        <v>104600</v>
      </c>
    </row>
    <row r="310" spans="1:9" x14ac:dyDescent="0.3">
      <c r="A310" s="2" t="s">
        <v>342</v>
      </c>
      <c r="B310" s="3">
        <v>45703</v>
      </c>
      <c r="C310" s="2" t="s">
        <v>16</v>
      </c>
      <c r="D310" s="2" t="s">
        <v>11</v>
      </c>
      <c r="E310" s="2" t="s">
        <v>17</v>
      </c>
      <c r="F310" s="2" t="s">
        <v>37</v>
      </c>
      <c r="G310" s="2" t="s">
        <v>14</v>
      </c>
      <c r="H310" s="4">
        <v>207517</v>
      </c>
      <c r="I310" s="4">
        <v>207100</v>
      </c>
    </row>
    <row r="311" spans="1:9" x14ac:dyDescent="0.3">
      <c r="A311" s="2" t="s">
        <v>343</v>
      </c>
      <c r="B311" s="3">
        <v>45703</v>
      </c>
      <c r="C311" s="2" t="s">
        <v>16</v>
      </c>
      <c r="D311" s="2" t="s">
        <v>11</v>
      </c>
      <c r="E311" s="2" t="s">
        <v>17</v>
      </c>
      <c r="F311" s="2" t="s">
        <v>23</v>
      </c>
      <c r="G311" s="2" t="s">
        <v>14</v>
      </c>
      <c r="H311" s="4">
        <v>129423</v>
      </c>
      <c r="I311" s="4">
        <v>142300</v>
      </c>
    </row>
    <row r="312" spans="1:9" x14ac:dyDescent="0.3">
      <c r="A312" s="2" t="s">
        <v>344</v>
      </c>
      <c r="B312" s="3">
        <v>45703</v>
      </c>
      <c r="C312" s="2" t="s">
        <v>16</v>
      </c>
      <c r="D312" s="2" t="s">
        <v>11</v>
      </c>
      <c r="E312" s="2" t="s">
        <v>17</v>
      </c>
      <c r="F312" s="2" t="s">
        <v>26</v>
      </c>
      <c r="G312" s="2" t="s">
        <v>14</v>
      </c>
      <c r="H312" s="4">
        <v>110512</v>
      </c>
      <c r="I312" s="4">
        <v>105200</v>
      </c>
    </row>
    <row r="313" spans="1:9" x14ac:dyDescent="0.3">
      <c r="A313" s="2" t="s">
        <v>345</v>
      </c>
      <c r="B313" s="3">
        <v>45703</v>
      </c>
      <c r="C313" s="2" t="s">
        <v>21</v>
      </c>
      <c r="D313" s="2" t="s">
        <v>11</v>
      </c>
      <c r="E313" s="2" t="s">
        <v>22</v>
      </c>
      <c r="F313" s="2" t="s">
        <v>59</v>
      </c>
      <c r="G313" s="2" t="s">
        <v>14</v>
      </c>
      <c r="H313" s="4">
        <v>233848</v>
      </c>
      <c r="I313" s="4">
        <v>241200</v>
      </c>
    </row>
    <row r="314" spans="1:9" x14ac:dyDescent="0.3">
      <c r="A314" s="2" t="s">
        <v>346</v>
      </c>
      <c r="B314" s="3">
        <v>45703</v>
      </c>
      <c r="C314" s="2" t="s">
        <v>21</v>
      </c>
      <c r="D314" s="2" t="s">
        <v>11</v>
      </c>
      <c r="E314" s="2" t="s">
        <v>22</v>
      </c>
      <c r="F314" s="2" t="s">
        <v>59</v>
      </c>
      <c r="G314" s="2" t="s">
        <v>14</v>
      </c>
      <c r="H314" s="4">
        <v>200290</v>
      </c>
      <c r="I314" s="4">
        <v>179200</v>
      </c>
    </row>
    <row r="315" spans="1:9" x14ac:dyDescent="0.3">
      <c r="A315" s="2" t="s">
        <v>347</v>
      </c>
      <c r="B315" s="3">
        <v>45703</v>
      </c>
      <c r="C315" s="2" t="s">
        <v>31</v>
      </c>
      <c r="D315" s="2" t="s">
        <v>11</v>
      </c>
      <c r="E315" s="2" t="s">
        <v>17</v>
      </c>
      <c r="F315" s="2" t="s">
        <v>26</v>
      </c>
      <c r="G315" s="2" t="s">
        <v>14</v>
      </c>
      <c r="H315" s="4">
        <v>190903</v>
      </c>
      <c r="I315" s="4">
        <v>175500</v>
      </c>
    </row>
    <row r="316" spans="1:9" x14ac:dyDescent="0.3">
      <c r="A316" s="2" t="s">
        <v>348</v>
      </c>
      <c r="B316" s="3">
        <v>45704</v>
      </c>
      <c r="C316" s="2" t="s">
        <v>62</v>
      </c>
      <c r="D316" s="2" t="s">
        <v>11</v>
      </c>
      <c r="E316" s="2" t="s">
        <v>22</v>
      </c>
      <c r="F316" s="2" t="s">
        <v>37</v>
      </c>
      <c r="G316" s="2" t="s">
        <v>14</v>
      </c>
      <c r="H316" s="4">
        <v>179198</v>
      </c>
      <c r="I316" s="4">
        <v>177200</v>
      </c>
    </row>
    <row r="317" spans="1:9" x14ac:dyDescent="0.3">
      <c r="A317" s="2" t="s">
        <v>349</v>
      </c>
      <c r="B317" s="3">
        <v>45704</v>
      </c>
      <c r="C317" s="2" t="s">
        <v>16</v>
      </c>
      <c r="D317" s="2" t="s">
        <v>11</v>
      </c>
      <c r="E317" s="2" t="s">
        <v>17</v>
      </c>
      <c r="F317" s="2" t="s">
        <v>33</v>
      </c>
      <c r="G317" s="2" t="s">
        <v>19</v>
      </c>
      <c r="H317" s="4">
        <v>83183</v>
      </c>
      <c r="I317" s="4">
        <v>79300</v>
      </c>
    </row>
    <row r="318" spans="1:9" x14ac:dyDescent="0.3">
      <c r="A318" s="2" t="s">
        <v>350</v>
      </c>
      <c r="B318" s="3">
        <v>45704</v>
      </c>
      <c r="C318" s="2" t="s">
        <v>36</v>
      </c>
      <c r="D318" s="2" t="s">
        <v>11</v>
      </c>
      <c r="E318" s="2" t="s">
        <v>37</v>
      </c>
      <c r="F318" s="2" t="s">
        <v>18</v>
      </c>
      <c r="G318" s="2" t="s">
        <v>19</v>
      </c>
      <c r="H318" s="4">
        <v>86392</v>
      </c>
      <c r="I318" s="4">
        <v>77200</v>
      </c>
    </row>
    <row r="319" spans="1:9" x14ac:dyDescent="0.3">
      <c r="A319" s="2" t="s">
        <v>351</v>
      </c>
      <c r="B319" s="3">
        <v>45704</v>
      </c>
      <c r="C319" s="2" t="s">
        <v>55</v>
      </c>
      <c r="D319" s="2" t="s">
        <v>11</v>
      </c>
      <c r="E319" s="2" t="s">
        <v>37</v>
      </c>
      <c r="F319" s="2" t="s">
        <v>37</v>
      </c>
      <c r="G319" s="2" t="s">
        <v>14</v>
      </c>
      <c r="H319" s="4">
        <v>143114</v>
      </c>
      <c r="I319" s="4">
        <v>128100</v>
      </c>
    </row>
    <row r="320" spans="1:9" x14ac:dyDescent="0.3">
      <c r="A320" s="2" t="s">
        <v>352</v>
      </c>
      <c r="B320" s="3">
        <v>45705</v>
      </c>
      <c r="C320" s="2" t="s">
        <v>62</v>
      </c>
      <c r="D320" s="2" t="s">
        <v>11</v>
      </c>
      <c r="E320" s="2" t="s">
        <v>22</v>
      </c>
      <c r="F320" s="2" t="s">
        <v>23</v>
      </c>
      <c r="G320" s="2" t="s">
        <v>14</v>
      </c>
      <c r="H320" s="4">
        <v>36383</v>
      </c>
      <c r="I320" s="4">
        <v>32000</v>
      </c>
    </row>
    <row r="321" spans="1:9" x14ac:dyDescent="0.3">
      <c r="A321" s="2" t="s">
        <v>353</v>
      </c>
      <c r="B321" s="3">
        <v>45705</v>
      </c>
      <c r="C321" s="2" t="s">
        <v>16</v>
      </c>
      <c r="D321" s="2" t="s">
        <v>11</v>
      </c>
      <c r="E321" s="2" t="s">
        <v>17</v>
      </c>
      <c r="F321" s="2" t="s">
        <v>13</v>
      </c>
      <c r="G321" s="2" t="s">
        <v>14</v>
      </c>
      <c r="H321" s="4">
        <v>41160</v>
      </c>
      <c r="I321" s="4">
        <v>36900</v>
      </c>
    </row>
    <row r="322" spans="1:9" x14ac:dyDescent="0.3">
      <c r="A322" s="2" t="s">
        <v>354</v>
      </c>
      <c r="B322" s="3">
        <v>45705</v>
      </c>
      <c r="C322" s="2" t="s">
        <v>16</v>
      </c>
      <c r="D322" s="2" t="s">
        <v>11</v>
      </c>
      <c r="E322" s="2" t="s">
        <v>17</v>
      </c>
      <c r="F322" s="2" t="s">
        <v>13</v>
      </c>
      <c r="G322" s="2" t="s">
        <v>14</v>
      </c>
      <c r="H322" s="4">
        <v>124037</v>
      </c>
      <c r="I322" s="4">
        <v>110400</v>
      </c>
    </row>
    <row r="323" spans="1:9" x14ac:dyDescent="0.3">
      <c r="A323" s="2" t="s">
        <v>355</v>
      </c>
      <c r="B323" s="3">
        <v>45705</v>
      </c>
      <c r="C323" s="2" t="s">
        <v>25</v>
      </c>
      <c r="D323" s="2" t="s">
        <v>11</v>
      </c>
      <c r="E323" s="2" t="s">
        <v>22</v>
      </c>
      <c r="F323" s="2" t="s">
        <v>37</v>
      </c>
      <c r="G323" s="2" t="s">
        <v>14</v>
      </c>
      <c r="H323" s="4">
        <v>60674</v>
      </c>
      <c r="I323" s="4">
        <v>58100</v>
      </c>
    </row>
    <row r="324" spans="1:9" x14ac:dyDescent="0.3">
      <c r="A324" s="2" t="s">
        <v>356</v>
      </c>
      <c r="B324" s="3">
        <v>45705</v>
      </c>
      <c r="C324" s="2" t="s">
        <v>31</v>
      </c>
      <c r="D324" s="2" t="s">
        <v>11</v>
      </c>
      <c r="E324" s="2" t="s">
        <v>17</v>
      </c>
      <c r="F324" s="2" t="s">
        <v>46</v>
      </c>
      <c r="G324" s="2" t="s">
        <v>19</v>
      </c>
      <c r="H324" s="4">
        <v>87440</v>
      </c>
      <c r="I324" s="4">
        <v>77600</v>
      </c>
    </row>
    <row r="325" spans="1:9" x14ac:dyDescent="0.3">
      <c r="A325" s="2" t="s">
        <v>357</v>
      </c>
      <c r="B325" s="3">
        <v>45705</v>
      </c>
      <c r="C325" s="2" t="s">
        <v>31</v>
      </c>
      <c r="D325" s="2" t="s">
        <v>11</v>
      </c>
      <c r="E325" s="2" t="s">
        <v>17</v>
      </c>
      <c r="F325" s="2" t="s">
        <v>37</v>
      </c>
      <c r="G325" s="2" t="s">
        <v>14</v>
      </c>
      <c r="H325" s="4">
        <v>161151</v>
      </c>
      <c r="I325" s="4">
        <v>130300</v>
      </c>
    </row>
    <row r="326" spans="1:9" x14ac:dyDescent="0.3">
      <c r="A326" s="2" t="s">
        <v>358</v>
      </c>
      <c r="B326" s="3">
        <v>45705</v>
      </c>
      <c r="C326" s="2" t="s">
        <v>55</v>
      </c>
      <c r="D326" s="2" t="s">
        <v>11</v>
      </c>
      <c r="E326" s="2" t="s">
        <v>37</v>
      </c>
      <c r="F326" s="2" t="s">
        <v>39</v>
      </c>
      <c r="G326" s="2" t="s">
        <v>19</v>
      </c>
      <c r="H326" s="4">
        <v>88017</v>
      </c>
      <c r="I326" s="4">
        <v>98200</v>
      </c>
    </row>
    <row r="327" spans="1:9" x14ac:dyDescent="0.3">
      <c r="A327" s="2" t="s">
        <v>359</v>
      </c>
      <c r="B327" s="3">
        <v>45706</v>
      </c>
      <c r="C327" s="2" t="s">
        <v>62</v>
      </c>
      <c r="D327" s="2" t="s">
        <v>11</v>
      </c>
      <c r="E327" s="2" t="s">
        <v>22</v>
      </c>
      <c r="F327" s="2" t="s">
        <v>39</v>
      </c>
      <c r="G327" s="2" t="s">
        <v>19</v>
      </c>
      <c r="H327" s="4">
        <v>65368</v>
      </c>
      <c r="I327" s="4">
        <v>79200</v>
      </c>
    </row>
    <row r="328" spans="1:9" x14ac:dyDescent="0.3">
      <c r="A328" s="2" t="s">
        <v>360</v>
      </c>
      <c r="B328" s="3">
        <v>45706</v>
      </c>
      <c r="C328" s="2" t="s">
        <v>16</v>
      </c>
      <c r="D328" s="2" t="s">
        <v>11</v>
      </c>
      <c r="E328" s="2" t="s">
        <v>17</v>
      </c>
      <c r="F328" s="2" t="s">
        <v>12</v>
      </c>
      <c r="G328" s="2" t="s">
        <v>14</v>
      </c>
      <c r="H328" s="4">
        <v>49800</v>
      </c>
      <c r="I328" s="4">
        <v>46600</v>
      </c>
    </row>
    <row r="329" spans="1:9" x14ac:dyDescent="0.3">
      <c r="A329" s="2" t="s">
        <v>361</v>
      </c>
      <c r="B329" s="3">
        <v>45706</v>
      </c>
      <c r="C329" s="2" t="s">
        <v>36</v>
      </c>
      <c r="D329" s="2" t="s">
        <v>11</v>
      </c>
      <c r="E329" s="2" t="s">
        <v>37</v>
      </c>
      <c r="F329" s="2" t="s">
        <v>33</v>
      </c>
      <c r="G329" s="2" t="s">
        <v>19</v>
      </c>
      <c r="H329" s="4">
        <v>66018</v>
      </c>
      <c r="I329" s="4">
        <v>65300</v>
      </c>
    </row>
    <row r="330" spans="1:9" x14ac:dyDescent="0.3">
      <c r="A330" s="2" t="s">
        <v>362</v>
      </c>
      <c r="B330" s="3">
        <v>45706</v>
      </c>
      <c r="C330" s="2" t="s">
        <v>31</v>
      </c>
      <c r="D330" s="2" t="s">
        <v>11</v>
      </c>
      <c r="E330" s="2" t="s">
        <v>17</v>
      </c>
      <c r="F330" s="2" t="s">
        <v>56</v>
      </c>
      <c r="G330" s="2" t="s">
        <v>19</v>
      </c>
      <c r="H330" s="4">
        <v>78197</v>
      </c>
      <c r="I330" s="4">
        <v>66300</v>
      </c>
    </row>
    <row r="331" spans="1:9" x14ac:dyDescent="0.3">
      <c r="A331" s="2" t="s">
        <v>363</v>
      </c>
      <c r="B331" s="3">
        <v>45706</v>
      </c>
      <c r="C331" s="2" t="s">
        <v>31</v>
      </c>
      <c r="D331" s="2" t="s">
        <v>11</v>
      </c>
      <c r="E331" s="2" t="s">
        <v>17</v>
      </c>
      <c r="F331" s="2" t="s">
        <v>42</v>
      </c>
      <c r="G331" s="2" t="s">
        <v>19</v>
      </c>
      <c r="H331" s="4">
        <v>15021</v>
      </c>
      <c r="I331" s="4">
        <v>15800</v>
      </c>
    </row>
    <row r="332" spans="1:9" x14ac:dyDescent="0.3">
      <c r="A332" s="2" t="s">
        <v>364</v>
      </c>
      <c r="B332" s="3">
        <v>45706</v>
      </c>
      <c r="C332" s="2" t="s">
        <v>31</v>
      </c>
      <c r="D332" s="2" t="s">
        <v>11</v>
      </c>
      <c r="E332" s="2" t="s">
        <v>17</v>
      </c>
      <c r="F332" s="2" t="s">
        <v>46</v>
      </c>
      <c r="G332" s="2" t="s">
        <v>19</v>
      </c>
      <c r="H332" s="4">
        <v>91329</v>
      </c>
      <c r="I332" s="4">
        <v>84700</v>
      </c>
    </row>
    <row r="333" spans="1:9" x14ac:dyDescent="0.3">
      <c r="A333" s="2" t="s">
        <v>365</v>
      </c>
      <c r="B333" s="3">
        <v>45706</v>
      </c>
      <c r="C333" s="2" t="s">
        <v>55</v>
      </c>
      <c r="D333" s="2" t="s">
        <v>11</v>
      </c>
      <c r="E333" s="2" t="s">
        <v>37</v>
      </c>
      <c r="F333" s="2" t="s">
        <v>33</v>
      </c>
      <c r="G333" s="2" t="s">
        <v>19</v>
      </c>
      <c r="H333" s="4">
        <v>23667</v>
      </c>
      <c r="I333" s="4">
        <v>24100</v>
      </c>
    </row>
    <row r="334" spans="1:9" x14ac:dyDescent="0.3">
      <c r="A334" s="2" t="s">
        <v>366</v>
      </c>
      <c r="B334" s="3">
        <v>45707</v>
      </c>
      <c r="C334" s="2" t="s">
        <v>62</v>
      </c>
      <c r="D334" s="2" t="s">
        <v>11</v>
      </c>
      <c r="E334" s="2" t="s">
        <v>22</v>
      </c>
      <c r="F334" s="2" t="s">
        <v>59</v>
      </c>
      <c r="G334" s="2" t="s">
        <v>14</v>
      </c>
      <c r="H334" s="4">
        <v>221744</v>
      </c>
      <c r="I334" s="4">
        <v>188200</v>
      </c>
    </row>
    <row r="335" spans="1:9" x14ac:dyDescent="0.3">
      <c r="A335" s="2" t="s">
        <v>367</v>
      </c>
      <c r="B335" s="3">
        <v>45707</v>
      </c>
      <c r="C335" s="2" t="s">
        <v>10</v>
      </c>
      <c r="D335" s="2" t="s">
        <v>11</v>
      </c>
      <c r="E335" s="2" t="s">
        <v>12</v>
      </c>
      <c r="F335" s="2" t="s">
        <v>18</v>
      </c>
      <c r="G335" s="2" t="s">
        <v>19</v>
      </c>
      <c r="H335" s="4">
        <v>119332</v>
      </c>
      <c r="I335" s="4">
        <v>120500</v>
      </c>
    </row>
    <row r="336" spans="1:9" x14ac:dyDescent="0.3">
      <c r="A336" s="2" t="s">
        <v>368</v>
      </c>
      <c r="B336" s="3">
        <v>45707</v>
      </c>
      <c r="C336" s="2" t="s">
        <v>16</v>
      </c>
      <c r="D336" s="2" t="s">
        <v>11</v>
      </c>
      <c r="E336" s="2" t="s">
        <v>17</v>
      </c>
      <c r="F336" s="2" t="s">
        <v>39</v>
      </c>
      <c r="G336" s="2" t="s">
        <v>19</v>
      </c>
      <c r="H336" s="4">
        <v>88322</v>
      </c>
      <c r="I336" s="4">
        <v>89600</v>
      </c>
    </row>
    <row r="337" spans="1:9" x14ac:dyDescent="0.3">
      <c r="A337" s="2" t="s">
        <v>369</v>
      </c>
      <c r="B337" s="3">
        <v>45707</v>
      </c>
      <c r="C337" s="2" t="s">
        <v>21</v>
      </c>
      <c r="D337" s="2" t="s">
        <v>11</v>
      </c>
      <c r="E337" s="2" t="s">
        <v>22</v>
      </c>
      <c r="F337" s="2" t="s">
        <v>26</v>
      </c>
      <c r="G337" s="2" t="s">
        <v>14</v>
      </c>
      <c r="H337" s="4">
        <v>112543</v>
      </c>
      <c r="I337" s="4">
        <v>135300</v>
      </c>
    </row>
    <row r="338" spans="1:9" x14ac:dyDescent="0.3">
      <c r="A338" s="2" t="s">
        <v>370</v>
      </c>
      <c r="B338" s="3">
        <v>45707</v>
      </c>
      <c r="C338" s="2" t="s">
        <v>21</v>
      </c>
      <c r="D338" s="2" t="s">
        <v>11</v>
      </c>
      <c r="E338" s="2" t="s">
        <v>22</v>
      </c>
      <c r="F338" s="2" t="s">
        <v>13</v>
      </c>
      <c r="G338" s="2" t="s">
        <v>14</v>
      </c>
      <c r="H338" s="4">
        <v>100223</v>
      </c>
      <c r="I338" s="4">
        <v>92400</v>
      </c>
    </row>
    <row r="339" spans="1:9" x14ac:dyDescent="0.3">
      <c r="A339" s="2" t="s">
        <v>371</v>
      </c>
      <c r="B339" s="3">
        <v>45707</v>
      </c>
      <c r="C339" s="2" t="s">
        <v>31</v>
      </c>
      <c r="D339" s="2" t="s">
        <v>11</v>
      </c>
      <c r="E339" s="2" t="s">
        <v>17</v>
      </c>
      <c r="F339" s="2" t="s">
        <v>56</v>
      </c>
      <c r="G339" s="2" t="s">
        <v>19</v>
      </c>
      <c r="H339" s="4">
        <v>103311</v>
      </c>
      <c r="I339" s="4">
        <v>101200</v>
      </c>
    </row>
    <row r="340" spans="1:9" x14ac:dyDescent="0.3">
      <c r="A340" s="2" t="s">
        <v>372</v>
      </c>
      <c r="B340" s="3">
        <v>45707</v>
      </c>
      <c r="C340" s="2" t="s">
        <v>55</v>
      </c>
      <c r="D340" s="2" t="s">
        <v>11</v>
      </c>
      <c r="E340" s="2" t="s">
        <v>37</v>
      </c>
      <c r="F340" s="2" t="s">
        <v>37</v>
      </c>
      <c r="G340" s="2" t="s">
        <v>14</v>
      </c>
      <c r="H340" s="4">
        <v>84838</v>
      </c>
      <c r="I340" s="4">
        <v>85600</v>
      </c>
    </row>
    <row r="341" spans="1:9" x14ac:dyDescent="0.3">
      <c r="A341" s="2" t="s">
        <v>373</v>
      </c>
      <c r="B341" s="3">
        <v>45708</v>
      </c>
      <c r="C341" s="2" t="s">
        <v>10</v>
      </c>
      <c r="D341" s="2" t="s">
        <v>11</v>
      </c>
      <c r="E341" s="2" t="s">
        <v>12</v>
      </c>
      <c r="F341" s="2" t="s">
        <v>46</v>
      </c>
      <c r="G341" s="2" t="s">
        <v>19</v>
      </c>
      <c r="H341" s="4">
        <v>37463</v>
      </c>
      <c r="I341" s="4">
        <v>33000</v>
      </c>
    </row>
    <row r="342" spans="1:9" x14ac:dyDescent="0.3">
      <c r="A342" s="2" t="s">
        <v>374</v>
      </c>
      <c r="B342" s="3">
        <v>45708</v>
      </c>
      <c r="C342" s="2" t="s">
        <v>10</v>
      </c>
      <c r="D342" s="2" t="s">
        <v>11</v>
      </c>
      <c r="E342" s="2" t="s">
        <v>12</v>
      </c>
      <c r="F342" s="2" t="s">
        <v>46</v>
      </c>
      <c r="G342" s="2" t="s">
        <v>19</v>
      </c>
      <c r="H342" s="4">
        <v>92253</v>
      </c>
      <c r="I342" s="4">
        <v>96700</v>
      </c>
    </row>
    <row r="343" spans="1:9" x14ac:dyDescent="0.3">
      <c r="A343" s="2" t="s">
        <v>375</v>
      </c>
      <c r="B343" s="3">
        <v>45708</v>
      </c>
      <c r="C343" s="2" t="s">
        <v>16</v>
      </c>
      <c r="D343" s="2" t="s">
        <v>11</v>
      </c>
      <c r="E343" s="2" t="s">
        <v>17</v>
      </c>
      <c r="F343" s="2" t="s">
        <v>39</v>
      </c>
      <c r="G343" s="2" t="s">
        <v>19</v>
      </c>
      <c r="H343" s="4">
        <v>100183</v>
      </c>
      <c r="I343" s="4">
        <v>100300</v>
      </c>
    </row>
    <row r="344" spans="1:9" x14ac:dyDescent="0.3">
      <c r="A344" s="2" t="s">
        <v>376</v>
      </c>
      <c r="B344" s="3">
        <v>45708</v>
      </c>
      <c r="C344" s="2" t="s">
        <v>16</v>
      </c>
      <c r="D344" s="2" t="s">
        <v>11</v>
      </c>
      <c r="E344" s="2" t="s">
        <v>17</v>
      </c>
      <c r="F344" s="2" t="s">
        <v>23</v>
      </c>
      <c r="G344" s="2" t="s">
        <v>14</v>
      </c>
      <c r="H344" s="4">
        <v>66660</v>
      </c>
      <c r="I344" s="4">
        <v>70600</v>
      </c>
    </row>
    <row r="345" spans="1:9" x14ac:dyDescent="0.3">
      <c r="A345" s="2" t="s">
        <v>377</v>
      </c>
      <c r="B345" s="3">
        <v>45708</v>
      </c>
      <c r="C345" s="2" t="s">
        <v>16</v>
      </c>
      <c r="D345" s="2" t="s">
        <v>11</v>
      </c>
      <c r="E345" s="2" t="s">
        <v>17</v>
      </c>
      <c r="F345" s="2" t="s">
        <v>12</v>
      </c>
      <c r="G345" s="2" t="s">
        <v>14</v>
      </c>
      <c r="H345" s="4">
        <v>85292</v>
      </c>
      <c r="I345" s="4">
        <v>90600</v>
      </c>
    </row>
    <row r="346" spans="1:9" x14ac:dyDescent="0.3">
      <c r="A346" s="2" t="s">
        <v>378</v>
      </c>
      <c r="B346" s="3">
        <v>45708</v>
      </c>
      <c r="C346" s="2" t="s">
        <v>36</v>
      </c>
      <c r="D346" s="2" t="s">
        <v>11</v>
      </c>
      <c r="E346" s="2" t="s">
        <v>37</v>
      </c>
      <c r="F346" s="2" t="s">
        <v>33</v>
      </c>
      <c r="G346" s="2" t="s">
        <v>19</v>
      </c>
      <c r="H346" s="4">
        <v>84260</v>
      </c>
      <c r="I346" s="4">
        <v>75300</v>
      </c>
    </row>
    <row r="347" spans="1:9" x14ac:dyDescent="0.3">
      <c r="A347" s="2" t="s">
        <v>379</v>
      </c>
      <c r="B347" s="3">
        <v>45708</v>
      </c>
      <c r="C347" s="2" t="s">
        <v>36</v>
      </c>
      <c r="D347" s="2" t="s">
        <v>11</v>
      </c>
      <c r="E347" s="2" t="s">
        <v>37</v>
      </c>
      <c r="F347" s="2" t="s">
        <v>12</v>
      </c>
      <c r="G347" s="2" t="s">
        <v>14</v>
      </c>
      <c r="H347" s="4">
        <v>132488</v>
      </c>
      <c r="I347" s="4">
        <v>123600</v>
      </c>
    </row>
    <row r="348" spans="1:9" x14ac:dyDescent="0.3">
      <c r="A348" s="2" t="s">
        <v>380</v>
      </c>
      <c r="B348" s="3">
        <v>45708</v>
      </c>
      <c r="C348" s="2" t="s">
        <v>31</v>
      </c>
      <c r="D348" s="2" t="s">
        <v>11</v>
      </c>
      <c r="E348" s="2" t="s">
        <v>17</v>
      </c>
      <c r="F348" s="2" t="s">
        <v>37</v>
      </c>
      <c r="G348" s="2" t="s">
        <v>14</v>
      </c>
      <c r="H348" s="4">
        <v>53532</v>
      </c>
      <c r="I348" s="4">
        <v>51000</v>
      </c>
    </row>
    <row r="349" spans="1:9" x14ac:dyDescent="0.3">
      <c r="A349" s="2" t="s">
        <v>381</v>
      </c>
      <c r="B349" s="3">
        <v>45709</v>
      </c>
      <c r="C349" s="2" t="s">
        <v>62</v>
      </c>
      <c r="D349" s="2" t="s">
        <v>11</v>
      </c>
      <c r="E349" s="2" t="s">
        <v>22</v>
      </c>
      <c r="F349" s="2" t="s">
        <v>39</v>
      </c>
      <c r="G349" s="2" t="s">
        <v>19</v>
      </c>
      <c r="H349" s="4">
        <v>85392</v>
      </c>
      <c r="I349" s="4">
        <v>89500</v>
      </c>
    </row>
    <row r="350" spans="1:9" x14ac:dyDescent="0.3">
      <c r="A350" s="2" t="s">
        <v>382</v>
      </c>
      <c r="B350" s="3">
        <v>45709</v>
      </c>
      <c r="C350" s="2" t="s">
        <v>10</v>
      </c>
      <c r="D350" s="2" t="s">
        <v>11</v>
      </c>
      <c r="E350" s="2" t="s">
        <v>12</v>
      </c>
      <c r="F350" s="2" t="s">
        <v>56</v>
      </c>
      <c r="G350" s="2" t="s">
        <v>19</v>
      </c>
      <c r="H350" s="4">
        <v>95371</v>
      </c>
      <c r="I350" s="4">
        <v>87600</v>
      </c>
    </row>
    <row r="351" spans="1:9" x14ac:dyDescent="0.3">
      <c r="A351" s="2" t="s">
        <v>383</v>
      </c>
      <c r="B351" s="3">
        <v>45709</v>
      </c>
      <c r="C351" s="2" t="s">
        <v>10</v>
      </c>
      <c r="D351" s="2" t="s">
        <v>11</v>
      </c>
      <c r="E351" s="2" t="s">
        <v>12</v>
      </c>
      <c r="F351" s="2" t="s">
        <v>13</v>
      </c>
      <c r="G351" s="2" t="s">
        <v>14</v>
      </c>
      <c r="H351" s="4">
        <v>85101</v>
      </c>
      <c r="I351" s="4">
        <v>86600</v>
      </c>
    </row>
    <row r="352" spans="1:9" x14ac:dyDescent="0.3">
      <c r="A352" s="2" t="s">
        <v>384</v>
      </c>
      <c r="B352" s="3">
        <v>45709</v>
      </c>
      <c r="C352" s="2" t="s">
        <v>16</v>
      </c>
      <c r="D352" s="2" t="s">
        <v>11</v>
      </c>
      <c r="E352" s="2" t="s">
        <v>17</v>
      </c>
      <c r="F352" s="2" t="s">
        <v>12</v>
      </c>
      <c r="G352" s="2" t="s">
        <v>14</v>
      </c>
      <c r="H352" s="4">
        <v>103593</v>
      </c>
      <c r="I352" s="4">
        <v>104800</v>
      </c>
    </row>
    <row r="353" spans="1:9" x14ac:dyDescent="0.3">
      <c r="A353" s="2" t="s">
        <v>385</v>
      </c>
      <c r="B353" s="3">
        <v>45709</v>
      </c>
      <c r="C353" s="2" t="s">
        <v>36</v>
      </c>
      <c r="D353" s="2" t="s">
        <v>11</v>
      </c>
      <c r="E353" s="2" t="s">
        <v>37</v>
      </c>
      <c r="F353" s="2" t="s">
        <v>39</v>
      </c>
      <c r="G353" s="2" t="s">
        <v>19</v>
      </c>
      <c r="H353" s="4">
        <v>113919</v>
      </c>
      <c r="I353" s="4">
        <v>109200</v>
      </c>
    </row>
    <row r="354" spans="1:9" x14ac:dyDescent="0.3">
      <c r="A354" s="2" t="s">
        <v>386</v>
      </c>
      <c r="B354" s="3">
        <v>45709</v>
      </c>
      <c r="C354" s="2" t="s">
        <v>21</v>
      </c>
      <c r="D354" s="2" t="s">
        <v>11</v>
      </c>
      <c r="E354" s="2" t="s">
        <v>22</v>
      </c>
      <c r="F354" s="2" t="s">
        <v>37</v>
      </c>
      <c r="G354" s="2" t="s">
        <v>14</v>
      </c>
      <c r="H354" s="4">
        <v>134599</v>
      </c>
      <c r="I354" s="4">
        <v>133600</v>
      </c>
    </row>
    <row r="355" spans="1:9" x14ac:dyDescent="0.3">
      <c r="A355" s="2" t="s">
        <v>387</v>
      </c>
      <c r="B355" s="3">
        <v>45709</v>
      </c>
      <c r="C355" s="2" t="s">
        <v>25</v>
      </c>
      <c r="D355" s="2" t="s">
        <v>11</v>
      </c>
      <c r="E355" s="2" t="s">
        <v>22</v>
      </c>
      <c r="F355" s="2" t="s">
        <v>37</v>
      </c>
      <c r="G355" s="2" t="s">
        <v>14</v>
      </c>
      <c r="H355" s="4">
        <v>200033</v>
      </c>
      <c r="I355" s="4">
        <v>193100</v>
      </c>
    </row>
    <row r="356" spans="1:9" x14ac:dyDescent="0.3">
      <c r="A356" s="2" t="s">
        <v>388</v>
      </c>
      <c r="B356" s="3">
        <v>45710</v>
      </c>
      <c r="C356" s="2" t="s">
        <v>62</v>
      </c>
      <c r="D356" s="2" t="s">
        <v>11</v>
      </c>
      <c r="E356" s="2" t="s">
        <v>22</v>
      </c>
      <c r="F356" s="2" t="s">
        <v>33</v>
      </c>
      <c r="G356" s="2" t="s">
        <v>19</v>
      </c>
      <c r="H356" s="4">
        <v>118449</v>
      </c>
      <c r="I356" s="4">
        <v>113300</v>
      </c>
    </row>
    <row r="357" spans="1:9" x14ac:dyDescent="0.3">
      <c r="A357" s="2" t="s">
        <v>389</v>
      </c>
      <c r="B357" s="3">
        <v>45710</v>
      </c>
      <c r="C357" s="2" t="s">
        <v>62</v>
      </c>
      <c r="D357" s="2" t="s">
        <v>11</v>
      </c>
      <c r="E357" s="2" t="s">
        <v>22</v>
      </c>
      <c r="F357" s="2" t="s">
        <v>56</v>
      </c>
      <c r="G357" s="2" t="s">
        <v>19</v>
      </c>
      <c r="H357" s="4">
        <v>17318</v>
      </c>
      <c r="I357" s="4">
        <v>15900</v>
      </c>
    </row>
    <row r="358" spans="1:9" x14ac:dyDescent="0.3">
      <c r="A358" s="2" t="s">
        <v>390</v>
      </c>
      <c r="B358" s="3">
        <v>45710</v>
      </c>
      <c r="C358" s="2" t="s">
        <v>62</v>
      </c>
      <c r="D358" s="2" t="s">
        <v>11</v>
      </c>
      <c r="E358" s="2" t="s">
        <v>22</v>
      </c>
      <c r="F358" s="2" t="s">
        <v>23</v>
      </c>
      <c r="G358" s="2" t="s">
        <v>14</v>
      </c>
      <c r="H358" s="4">
        <v>217202</v>
      </c>
      <c r="I358" s="4">
        <v>213900</v>
      </c>
    </row>
    <row r="359" spans="1:9" x14ac:dyDescent="0.3">
      <c r="A359" s="2" t="s">
        <v>391</v>
      </c>
      <c r="B359" s="3">
        <v>45710</v>
      </c>
      <c r="C359" s="2" t="s">
        <v>10</v>
      </c>
      <c r="D359" s="2" t="s">
        <v>11</v>
      </c>
      <c r="E359" s="2" t="s">
        <v>12</v>
      </c>
      <c r="F359" s="2" t="s">
        <v>26</v>
      </c>
      <c r="G359" s="2" t="s">
        <v>14</v>
      </c>
      <c r="H359" s="4">
        <v>156762</v>
      </c>
      <c r="I359" s="4">
        <v>168500</v>
      </c>
    </row>
    <row r="360" spans="1:9" x14ac:dyDescent="0.3">
      <c r="A360" s="2" t="s">
        <v>392</v>
      </c>
      <c r="B360" s="3">
        <v>45710</v>
      </c>
      <c r="C360" s="2" t="s">
        <v>36</v>
      </c>
      <c r="D360" s="2" t="s">
        <v>11</v>
      </c>
      <c r="E360" s="2" t="s">
        <v>37</v>
      </c>
      <c r="F360" s="2" t="s">
        <v>37</v>
      </c>
      <c r="G360" s="2" t="s">
        <v>14</v>
      </c>
      <c r="H360" s="4">
        <v>211374</v>
      </c>
      <c r="I360" s="4">
        <v>201500</v>
      </c>
    </row>
    <row r="361" spans="1:9" x14ac:dyDescent="0.3">
      <c r="A361" s="2" t="s">
        <v>393</v>
      </c>
      <c r="B361" s="3">
        <v>45710</v>
      </c>
      <c r="C361" s="2" t="s">
        <v>21</v>
      </c>
      <c r="D361" s="2" t="s">
        <v>11</v>
      </c>
      <c r="E361" s="2" t="s">
        <v>22</v>
      </c>
      <c r="F361" s="2" t="s">
        <v>56</v>
      </c>
      <c r="G361" s="2" t="s">
        <v>19</v>
      </c>
      <c r="H361" s="4">
        <v>37111</v>
      </c>
      <c r="I361" s="4">
        <v>33100</v>
      </c>
    </row>
    <row r="362" spans="1:9" x14ac:dyDescent="0.3">
      <c r="A362" s="2" t="s">
        <v>394</v>
      </c>
      <c r="B362" s="3">
        <v>45710</v>
      </c>
      <c r="C362" s="2" t="s">
        <v>21</v>
      </c>
      <c r="D362" s="2" t="s">
        <v>11</v>
      </c>
      <c r="E362" s="2" t="s">
        <v>22</v>
      </c>
      <c r="F362" s="2" t="s">
        <v>39</v>
      </c>
      <c r="G362" s="2" t="s">
        <v>19</v>
      </c>
      <c r="H362" s="4">
        <v>79388</v>
      </c>
      <c r="I362" s="4">
        <v>93600</v>
      </c>
    </row>
    <row r="363" spans="1:9" x14ac:dyDescent="0.3">
      <c r="A363" s="2" t="s">
        <v>395</v>
      </c>
      <c r="B363" s="3">
        <v>45710</v>
      </c>
      <c r="C363" s="2" t="s">
        <v>25</v>
      </c>
      <c r="D363" s="2" t="s">
        <v>11</v>
      </c>
      <c r="E363" s="2" t="s">
        <v>22</v>
      </c>
      <c r="F363" s="2" t="s">
        <v>42</v>
      </c>
      <c r="G363" s="2" t="s">
        <v>19</v>
      </c>
      <c r="H363" s="4">
        <v>36015</v>
      </c>
      <c r="I363" s="4">
        <v>39500</v>
      </c>
    </row>
    <row r="364" spans="1:9" x14ac:dyDescent="0.3">
      <c r="A364" s="2" t="s">
        <v>396</v>
      </c>
      <c r="B364" s="3">
        <v>45710</v>
      </c>
      <c r="C364" s="2" t="s">
        <v>31</v>
      </c>
      <c r="D364" s="2" t="s">
        <v>11</v>
      </c>
      <c r="E364" s="2" t="s">
        <v>17</v>
      </c>
      <c r="F364" s="2" t="s">
        <v>56</v>
      </c>
      <c r="G364" s="2" t="s">
        <v>19</v>
      </c>
      <c r="H364" s="4">
        <v>65655</v>
      </c>
      <c r="I364" s="4">
        <v>76800</v>
      </c>
    </row>
    <row r="365" spans="1:9" x14ac:dyDescent="0.3">
      <c r="A365" s="2" t="s">
        <v>397</v>
      </c>
      <c r="B365" s="3">
        <v>45710</v>
      </c>
      <c r="C365" s="2" t="s">
        <v>55</v>
      </c>
      <c r="D365" s="2" t="s">
        <v>11</v>
      </c>
      <c r="E365" s="2" t="s">
        <v>37</v>
      </c>
      <c r="F365" s="2" t="s">
        <v>13</v>
      </c>
      <c r="G365" s="2" t="s">
        <v>14</v>
      </c>
      <c r="H365" s="4">
        <v>100663</v>
      </c>
      <c r="I365" s="4">
        <v>101200</v>
      </c>
    </row>
    <row r="366" spans="1:9" x14ac:dyDescent="0.3">
      <c r="A366" s="2" t="s">
        <v>398</v>
      </c>
      <c r="B366" s="3">
        <v>45711</v>
      </c>
      <c r="C366" s="2" t="s">
        <v>16</v>
      </c>
      <c r="D366" s="2" t="s">
        <v>11</v>
      </c>
      <c r="E366" s="2" t="s">
        <v>17</v>
      </c>
      <c r="F366" s="2" t="s">
        <v>18</v>
      </c>
      <c r="G366" s="2" t="s">
        <v>19</v>
      </c>
      <c r="H366" s="4">
        <v>84149</v>
      </c>
      <c r="I366" s="4">
        <v>80300</v>
      </c>
    </row>
    <row r="367" spans="1:9" x14ac:dyDescent="0.3">
      <c r="A367" s="2" t="s">
        <v>399</v>
      </c>
      <c r="B367" s="3">
        <v>45711</v>
      </c>
      <c r="C367" s="2" t="s">
        <v>16</v>
      </c>
      <c r="D367" s="2" t="s">
        <v>11</v>
      </c>
      <c r="E367" s="2" t="s">
        <v>17</v>
      </c>
      <c r="F367" s="2" t="s">
        <v>18</v>
      </c>
      <c r="G367" s="2" t="s">
        <v>19</v>
      </c>
      <c r="H367" s="4">
        <v>73708</v>
      </c>
      <c r="I367" s="4">
        <v>58300</v>
      </c>
    </row>
    <row r="368" spans="1:9" x14ac:dyDescent="0.3">
      <c r="A368" s="2" t="s">
        <v>400</v>
      </c>
      <c r="B368" s="3">
        <v>45711</v>
      </c>
      <c r="C368" s="2" t="s">
        <v>16</v>
      </c>
      <c r="D368" s="2" t="s">
        <v>11</v>
      </c>
      <c r="E368" s="2" t="s">
        <v>17</v>
      </c>
      <c r="F368" s="2" t="s">
        <v>23</v>
      </c>
      <c r="G368" s="2" t="s">
        <v>14</v>
      </c>
      <c r="H368" s="4">
        <v>78348</v>
      </c>
      <c r="I368" s="4">
        <v>63300</v>
      </c>
    </row>
    <row r="369" spans="1:9" x14ac:dyDescent="0.3">
      <c r="A369" s="2" t="s">
        <v>401</v>
      </c>
      <c r="B369" s="3">
        <v>45711</v>
      </c>
      <c r="C369" s="2" t="s">
        <v>16</v>
      </c>
      <c r="D369" s="2" t="s">
        <v>11</v>
      </c>
      <c r="E369" s="2" t="s">
        <v>17</v>
      </c>
      <c r="F369" s="2" t="s">
        <v>23</v>
      </c>
      <c r="G369" s="2" t="s">
        <v>14</v>
      </c>
      <c r="H369" s="4">
        <v>169674</v>
      </c>
      <c r="I369" s="4">
        <v>181300</v>
      </c>
    </row>
    <row r="370" spans="1:9" x14ac:dyDescent="0.3">
      <c r="A370" s="2" t="s">
        <v>402</v>
      </c>
      <c r="B370" s="3">
        <v>45711</v>
      </c>
      <c r="C370" s="2" t="s">
        <v>21</v>
      </c>
      <c r="D370" s="2" t="s">
        <v>11</v>
      </c>
      <c r="E370" s="2" t="s">
        <v>22</v>
      </c>
      <c r="F370" s="2" t="s">
        <v>23</v>
      </c>
      <c r="G370" s="2" t="s">
        <v>14</v>
      </c>
      <c r="H370" s="4">
        <v>220838</v>
      </c>
      <c r="I370" s="4">
        <v>221500</v>
      </c>
    </row>
    <row r="371" spans="1:9" x14ac:dyDescent="0.3">
      <c r="A371" s="2" t="s">
        <v>403</v>
      </c>
      <c r="B371" s="3">
        <v>45711</v>
      </c>
      <c r="C371" s="2" t="s">
        <v>21</v>
      </c>
      <c r="D371" s="2" t="s">
        <v>11</v>
      </c>
      <c r="E371" s="2" t="s">
        <v>22</v>
      </c>
      <c r="F371" s="2" t="s">
        <v>23</v>
      </c>
      <c r="G371" s="2" t="s">
        <v>14</v>
      </c>
      <c r="H371" s="4">
        <v>184060</v>
      </c>
      <c r="I371" s="4">
        <v>160300</v>
      </c>
    </row>
    <row r="372" spans="1:9" x14ac:dyDescent="0.3">
      <c r="A372" s="2" t="s">
        <v>404</v>
      </c>
      <c r="B372" s="3">
        <v>45711</v>
      </c>
      <c r="C372" s="2" t="s">
        <v>21</v>
      </c>
      <c r="D372" s="2" t="s">
        <v>11</v>
      </c>
      <c r="E372" s="2" t="s">
        <v>22</v>
      </c>
      <c r="F372" s="2" t="s">
        <v>59</v>
      </c>
      <c r="G372" s="2" t="s">
        <v>14</v>
      </c>
      <c r="H372" s="4">
        <v>56101</v>
      </c>
      <c r="I372" s="4">
        <v>54900</v>
      </c>
    </row>
    <row r="373" spans="1:9" x14ac:dyDescent="0.3">
      <c r="A373" s="2" t="s">
        <v>405</v>
      </c>
      <c r="B373" s="3">
        <v>45711</v>
      </c>
      <c r="C373" s="2" t="s">
        <v>25</v>
      </c>
      <c r="D373" s="2" t="s">
        <v>11</v>
      </c>
      <c r="E373" s="2" t="s">
        <v>22</v>
      </c>
      <c r="F373" s="2" t="s">
        <v>39</v>
      </c>
      <c r="G373" s="2" t="s">
        <v>19</v>
      </c>
      <c r="H373" s="4">
        <v>69833</v>
      </c>
      <c r="I373" s="4">
        <v>80400</v>
      </c>
    </row>
    <row r="374" spans="1:9" x14ac:dyDescent="0.3">
      <c r="A374" s="2" t="s">
        <v>406</v>
      </c>
      <c r="B374" s="3">
        <v>45712</v>
      </c>
      <c r="C374" s="2" t="s">
        <v>16</v>
      </c>
      <c r="D374" s="2" t="s">
        <v>11</v>
      </c>
      <c r="E374" s="2" t="s">
        <v>17</v>
      </c>
      <c r="F374" s="2" t="s">
        <v>12</v>
      </c>
      <c r="G374" s="2" t="s">
        <v>14</v>
      </c>
      <c r="H374" s="4">
        <v>127670</v>
      </c>
      <c r="I374" s="4">
        <v>136600</v>
      </c>
    </row>
    <row r="375" spans="1:9" x14ac:dyDescent="0.3">
      <c r="A375" s="2" t="s">
        <v>407</v>
      </c>
      <c r="B375" s="3">
        <v>45712</v>
      </c>
      <c r="C375" s="2" t="s">
        <v>36</v>
      </c>
      <c r="D375" s="2" t="s">
        <v>11</v>
      </c>
      <c r="E375" s="2" t="s">
        <v>37</v>
      </c>
      <c r="F375" s="2" t="s">
        <v>18</v>
      </c>
      <c r="G375" s="2" t="s">
        <v>19</v>
      </c>
      <c r="H375" s="4">
        <v>107768</v>
      </c>
      <c r="I375" s="4">
        <v>99200</v>
      </c>
    </row>
    <row r="376" spans="1:9" x14ac:dyDescent="0.3">
      <c r="A376" s="2" t="s">
        <v>408</v>
      </c>
      <c r="B376" s="3">
        <v>45712</v>
      </c>
      <c r="C376" s="2" t="s">
        <v>36</v>
      </c>
      <c r="D376" s="2" t="s">
        <v>11</v>
      </c>
      <c r="E376" s="2" t="s">
        <v>37</v>
      </c>
      <c r="F376" s="2" t="s">
        <v>26</v>
      </c>
      <c r="G376" s="2" t="s">
        <v>14</v>
      </c>
      <c r="H376" s="4">
        <v>90973</v>
      </c>
      <c r="I376" s="4">
        <v>96200</v>
      </c>
    </row>
    <row r="377" spans="1:9" x14ac:dyDescent="0.3">
      <c r="A377" s="2" t="s">
        <v>409</v>
      </c>
      <c r="B377" s="3">
        <v>45712</v>
      </c>
      <c r="C377" s="2" t="s">
        <v>25</v>
      </c>
      <c r="D377" s="2" t="s">
        <v>11</v>
      </c>
      <c r="E377" s="2" t="s">
        <v>22</v>
      </c>
      <c r="F377" s="2" t="s">
        <v>18</v>
      </c>
      <c r="G377" s="2" t="s">
        <v>19</v>
      </c>
      <c r="H377" s="4">
        <v>27226</v>
      </c>
      <c r="I377" s="4">
        <v>30500</v>
      </c>
    </row>
    <row r="378" spans="1:9" x14ac:dyDescent="0.3">
      <c r="A378" s="2" t="s">
        <v>410</v>
      </c>
      <c r="B378" s="3">
        <v>45712</v>
      </c>
      <c r="C378" s="2" t="s">
        <v>31</v>
      </c>
      <c r="D378" s="2" t="s">
        <v>11</v>
      </c>
      <c r="E378" s="2" t="s">
        <v>17</v>
      </c>
      <c r="F378" s="2" t="s">
        <v>13</v>
      </c>
      <c r="G378" s="2" t="s">
        <v>14</v>
      </c>
      <c r="H378" s="4">
        <v>199383</v>
      </c>
      <c r="I378" s="4">
        <v>166700</v>
      </c>
    </row>
    <row r="379" spans="1:9" x14ac:dyDescent="0.3">
      <c r="A379" s="2" t="s">
        <v>411</v>
      </c>
      <c r="B379" s="3">
        <v>45712</v>
      </c>
      <c r="C379" s="2" t="s">
        <v>55</v>
      </c>
      <c r="D379" s="2" t="s">
        <v>11</v>
      </c>
      <c r="E379" s="2" t="s">
        <v>37</v>
      </c>
      <c r="F379" s="2" t="s">
        <v>56</v>
      </c>
      <c r="G379" s="2" t="s">
        <v>19</v>
      </c>
      <c r="H379" s="4">
        <v>48936</v>
      </c>
      <c r="I379" s="4">
        <v>49700</v>
      </c>
    </row>
    <row r="380" spans="1:9" x14ac:dyDescent="0.3">
      <c r="A380" s="2" t="s">
        <v>412</v>
      </c>
      <c r="B380" s="3">
        <v>45712</v>
      </c>
      <c r="C380" s="2" t="s">
        <v>55</v>
      </c>
      <c r="D380" s="2" t="s">
        <v>11</v>
      </c>
      <c r="E380" s="2" t="s">
        <v>37</v>
      </c>
      <c r="F380" s="2" t="s">
        <v>26</v>
      </c>
      <c r="G380" s="2" t="s">
        <v>14</v>
      </c>
      <c r="H380" s="4">
        <v>237663</v>
      </c>
      <c r="I380" s="4">
        <v>224600</v>
      </c>
    </row>
    <row r="381" spans="1:9" x14ac:dyDescent="0.3">
      <c r="A381" s="2" t="s">
        <v>413</v>
      </c>
      <c r="B381" s="3">
        <v>45713</v>
      </c>
      <c r="C381" s="2" t="s">
        <v>62</v>
      </c>
      <c r="D381" s="2" t="s">
        <v>11</v>
      </c>
      <c r="E381" s="2" t="s">
        <v>22</v>
      </c>
      <c r="F381" s="2" t="s">
        <v>59</v>
      </c>
      <c r="G381" s="2" t="s">
        <v>14</v>
      </c>
      <c r="H381" s="4">
        <v>93541</v>
      </c>
      <c r="I381" s="4">
        <v>104000</v>
      </c>
    </row>
    <row r="382" spans="1:9" x14ac:dyDescent="0.3">
      <c r="A382" s="2" t="s">
        <v>414</v>
      </c>
      <c r="B382" s="3">
        <v>45713</v>
      </c>
      <c r="C382" s="2" t="s">
        <v>16</v>
      </c>
      <c r="D382" s="2" t="s">
        <v>11</v>
      </c>
      <c r="E382" s="2" t="s">
        <v>17</v>
      </c>
      <c r="F382" s="2" t="s">
        <v>56</v>
      </c>
      <c r="G382" s="2" t="s">
        <v>19</v>
      </c>
      <c r="H382" s="4">
        <v>57363</v>
      </c>
      <c r="I382" s="4">
        <v>65600</v>
      </c>
    </row>
    <row r="383" spans="1:9" x14ac:dyDescent="0.3">
      <c r="A383" s="2" t="s">
        <v>415</v>
      </c>
      <c r="B383" s="3">
        <v>45713</v>
      </c>
      <c r="C383" s="2" t="s">
        <v>36</v>
      </c>
      <c r="D383" s="2" t="s">
        <v>11</v>
      </c>
      <c r="E383" s="2" t="s">
        <v>37</v>
      </c>
      <c r="F383" s="2" t="s">
        <v>42</v>
      </c>
      <c r="G383" s="2" t="s">
        <v>19</v>
      </c>
      <c r="H383" s="4">
        <v>58746</v>
      </c>
      <c r="I383" s="4">
        <v>62700</v>
      </c>
    </row>
    <row r="384" spans="1:9" x14ac:dyDescent="0.3">
      <c r="A384" s="2" t="s">
        <v>416</v>
      </c>
      <c r="B384" s="3">
        <v>45713</v>
      </c>
      <c r="C384" s="2" t="s">
        <v>21</v>
      </c>
      <c r="D384" s="2" t="s">
        <v>11</v>
      </c>
      <c r="E384" s="2" t="s">
        <v>22</v>
      </c>
      <c r="F384" s="2" t="s">
        <v>26</v>
      </c>
      <c r="G384" s="2" t="s">
        <v>14</v>
      </c>
      <c r="H384" s="4">
        <v>76797</v>
      </c>
      <c r="I384" s="4">
        <v>75600</v>
      </c>
    </row>
    <row r="385" spans="1:9" x14ac:dyDescent="0.3">
      <c r="A385" s="2" t="s">
        <v>417</v>
      </c>
      <c r="B385" s="3">
        <v>45713</v>
      </c>
      <c r="C385" s="2" t="s">
        <v>25</v>
      </c>
      <c r="D385" s="2" t="s">
        <v>11</v>
      </c>
      <c r="E385" s="2" t="s">
        <v>22</v>
      </c>
      <c r="F385" s="2" t="s">
        <v>13</v>
      </c>
      <c r="G385" s="2" t="s">
        <v>14</v>
      </c>
      <c r="H385" s="4">
        <v>75647</v>
      </c>
      <c r="I385" s="4">
        <v>67800</v>
      </c>
    </row>
    <row r="386" spans="1:9" x14ac:dyDescent="0.3">
      <c r="A386" s="2" t="s">
        <v>418</v>
      </c>
      <c r="B386" s="3">
        <v>45713</v>
      </c>
      <c r="C386" s="2" t="s">
        <v>31</v>
      </c>
      <c r="D386" s="2" t="s">
        <v>11</v>
      </c>
      <c r="E386" s="2" t="s">
        <v>17</v>
      </c>
      <c r="F386" s="2" t="s">
        <v>23</v>
      </c>
      <c r="G386" s="2" t="s">
        <v>14</v>
      </c>
      <c r="H386" s="4">
        <v>171391</v>
      </c>
      <c r="I386" s="4">
        <v>169400</v>
      </c>
    </row>
    <row r="387" spans="1:9" x14ac:dyDescent="0.3">
      <c r="A387" s="2" t="s">
        <v>419</v>
      </c>
      <c r="B387" s="3">
        <v>45714</v>
      </c>
      <c r="C387" s="2" t="s">
        <v>36</v>
      </c>
      <c r="D387" s="2" t="s">
        <v>11</v>
      </c>
      <c r="E387" s="2" t="s">
        <v>37</v>
      </c>
      <c r="F387" s="2" t="s">
        <v>42</v>
      </c>
      <c r="G387" s="2" t="s">
        <v>19</v>
      </c>
      <c r="H387" s="4">
        <v>117882</v>
      </c>
      <c r="I387" s="4">
        <v>122100</v>
      </c>
    </row>
    <row r="388" spans="1:9" x14ac:dyDescent="0.3">
      <c r="A388" s="2" t="s">
        <v>420</v>
      </c>
      <c r="B388" s="3">
        <v>45714</v>
      </c>
      <c r="C388" s="2" t="s">
        <v>36</v>
      </c>
      <c r="D388" s="2" t="s">
        <v>11</v>
      </c>
      <c r="E388" s="2" t="s">
        <v>37</v>
      </c>
      <c r="F388" s="2" t="s">
        <v>13</v>
      </c>
      <c r="G388" s="2" t="s">
        <v>14</v>
      </c>
      <c r="H388" s="4">
        <v>172440</v>
      </c>
      <c r="I388" s="4">
        <v>180700</v>
      </c>
    </row>
    <row r="389" spans="1:9" x14ac:dyDescent="0.3">
      <c r="A389" s="2" t="s">
        <v>421</v>
      </c>
      <c r="B389" s="3">
        <v>45714</v>
      </c>
      <c r="C389" s="2" t="s">
        <v>21</v>
      </c>
      <c r="D389" s="2" t="s">
        <v>11</v>
      </c>
      <c r="E389" s="2" t="s">
        <v>22</v>
      </c>
      <c r="F389" s="2" t="s">
        <v>12</v>
      </c>
      <c r="G389" s="2" t="s">
        <v>14</v>
      </c>
      <c r="H389" s="4">
        <v>50242</v>
      </c>
      <c r="I389" s="4">
        <v>49700</v>
      </c>
    </row>
    <row r="390" spans="1:9" x14ac:dyDescent="0.3">
      <c r="A390" s="2" t="s">
        <v>422</v>
      </c>
      <c r="B390" s="3">
        <v>45714</v>
      </c>
      <c r="C390" s="2" t="s">
        <v>25</v>
      </c>
      <c r="D390" s="2" t="s">
        <v>11</v>
      </c>
      <c r="E390" s="2" t="s">
        <v>22</v>
      </c>
      <c r="F390" s="2" t="s">
        <v>23</v>
      </c>
      <c r="G390" s="2" t="s">
        <v>14</v>
      </c>
      <c r="H390" s="4">
        <v>126629</v>
      </c>
      <c r="I390" s="4">
        <v>105300</v>
      </c>
    </row>
    <row r="391" spans="1:9" x14ac:dyDescent="0.3">
      <c r="A391" s="2" t="s">
        <v>423</v>
      </c>
      <c r="B391" s="3">
        <v>45714</v>
      </c>
      <c r="C391" s="2" t="s">
        <v>25</v>
      </c>
      <c r="D391" s="2" t="s">
        <v>11</v>
      </c>
      <c r="E391" s="2" t="s">
        <v>22</v>
      </c>
      <c r="F391" s="2" t="s">
        <v>12</v>
      </c>
      <c r="G391" s="2" t="s">
        <v>14</v>
      </c>
      <c r="H391" s="4">
        <v>243890</v>
      </c>
      <c r="I391" s="4">
        <v>218200</v>
      </c>
    </row>
    <row r="392" spans="1:9" x14ac:dyDescent="0.3">
      <c r="A392" s="2" t="s">
        <v>424</v>
      </c>
      <c r="B392" s="3">
        <v>45714</v>
      </c>
      <c r="C392" s="2" t="s">
        <v>25</v>
      </c>
      <c r="D392" s="2" t="s">
        <v>11</v>
      </c>
      <c r="E392" s="2" t="s">
        <v>22</v>
      </c>
      <c r="F392" s="2" t="s">
        <v>12</v>
      </c>
      <c r="G392" s="2" t="s">
        <v>14</v>
      </c>
      <c r="H392" s="4">
        <v>27000</v>
      </c>
      <c r="I392" s="4">
        <v>24500</v>
      </c>
    </row>
    <row r="393" spans="1:9" x14ac:dyDescent="0.3">
      <c r="A393" s="2" t="s">
        <v>425</v>
      </c>
      <c r="B393" s="3">
        <v>45714</v>
      </c>
      <c r="C393" s="2" t="s">
        <v>31</v>
      </c>
      <c r="D393" s="2" t="s">
        <v>11</v>
      </c>
      <c r="E393" s="2" t="s">
        <v>17</v>
      </c>
      <c r="F393" s="2" t="s">
        <v>42</v>
      </c>
      <c r="G393" s="2" t="s">
        <v>19</v>
      </c>
      <c r="H393" s="4">
        <v>60378</v>
      </c>
      <c r="I393" s="4">
        <v>56000</v>
      </c>
    </row>
    <row r="394" spans="1:9" x14ac:dyDescent="0.3">
      <c r="A394" s="2" t="s">
        <v>426</v>
      </c>
      <c r="B394" s="3">
        <v>45714</v>
      </c>
      <c r="C394" s="2" t="s">
        <v>31</v>
      </c>
      <c r="D394" s="2" t="s">
        <v>11</v>
      </c>
      <c r="E394" s="2" t="s">
        <v>17</v>
      </c>
      <c r="F394" s="2" t="s">
        <v>33</v>
      </c>
      <c r="G394" s="2" t="s">
        <v>19</v>
      </c>
      <c r="H394" s="4">
        <v>49009</v>
      </c>
      <c r="I394" s="4">
        <v>45900</v>
      </c>
    </row>
    <row r="395" spans="1:9" x14ac:dyDescent="0.3">
      <c r="A395" s="2" t="s">
        <v>427</v>
      </c>
      <c r="B395" s="3">
        <v>45714</v>
      </c>
      <c r="C395" s="2" t="s">
        <v>31</v>
      </c>
      <c r="D395" s="2" t="s">
        <v>11</v>
      </c>
      <c r="E395" s="2" t="s">
        <v>17</v>
      </c>
      <c r="F395" s="2" t="s">
        <v>59</v>
      </c>
      <c r="G395" s="2" t="s">
        <v>14</v>
      </c>
      <c r="H395" s="4">
        <v>177440</v>
      </c>
      <c r="I395" s="4">
        <v>158200</v>
      </c>
    </row>
    <row r="396" spans="1:9" x14ac:dyDescent="0.3">
      <c r="A396" s="2" t="s">
        <v>428</v>
      </c>
      <c r="B396" s="3">
        <v>45714</v>
      </c>
      <c r="C396" s="2" t="s">
        <v>55</v>
      </c>
      <c r="D396" s="2" t="s">
        <v>11</v>
      </c>
      <c r="E396" s="2" t="s">
        <v>37</v>
      </c>
      <c r="F396" s="2" t="s">
        <v>12</v>
      </c>
      <c r="G396" s="2" t="s">
        <v>14</v>
      </c>
      <c r="H396" s="4">
        <v>181344</v>
      </c>
      <c r="I396" s="4">
        <v>191200</v>
      </c>
    </row>
    <row r="397" spans="1:9" x14ac:dyDescent="0.3">
      <c r="A397" s="2" t="s">
        <v>429</v>
      </c>
      <c r="B397" s="3">
        <v>45715</v>
      </c>
      <c r="C397" s="2" t="s">
        <v>62</v>
      </c>
      <c r="D397" s="2" t="s">
        <v>11</v>
      </c>
      <c r="E397" s="2" t="s">
        <v>22</v>
      </c>
      <c r="F397" s="2" t="s">
        <v>46</v>
      </c>
      <c r="G397" s="2" t="s">
        <v>19</v>
      </c>
      <c r="H397" s="4">
        <v>50879</v>
      </c>
      <c r="I397" s="4">
        <v>53600</v>
      </c>
    </row>
    <row r="398" spans="1:9" x14ac:dyDescent="0.3">
      <c r="A398" s="2" t="s">
        <v>430</v>
      </c>
      <c r="B398" s="3">
        <v>45715</v>
      </c>
      <c r="C398" s="2" t="s">
        <v>62</v>
      </c>
      <c r="D398" s="2" t="s">
        <v>11</v>
      </c>
      <c r="E398" s="2" t="s">
        <v>22</v>
      </c>
      <c r="F398" s="2" t="s">
        <v>59</v>
      </c>
      <c r="G398" s="2" t="s">
        <v>14</v>
      </c>
      <c r="H398" s="4">
        <v>176164</v>
      </c>
      <c r="I398" s="4">
        <v>180300</v>
      </c>
    </row>
    <row r="399" spans="1:9" x14ac:dyDescent="0.3">
      <c r="A399" s="2" t="s">
        <v>431</v>
      </c>
      <c r="B399" s="3">
        <v>45715</v>
      </c>
      <c r="C399" s="2" t="s">
        <v>36</v>
      </c>
      <c r="D399" s="2" t="s">
        <v>11</v>
      </c>
      <c r="E399" s="2" t="s">
        <v>37</v>
      </c>
      <c r="F399" s="2" t="s">
        <v>18</v>
      </c>
      <c r="G399" s="2" t="s">
        <v>19</v>
      </c>
      <c r="H399" s="4">
        <v>16777</v>
      </c>
      <c r="I399" s="4">
        <v>15600</v>
      </c>
    </row>
    <row r="400" spans="1:9" x14ac:dyDescent="0.3">
      <c r="A400" s="2" t="s">
        <v>432</v>
      </c>
      <c r="B400" s="3">
        <v>45715</v>
      </c>
      <c r="C400" s="2" t="s">
        <v>21</v>
      </c>
      <c r="D400" s="2" t="s">
        <v>11</v>
      </c>
      <c r="E400" s="2" t="s">
        <v>22</v>
      </c>
      <c r="F400" s="2" t="s">
        <v>33</v>
      </c>
      <c r="G400" s="2" t="s">
        <v>19</v>
      </c>
      <c r="H400" s="4">
        <v>111952</v>
      </c>
      <c r="I400" s="4">
        <v>120100</v>
      </c>
    </row>
    <row r="401" spans="1:9" x14ac:dyDescent="0.3">
      <c r="A401" s="2" t="s">
        <v>433</v>
      </c>
      <c r="B401" s="3">
        <v>45715</v>
      </c>
      <c r="C401" s="2" t="s">
        <v>25</v>
      </c>
      <c r="D401" s="2" t="s">
        <v>11</v>
      </c>
      <c r="E401" s="2" t="s">
        <v>22</v>
      </c>
      <c r="F401" s="2" t="s">
        <v>56</v>
      </c>
      <c r="G401" s="2" t="s">
        <v>19</v>
      </c>
      <c r="H401" s="4">
        <v>99892</v>
      </c>
      <c r="I401" s="4">
        <v>97500</v>
      </c>
    </row>
    <row r="402" spans="1:9" x14ac:dyDescent="0.3">
      <c r="A402" s="2" t="s">
        <v>434</v>
      </c>
      <c r="B402" s="3">
        <v>45715</v>
      </c>
      <c r="C402" s="2" t="s">
        <v>31</v>
      </c>
      <c r="D402" s="2" t="s">
        <v>11</v>
      </c>
      <c r="E402" s="2" t="s">
        <v>17</v>
      </c>
      <c r="F402" s="2" t="s">
        <v>59</v>
      </c>
      <c r="G402" s="2" t="s">
        <v>14</v>
      </c>
      <c r="H402" s="4">
        <v>67027</v>
      </c>
      <c r="I402" s="4">
        <v>71000</v>
      </c>
    </row>
    <row r="403" spans="1:9" x14ac:dyDescent="0.3">
      <c r="A403" s="2" t="s">
        <v>435</v>
      </c>
      <c r="B403" s="3">
        <v>45715</v>
      </c>
      <c r="C403" s="2" t="s">
        <v>55</v>
      </c>
      <c r="D403" s="2" t="s">
        <v>11</v>
      </c>
      <c r="E403" s="2" t="s">
        <v>37</v>
      </c>
      <c r="F403" s="2" t="s">
        <v>37</v>
      </c>
      <c r="G403" s="2" t="s">
        <v>14</v>
      </c>
      <c r="H403" s="4">
        <v>75640</v>
      </c>
      <c r="I403" s="4">
        <v>67500</v>
      </c>
    </row>
    <row r="404" spans="1:9" x14ac:dyDescent="0.3">
      <c r="A404" s="2" t="s">
        <v>436</v>
      </c>
      <c r="B404" s="3">
        <v>45716</v>
      </c>
      <c r="C404" s="2" t="s">
        <v>62</v>
      </c>
      <c r="D404" s="2" t="s">
        <v>11</v>
      </c>
      <c r="E404" s="2" t="s">
        <v>22</v>
      </c>
      <c r="F404" s="2" t="s">
        <v>18</v>
      </c>
      <c r="G404" s="2" t="s">
        <v>19</v>
      </c>
      <c r="H404" s="4">
        <v>66419</v>
      </c>
      <c r="I404" s="4">
        <v>68000</v>
      </c>
    </row>
    <row r="405" spans="1:9" x14ac:dyDescent="0.3">
      <c r="A405" s="2" t="s">
        <v>437</v>
      </c>
      <c r="B405" s="3">
        <v>45716</v>
      </c>
      <c r="C405" s="2" t="s">
        <v>10</v>
      </c>
      <c r="D405" s="2" t="s">
        <v>11</v>
      </c>
      <c r="E405" s="2" t="s">
        <v>12</v>
      </c>
      <c r="F405" s="2" t="s">
        <v>56</v>
      </c>
      <c r="G405" s="2" t="s">
        <v>19</v>
      </c>
      <c r="H405" s="4">
        <v>99876</v>
      </c>
      <c r="I405" s="4">
        <v>99300</v>
      </c>
    </row>
    <row r="406" spans="1:9" x14ac:dyDescent="0.3">
      <c r="A406" s="2" t="s">
        <v>438</v>
      </c>
      <c r="B406" s="3">
        <v>45716</v>
      </c>
      <c r="C406" s="2" t="s">
        <v>10</v>
      </c>
      <c r="D406" s="2" t="s">
        <v>11</v>
      </c>
      <c r="E406" s="2" t="s">
        <v>12</v>
      </c>
      <c r="F406" s="2" t="s">
        <v>12</v>
      </c>
      <c r="G406" s="2" t="s">
        <v>14</v>
      </c>
      <c r="H406" s="4">
        <v>231820</v>
      </c>
      <c r="I406" s="4">
        <v>237000</v>
      </c>
    </row>
    <row r="407" spans="1:9" x14ac:dyDescent="0.3">
      <c r="A407" s="2" t="s">
        <v>439</v>
      </c>
      <c r="B407" s="3">
        <v>45716</v>
      </c>
      <c r="C407" s="2" t="s">
        <v>21</v>
      </c>
      <c r="D407" s="2" t="s">
        <v>11</v>
      </c>
      <c r="E407" s="2" t="s">
        <v>22</v>
      </c>
      <c r="F407" s="2" t="s">
        <v>33</v>
      </c>
      <c r="G407" s="2" t="s">
        <v>19</v>
      </c>
      <c r="H407" s="4">
        <v>111695</v>
      </c>
      <c r="I407" s="4">
        <v>112700</v>
      </c>
    </row>
    <row r="408" spans="1:9" x14ac:dyDescent="0.3">
      <c r="A408" s="2" t="s">
        <v>440</v>
      </c>
      <c r="B408" s="3">
        <v>45716</v>
      </c>
      <c r="C408" s="2" t="s">
        <v>21</v>
      </c>
      <c r="D408" s="2" t="s">
        <v>11</v>
      </c>
      <c r="E408" s="2" t="s">
        <v>22</v>
      </c>
      <c r="F408" s="2" t="s">
        <v>56</v>
      </c>
      <c r="G408" s="2" t="s">
        <v>19</v>
      </c>
      <c r="H408" s="4">
        <v>74896</v>
      </c>
      <c r="I408" s="4">
        <v>79100</v>
      </c>
    </row>
    <row r="409" spans="1:9" x14ac:dyDescent="0.3">
      <c r="A409" s="2" t="s">
        <v>441</v>
      </c>
      <c r="B409" s="3">
        <v>45716</v>
      </c>
      <c r="C409" s="2" t="s">
        <v>25</v>
      </c>
      <c r="D409" s="2" t="s">
        <v>11</v>
      </c>
      <c r="E409" s="2" t="s">
        <v>22</v>
      </c>
      <c r="F409" s="2" t="s">
        <v>42</v>
      </c>
      <c r="G409" s="2" t="s">
        <v>19</v>
      </c>
      <c r="H409" s="4">
        <v>86088</v>
      </c>
      <c r="I409" s="4">
        <v>84500</v>
      </c>
    </row>
    <row r="410" spans="1:9" x14ac:dyDescent="0.3">
      <c r="A410" s="2" t="s">
        <v>442</v>
      </c>
      <c r="B410" s="3">
        <v>45716</v>
      </c>
      <c r="C410" s="2" t="s">
        <v>25</v>
      </c>
      <c r="D410" s="2" t="s">
        <v>11</v>
      </c>
      <c r="E410" s="2" t="s">
        <v>22</v>
      </c>
      <c r="F410" s="2" t="s">
        <v>26</v>
      </c>
      <c r="G410" s="2" t="s">
        <v>14</v>
      </c>
      <c r="H410" s="4">
        <v>174880</v>
      </c>
      <c r="I410" s="4">
        <v>169100</v>
      </c>
    </row>
    <row r="411" spans="1:9" x14ac:dyDescent="0.3">
      <c r="A411" s="2" t="s">
        <v>443</v>
      </c>
      <c r="B411" s="3">
        <v>45716</v>
      </c>
      <c r="C411" s="2" t="s">
        <v>31</v>
      </c>
      <c r="D411" s="2" t="s">
        <v>11</v>
      </c>
      <c r="E411" s="2" t="s">
        <v>17</v>
      </c>
      <c r="F411" s="2" t="s">
        <v>12</v>
      </c>
      <c r="G411" s="2" t="s">
        <v>14</v>
      </c>
      <c r="H411" s="4">
        <v>155284</v>
      </c>
      <c r="I411" s="4">
        <v>153200</v>
      </c>
    </row>
    <row r="412" spans="1:9" x14ac:dyDescent="0.3">
      <c r="A412" s="2" t="s">
        <v>444</v>
      </c>
      <c r="B412" s="3">
        <v>45717</v>
      </c>
      <c r="C412" s="2" t="s">
        <v>62</v>
      </c>
      <c r="D412" s="2" t="s">
        <v>11</v>
      </c>
      <c r="E412" s="2" t="s">
        <v>22</v>
      </c>
      <c r="F412" s="2" t="s">
        <v>18</v>
      </c>
      <c r="G412" s="2" t="s">
        <v>19</v>
      </c>
      <c r="H412" s="4">
        <v>17639</v>
      </c>
      <c r="I412" s="4">
        <v>18200</v>
      </c>
    </row>
    <row r="413" spans="1:9" x14ac:dyDescent="0.3">
      <c r="A413" s="2" t="s">
        <v>445</v>
      </c>
      <c r="B413" s="3">
        <v>45717</v>
      </c>
      <c r="C413" s="2" t="s">
        <v>62</v>
      </c>
      <c r="D413" s="2" t="s">
        <v>11</v>
      </c>
      <c r="E413" s="2" t="s">
        <v>22</v>
      </c>
      <c r="F413" s="2" t="s">
        <v>13</v>
      </c>
      <c r="G413" s="2" t="s">
        <v>14</v>
      </c>
      <c r="H413" s="4">
        <v>226091</v>
      </c>
      <c r="I413" s="4">
        <v>241300</v>
      </c>
    </row>
    <row r="414" spans="1:9" x14ac:dyDescent="0.3">
      <c r="A414" s="2" t="s">
        <v>446</v>
      </c>
      <c r="B414" s="3">
        <v>45717</v>
      </c>
      <c r="C414" s="2" t="s">
        <v>16</v>
      </c>
      <c r="D414" s="2" t="s">
        <v>11</v>
      </c>
      <c r="E414" s="2" t="s">
        <v>17</v>
      </c>
      <c r="F414" s="2" t="s">
        <v>26</v>
      </c>
      <c r="G414" s="2" t="s">
        <v>14</v>
      </c>
      <c r="H414" s="4">
        <v>86507</v>
      </c>
      <c r="I414" s="4">
        <v>86800</v>
      </c>
    </row>
    <row r="415" spans="1:9" x14ac:dyDescent="0.3">
      <c r="A415" s="2" t="s">
        <v>447</v>
      </c>
      <c r="B415" s="3">
        <v>45717</v>
      </c>
      <c r="C415" s="2" t="s">
        <v>36</v>
      </c>
      <c r="D415" s="2" t="s">
        <v>11</v>
      </c>
      <c r="E415" s="2" t="s">
        <v>37</v>
      </c>
      <c r="F415" s="2" t="s">
        <v>26</v>
      </c>
      <c r="G415" s="2" t="s">
        <v>14</v>
      </c>
      <c r="H415" s="4">
        <v>109661</v>
      </c>
      <c r="I415" s="4">
        <v>111200</v>
      </c>
    </row>
    <row r="416" spans="1:9" x14ac:dyDescent="0.3">
      <c r="A416" s="2" t="s">
        <v>448</v>
      </c>
      <c r="B416" s="3">
        <v>45717</v>
      </c>
      <c r="C416" s="2" t="s">
        <v>21</v>
      </c>
      <c r="D416" s="2" t="s">
        <v>11</v>
      </c>
      <c r="E416" s="2" t="s">
        <v>22</v>
      </c>
      <c r="F416" s="2" t="s">
        <v>39</v>
      </c>
      <c r="G416" s="2" t="s">
        <v>19</v>
      </c>
      <c r="H416" s="4">
        <v>112687</v>
      </c>
      <c r="I416" s="4">
        <v>95100</v>
      </c>
    </row>
    <row r="417" spans="1:9" x14ac:dyDescent="0.3">
      <c r="A417" s="2" t="s">
        <v>449</v>
      </c>
      <c r="B417" s="3">
        <v>45717</v>
      </c>
      <c r="C417" s="2" t="s">
        <v>25</v>
      </c>
      <c r="D417" s="2" t="s">
        <v>11</v>
      </c>
      <c r="E417" s="2" t="s">
        <v>22</v>
      </c>
      <c r="F417" s="2" t="s">
        <v>33</v>
      </c>
      <c r="G417" s="2" t="s">
        <v>19</v>
      </c>
      <c r="H417" s="4">
        <v>18389</v>
      </c>
      <c r="I417" s="4">
        <v>20400</v>
      </c>
    </row>
    <row r="418" spans="1:9" x14ac:dyDescent="0.3">
      <c r="A418" s="2" t="s">
        <v>450</v>
      </c>
      <c r="B418" s="3">
        <v>45717</v>
      </c>
      <c r="C418" s="2" t="s">
        <v>25</v>
      </c>
      <c r="D418" s="2" t="s">
        <v>11</v>
      </c>
      <c r="E418" s="2" t="s">
        <v>22</v>
      </c>
      <c r="F418" s="2" t="s">
        <v>18</v>
      </c>
      <c r="G418" s="2" t="s">
        <v>19</v>
      </c>
      <c r="H418" s="4">
        <v>55769</v>
      </c>
      <c r="I418" s="4">
        <v>59900</v>
      </c>
    </row>
    <row r="419" spans="1:9" x14ac:dyDescent="0.3">
      <c r="A419" s="2" t="s">
        <v>451</v>
      </c>
      <c r="B419" s="3">
        <v>45718</v>
      </c>
      <c r="C419" s="2" t="s">
        <v>16</v>
      </c>
      <c r="D419" s="2" t="s">
        <v>11</v>
      </c>
      <c r="E419" s="2" t="s">
        <v>17</v>
      </c>
      <c r="F419" s="2" t="s">
        <v>42</v>
      </c>
      <c r="G419" s="2" t="s">
        <v>19</v>
      </c>
      <c r="H419" s="4">
        <v>35772</v>
      </c>
      <c r="I419" s="4">
        <v>40000</v>
      </c>
    </row>
    <row r="420" spans="1:9" x14ac:dyDescent="0.3">
      <c r="A420" s="2" t="s">
        <v>452</v>
      </c>
      <c r="B420" s="3">
        <v>45718</v>
      </c>
      <c r="C420" s="2" t="s">
        <v>16</v>
      </c>
      <c r="D420" s="2" t="s">
        <v>11</v>
      </c>
      <c r="E420" s="2" t="s">
        <v>17</v>
      </c>
      <c r="F420" s="2" t="s">
        <v>37</v>
      </c>
      <c r="G420" s="2" t="s">
        <v>14</v>
      </c>
      <c r="H420" s="4">
        <v>249481</v>
      </c>
      <c r="I420" s="4">
        <v>250700</v>
      </c>
    </row>
    <row r="421" spans="1:9" x14ac:dyDescent="0.3">
      <c r="A421" s="2" t="s">
        <v>453</v>
      </c>
      <c r="B421" s="3">
        <v>45718</v>
      </c>
      <c r="C421" s="2" t="s">
        <v>16</v>
      </c>
      <c r="D421" s="2" t="s">
        <v>11</v>
      </c>
      <c r="E421" s="2" t="s">
        <v>17</v>
      </c>
      <c r="F421" s="2" t="s">
        <v>23</v>
      </c>
      <c r="G421" s="2" t="s">
        <v>14</v>
      </c>
      <c r="H421" s="4">
        <v>156431</v>
      </c>
      <c r="I421" s="4">
        <v>171300</v>
      </c>
    </row>
    <row r="422" spans="1:9" x14ac:dyDescent="0.3">
      <c r="A422" s="2" t="s">
        <v>454</v>
      </c>
      <c r="B422" s="3">
        <v>45718</v>
      </c>
      <c r="C422" s="2" t="s">
        <v>36</v>
      </c>
      <c r="D422" s="2" t="s">
        <v>11</v>
      </c>
      <c r="E422" s="2" t="s">
        <v>37</v>
      </c>
      <c r="F422" s="2" t="s">
        <v>33</v>
      </c>
      <c r="G422" s="2" t="s">
        <v>19</v>
      </c>
      <c r="H422" s="4">
        <v>61761</v>
      </c>
      <c r="I422" s="4">
        <v>56200</v>
      </c>
    </row>
    <row r="423" spans="1:9" x14ac:dyDescent="0.3">
      <c r="A423" s="2" t="s">
        <v>455</v>
      </c>
      <c r="B423" s="3">
        <v>45718</v>
      </c>
      <c r="C423" s="2" t="s">
        <v>21</v>
      </c>
      <c r="D423" s="2" t="s">
        <v>11</v>
      </c>
      <c r="E423" s="2" t="s">
        <v>22</v>
      </c>
      <c r="F423" s="2" t="s">
        <v>39</v>
      </c>
      <c r="G423" s="2" t="s">
        <v>19</v>
      </c>
      <c r="H423" s="4">
        <v>79937</v>
      </c>
      <c r="I423" s="4">
        <v>71800</v>
      </c>
    </row>
    <row r="424" spans="1:9" x14ac:dyDescent="0.3">
      <c r="A424" s="2" t="s">
        <v>456</v>
      </c>
      <c r="B424" s="3">
        <v>45718</v>
      </c>
      <c r="C424" s="2" t="s">
        <v>31</v>
      </c>
      <c r="D424" s="2" t="s">
        <v>11</v>
      </c>
      <c r="E424" s="2" t="s">
        <v>17</v>
      </c>
      <c r="F424" s="2" t="s">
        <v>13</v>
      </c>
      <c r="G424" s="2" t="s">
        <v>14</v>
      </c>
      <c r="H424" s="4">
        <v>31887</v>
      </c>
      <c r="I424" s="4">
        <v>31000</v>
      </c>
    </row>
    <row r="425" spans="1:9" x14ac:dyDescent="0.3">
      <c r="A425" s="2" t="s">
        <v>457</v>
      </c>
      <c r="B425" s="3">
        <v>45718</v>
      </c>
      <c r="C425" s="2" t="s">
        <v>55</v>
      </c>
      <c r="D425" s="2" t="s">
        <v>11</v>
      </c>
      <c r="E425" s="2" t="s">
        <v>37</v>
      </c>
      <c r="F425" s="2" t="s">
        <v>42</v>
      </c>
      <c r="G425" s="2" t="s">
        <v>19</v>
      </c>
      <c r="H425" s="4">
        <v>16859</v>
      </c>
      <c r="I425" s="4">
        <v>15100</v>
      </c>
    </row>
    <row r="426" spans="1:9" x14ac:dyDescent="0.3">
      <c r="A426" s="2" t="s">
        <v>458</v>
      </c>
      <c r="B426" s="3">
        <v>45719</v>
      </c>
      <c r="C426" s="2" t="s">
        <v>62</v>
      </c>
      <c r="D426" s="2" t="s">
        <v>11</v>
      </c>
      <c r="E426" s="2" t="s">
        <v>22</v>
      </c>
      <c r="F426" s="2" t="s">
        <v>39</v>
      </c>
      <c r="G426" s="2" t="s">
        <v>19</v>
      </c>
      <c r="H426" s="4">
        <v>104515</v>
      </c>
      <c r="I426" s="4">
        <v>117900</v>
      </c>
    </row>
    <row r="427" spans="1:9" x14ac:dyDescent="0.3">
      <c r="A427" s="2" t="s">
        <v>459</v>
      </c>
      <c r="B427" s="3">
        <v>45719</v>
      </c>
      <c r="C427" s="2" t="s">
        <v>16</v>
      </c>
      <c r="D427" s="2" t="s">
        <v>11</v>
      </c>
      <c r="E427" s="2" t="s">
        <v>17</v>
      </c>
      <c r="F427" s="2" t="s">
        <v>23</v>
      </c>
      <c r="G427" s="2" t="s">
        <v>14</v>
      </c>
      <c r="H427" s="4">
        <v>42885</v>
      </c>
      <c r="I427" s="4">
        <v>39600</v>
      </c>
    </row>
    <row r="428" spans="1:9" x14ac:dyDescent="0.3">
      <c r="A428" s="2" t="s">
        <v>460</v>
      </c>
      <c r="B428" s="3">
        <v>45719</v>
      </c>
      <c r="C428" s="2" t="s">
        <v>36</v>
      </c>
      <c r="D428" s="2" t="s">
        <v>11</v>
      </c>
      <c r="E428" s="2" t="s">
        <v>37</v>
      </c>
      <c r="F428" s="2" t="s">
        <v>12</v>
      </c>
      <c r="G428" s="2" t="s">
        <v>14</v>
      </c>
      <c r="H428" s="4">
        <v>191385</v>
      </c>
      <c r="I428" s="4">
        <v>188700</v>
      </c>
    </row>
    <row r="429" spans="1:9" x14ac:dyDescent="0.3">
      <c r="A429" s="2" t="s">
        <v>461</v>
      </c>
      <c r="B429" s="3">
        <v>45719</v>
      </c>
      <c r="C429" s="2" t="s">
        <v>31</v>
      </c>
      <c r="D429" s="2" t="s">
        <v>11</v>
      </c>
      <c r="E429" s="2" t="s">
        <v>17</v>
      </c>
      <c r="F429" s="2" t="s">
        <v>56</v>
      </c>
      <c r="G429" s="2" t="s">
        <v>19</v>
      </c>
      <c r="H429" s="4">
        <v>28197</v>
      </c>
      <c r="I429" s="4">
        <v>30300</v>
      </c>
    </row>
    <row r="430" spans="1:9" x14ac:dyDescent="0.3">
      <c r="A430" s="2" t="s">
        <v>462</v>
      </c>
      <c r="B430" s="3">
        <v>45719</v>
      </c>
      <c r="C430" s="2" t="s">
        <v>31</v>
      </c>
      <c r="D430" s="2" t="s">
        <v>11</v>
      </c>
      <c r="E430" s="2" t="s">
        <v>17</v>
      </c>
      <c r="F430" s="2" t="s">
        <v>13</v>
      </c>
      <c r="G430" s="2" t="s">
        <v>14</v>
      </c>
      <c r="H430" s="4">
        <v>196717</v>
      </c>
      <c r="I430" s="4">
        <v>186500</v>
      </c>
    </row>
    <row r="431" spans="1:9" x14ac:dyDescent="0.3">
      <c r="A431" s="2" t="s">
        <v>463</v>
      </c>
      <c r="B431" s="3">
        <v>45719</v>
      </c>
      <c r="C431" s="2" t="s">
        <v>55</v>
      </c>
      <c r="D431" s="2" t="s">
        <v>11</v>
      </c>
      <c r="E431" s="2" t="s">
        <v>37</v>
      </c>
      <c r="F431" s="2" t="s">
        <v>26</v>
      </c>
      <c r="G431" s="2" t="s">
        <v>14</v>
      </c>
      <c r="H431" s="4">
        <v>140576</v>
      </c>
      <c r="I431" s="4">
        <v>128300</v>
      </c>
    </row>
    <row r="432" spans="1:9" x14ac:dyDescent="0.3">
      <c r="A432" s="2" t="s">
        <v>464</v>
      </c>
      <c r="B432" s="3">
        <v>45720</v>
      </c>
      <c r="C432" s="2" t="s">
        <v>10</v>
      </c>
      <c r="D432" s="2" t="s">
        <v>11</v>
      </c>
      <c r="E432" s="2" t="s">
        <v>12</v>
      </c>
      <c r="F432" s="2" t="s">
        <v>56</v>
      </c>
      <c r="G432" s="2" t="s">
        <v>19</v>
      </c>
      <c r="H432" s="4">
        <v>77688</v>
      </c>
      <c r="I432" s="4">
        <v>78200</v>
      </c>
    </row>
    <row r="433" spans="1:9" x14ac:dyDescent="0.3">
      <c r="A433" s="2" t="s">
        <v>465</v>
      </c>
      <c r="B433" s="3">
        <v>45720</v>
      </c>
      <c r="C433" s="2" t="s">
        <v>16</v>
      </c>
      <c r="D433" s="2" t="s">
        <v>11</v>
      </c>
      <c r="E433" s="2" t="s">
        <v>17</v>
      </c>
      <c r="F433" s="2" t="s">
        <v>18</v>
      </c>
      <c r="G433" s="2" t="s">
        <v>19</v>
      </c>
      <c r="H433" s="4">
        <v>83678</v>
      </c>
      <c r="I433" s="4">
        <v>87900</v>
      </c>
    </row>
    <row r="434" spans="1:9" x14ac:dyDescent="0.3">
      <c r="A434" s="2" t="s">
        <v>466</v>
      </c>
      <c r="B434" s="3">
        <v>45720</v>
      </c>
      <c r="C434" s="2" t="s">
        <v>25</v>
      </c>
      <c r="D434" s="2" t="s">
        <v>11</v>
      </c>
      <c r="E434" s="2" t="s">
        <v>22</v>
      </c>
      <c r="F434" s="2" t="s">
        <v>56</v>
      </c>
      <c r="G434" s="2" t="s">
        <v>19</v>
      </c>
      <c r="H434" s="4">
        <v>116909</v>
      </c>
      <c r="I434" s="4">
        <v>110900</v>
      </c>
    </row>
    <row r="435" spans="1:9" x14ac:dyDescent="0.3">
      <c r="A435" s="2" t="s">
        <v>467</v>
      </c>
      <c r="B435" s="3">
        <v>45720</v>
      </c>
      <c r="C435" s="2" t="s">
        <v>31</v>
      </c>
      <c r="D435" s="2" t="s">
        <v>11</v>
      </c>
      <c r="E435" s="2" t="s">
        <v>17</v>
      </c>
      <c r="F435" s="2" t="s">
        <v>56</v>
      </c>
      <c r="G435" s="2" t="s">
        <v>19</v>
      </c>
      <c r="H435" s="4">
        <v>52287</v>
      </c>
      <c r="I435" s="4">
        <v>54000</v>
      </c>
    </row>
    <row r="436" spans="1:9" x14ac:dyDescent="0.3">
      <c r="A436" s="2" t="s">
        <v>468</v>
      </c>
      <c r="B436" s="3">
        <v>45720</v>
      </c>
      <c r="C436" s="2" t="s">
        <v>55</v>
      </c>
      <c r="D436" s="2" t="s">
        <v>11</v>
      </c>
      <c r="E436" s="2" t="s">
        <v>37</v>
      </c>
      <c r="F436" s="2" t="s">
        <v>18</v>
      </c>
      <c r="G436" s="2" t="s">
        <v>19</v>
      </c>
      <c r="H436" s="4">
        <v>112608</v>
      </c>
      <c r="I436" s="4">
        <v>114800</v>
      </c>
    </row>
    <row r="437" spans="1:9" x14ac:dyDescent="0.3">
      <c r="A437" s="2" t="s">
        <v>469</v>
      </c>
      <c r="B437" s="3">
        <v>45720</v>
      </c>
      <c r="C437" s="2" t="s">
        <v>55</v>
      </c>
      <c r="D437" s="2" t="s">
        <v>11</v>
      </c>
      <c r="E437" s="2" t="s">
        <v>37</v>
      </c>
      <c r="F437" s="2" t="s">
        <v>56</v>
      </c>
      <c r="G437" s="2" t="s">
        <v>19</v>
      </c>
      <c r="H437" s="4">
        <v>29583</v>
      </c>
      <c r="I437" s="4">
        <v>29900</v>
      </c>
    </row>
    <row r="438" spans="1:9" x14ac:dyDescent="0.3">
      <c r="A438" s="2" t="s">
        <v>470</v>
      </c>
      <c r="B438" s="3">
        <v>45721</v>
      </c>
      <c r="C438" s="2" t="s">
        <v>10</v>
      </c>
      <c r="D438" s="2" t="s">
        <v>11</v>
      </c>
      <c r="E438" s="2" t="s">
        <v>12</v>
      </c>
      <c r="F438" s="2" t="s">
        <v>56</v>
      </c>
      <c r="G438" s="2" t="s">
        <v>19</v>
      </c>
      <c r="H438" s="4">
        <v>37239</v>
      </c>
      <c r="I438" s="4">
        <v>33700</v>
      </c>
    </row>
    <row r="439" spans="1:9" x14ac:dyDescent="0.3">
      <c r="A439" s="2" t="s">
        <v>471</v>
      </c>
      <c r="B439" s="3">
        <v>45721</v>
      </c>
      <c r="C439" s="2" t="s">
        <v>10</v>
      </c>
      <c r="D439" s="2" t="s">
        <v>11</v>
      </c>
      <c r="E439" s="2" t="s">
        <v>12</v>
      </c>
      <c r="F439" s="2" t="s">
        <v>18</v>
      </c>
      <c r="G439" s="2" t="s">
        <v>19</v>
      </c>
      <c r="H439" s="4">
        <v>18469</v>
      </c>
      <c r="I439" s="4">
        <v>19300</v>
      </c>
    </row>
    <row r="440" spans="1:9" x14ac:dyDescent="0.3">
      <c r="A440" s="2" t="s">
        <v>472</v>
      </c>
      <c r="B440" s="3">
        <v>45721</v>
      </c>
      <c r="C440" s="2" t="s">
        <v>16</v>
      </c>
      <c r="D440" s="2" t="s">
        <v>11</v>
      </c>
      <c r="E440" s="2" t="s">
        <v>17</v>
      </c>
      <c r="F440" s="2" t="s">
        <v>42</v>
      </c>
      <c r="G440" s="2" t="s">
        <v>19</v>
      </c>
      <c r="H440" s="4">
        <v>78330</v>
      </c>
      <c r="I440" s="4">
        <v>77400</v>
      </c>
    </row>
    <row r="441" spans="1:9" x14ac:dyDescent="0.3">
      <c r="A441" s="2" t="s">
        <v>473</v>
      </c>
      <c r="B441" s="3">
        <v>45721</v>
      </c>
      <c r="C441" s="2" t="s">
        <v>16</v>
      </c>
      <c r="D441" s="2" t="s">
        <v>11</v>
      </c>
      <c r="E441" s="2" t="s">
        <v>17</v>
      </c>
      <c r="F441" s="2" t="s">
        <v>56</v>
      </c>
      <c r="G441" s="2" t="s">
        <v>19</v>
      </c>
      <c r="H441" s="4">
        <v>17900</v>
      </c>
      <c r="I441" s="4">
        <v>16700</v>
      </c>
    </row>
    <row r="442" spans="1:9" x14ac:dyDescent="0.3">
      <c r="A442" s="2" t="s">
        <v>474</v>
      </c>
      <c r="B442" s="3">
        <v>45721</v>
      </c>
      <c r="C442" s="2" t="s">
        <v>16</v>
      </c>
      <c r="D442" s="2" t="s">
        <v>11</v>
      </c>
      <c r="E442" s="2" t="s">
        <v>17</v>
      </c>
      <c r="F442" s="2" t="s">
        <v>46</v>
      </c>
      <c r="G442" s="2" t="s">
        <v>19</v>
      </c>
      <c r="H442" s="4">
        <v>40003</v>
      </c>
      <c r="I442" s="4">
        <v>39600</v>
      </c>
    </row>
    <row r="443" spans="1:9" x14ac:dyDescent="0.3">
      <c r="A443" s="2" t="s">
        <v>475</v>
      </c>
      <c r="B443" s="3">
        <v>45721</v>
      </c>
      <c r="C443" s="2" t="s">
        <v>16</v>
      </c>
      <c r="D443" s="2" t="s">
        <v>11</v>
      </c>
      <c r="E443" s="2" t="s">
        <v>17</v>
      </c>
      <c r="F443" s="2" t="s">
        <v>33</v>
      </c>
      <c r="G443" s="2" t="s">
        <v>19</v>
      </c>
      <c r="H443" s="4">
        <v>14632</v>
      </c>
      <c r="I443" s="4">
        <v>14600</v>
      </c>
    </row>
    <row r="444" spans="1:9" x14ac:dyDescent="0.3">
      <c r="A444" s="2" t="s">
        <v>476</v>
      </c>
      <c r="B444" s="3">
        <v>45721</v>
      </c>
      <c r="C444" s="2" t="s">
        <v>36</v>
      </c>
      <c r="D444" s="2" t="s">
        <v>11</v>
      </c>
      <c r="E444" s="2" t="s">
        <v>37</v>
      </c>
      <c r="F444" s="2" t="s">
        <v>56</v>
      </c>
      <c r="G444" s="2" t="s">
        <v>19</v>
      </c>
      <c r="H444" s="4">
        <v>86051</v>
      </c>
      <c r="I444" s="4">
        <v>86000</v>
      </c>
    </row>
    <row r="445" spans="1:9" x14ac:dyDescent="0.3">
      <c r="A445" s="2" t="s">
        <v>477</v>
      </c>
      <c r="B445" s="3">
        <v>45721</v>
      </c>
      <c r="C445" s="2" t="s">
        <v>36</v>
      </c>
      <c r="D445" s="2" t="s">
        <v>11</v>
      </c>
      <c r="E445" s="2" t="s">
        <v>37</v>
      </c>
      <c r="F445" s="2" t="s">
        <v>39</v>
      </c>
      <c r="G445" s="2" t="s">
        <v>19</v>
      </c>
      <c r="H445" s="4">
        <v>59444</v>
      </c>
      <c r="I445" s="4">
        <v>62000</v>
      </c>
    </row>
    <row r="446" spans="1:9" x14ac:dyDescent="0.3">
      <c r="A446" s="2" t="s">
        <v>478</v>
      </c>
      <c r="B446" s="3">
        <v>45721</v>
      </c>
      <c r="C446" s="2" t="s">
        <v>36</v>
      </c>
      <c r="D446" s="2" t="s">
        <v>11</v>
      </c>
      <c r="E446" s="2" t="s">
        <v>37</v>
      </c>
      <c r="F446" s="2" t="s">
        <v>26</v>
      </c>
      <c r="G446" s="2" t="s">
        <v>14</v>
      </c>
      <c r="H446" s="4">
        <v>32636</v>
      </c>
      <c r="I446" s="4">
        <v>30600</v>
      </c>
    </row>
    <row r="447" spans="1:9" x14ac:dyDescent="0.3">
      <c r="A447" s="2" t="s">
        <v>479</v>
      </c>
      <c r="B447" s="3">
        <v>45721</v>
      </c>
      <c r="C447" s="2" t="s">
        <v>36</v>
      </c>
      <c r="D447" s="2" t="s">
        <v>11</v>
      </c>
      <c r="E447" s="2" t="s">
        <v>37</v>
      </c>
      <c r="F447" s="2" t="s">
        <v>37</v>
      </c>
      <c r="G447" s="2" t="s">
        <v>14</v>
      </c>
      <c r="H447" s="4">
        <v>55574</v>
      </c>
      <c r="I447" s="4">
        <v>58200</v>
      </c>
    </row>
    <row r="448" spans="1:9" x14ac:dyDescent="0.3">
      <c r="A448" s="2" t="s">
        <v>480</v>
      </c>
      <c r="B448" s="3">
        <v>45721</v>
      </c>
      <c r="C448" s="2" t="s">
        <v>36</v>
      </c>
      <c r="D448" s="2" t="s">
        <v>11</v>
      </c>
      <c r="E448" s="2" t="s">
        <v>37</v>
      </c>
      <c r="F448" s="2" t="s">
        <v>26</v>
      </c>
      <c r="G448" s="2" t="s">
        <v>14</v>
      </c>
      <c r="H448" s="4">
        <v>97270</v>
      </c>
      <c r="I448" s="4">
        <v>81900</v>
      </c>
    </row>
    <row r="449" spans="1:9" x14ac:dyDescent="0.3">
      <c r="A449" s="2" t="s">
        <v>481</v>
      </c>
      <c r="B449" s="3">
        <v>45721</v>
      </c>
      <c r="C449" s="2" t="s">
        <v>21</v>
      </c>
      <c r="D449" s="2" t="s">
        <v>11</v>
      </c>
      <c r="E449" s="2" t="s">
        <v>22</v>
      </c>
      <c r="F449" s="2" t="s">
        <v>59</v>
      </c>
      <c r="G449" s="2" t="s">
        <v>14</v>
      </c>
      <c r="H449" s="4">
        <v>208655</v>
      </c>
      <c r="I449" s="4">
        <v>221600</v>
      </c>
    </row>
    <row r="450" spans="1:9" x14ac:dyDescent="0.3">
      <c r="A450" s="2" t="s">
        <v>482</v>
      </c>
      <c r="B450" s="3">
        <v>45722</v>
      </c>
      <c r="C450" s="2" t="s">
        <v>16</v>
      </c>
      <c r="D450" s="2" t="s">
        <v>11</v>
      </c>
      <c r="E450" s="2" t="s">
        <v>17</v>
      </c>
      <c r="F450" s="2" t="s">
        <v>46</v>
      </c>
      <c r="G450" s="2" t="s">
        <v>19</v>
      </c>
      <c r="H450" s="4">
        <v>102970</v>
      </c>
      <c r="I450" s="4">
        <v>101500</v>
      </c>
    </row>
    <row r="451" spans="1:9" x14ac:dyDescent="0.3">
      <c r="A451" s="2" t="s">
        <v>483</v>
      </c>
      <c r="B451" s="3">
        <v>45722</v>
      </c>
      <c r="C451" s="2" t="s">
        <v>16</v>
      </c>
      <c r="D451" s="2" t="s">
        <v>11</v>
      </c>
      <c r="E451" s="2" t="s">
        <v>17</v>
      </c>
      <c r="F451" s="2" t="s">
        <v>23</v>
      </c>
      <c r="G451" s="2" t="s">
        <v>14</v>
      </c>
      <c r="H451" s="4">
        <v>48669</v>
      </c>
      <c r="I451" s="4">
        <v>43100</v>
      </c>
    </row>
    <row r="452" spans="1:9" x14ac:dyDescent="0.3">
      <c r="A452" s="2" t="s">
        <v>484</v>
      </c>
      <c r="B452" s="3">
        <v>45722</v>
      </c>
      <c r="C452" s="2" t="s">
        <v>25</v>
      </c>
      <c r="D452" s="2" t="s">
        <v>11</v>
      </c>
      <c r="E452" s="2" t="s">
        <v>22</v>
      </c>
      <c r="F452" s="2" t="s">
        <v>42</v>
      </c>
      <c r="G452" s="2" t="s">
        <v>19</v>
      </c>
      <c r="H452" s="4">
        <v>46494</v>
      </c>
      <c r="I452" s="4">
        <v>41900</v>
      </c>
    </row>
    <row r="453" spans="1:9" x14ac:dyDescent="0.3">
      <c r="A453" s="2" t="s">
        <v>485</v>
      </c>
      <c r="B453" s="3">
        <v>45722</v>
      </c>
      <c r="C453" s="2" t="s">
        <v>25</v>
      </c>
      <c r="D453" s="2" t="s">
        <v>11</v>
      </c>
      <c r="E453" s="2" t="s">
        <v>22</v>
      </c>
      <c r="F453" s="2" t="s">
        <v>12</v>
      </c>
      <c r="G453" s="2" t="s">
        <v>14</v>
      </c>
      <c r="H453" s="4">
        <v>178286</v>
      </c>
      <c r="I453" s="4">
        <v>165700</v>
      </c>
    </row>
    <row r="454" spans="1:9" x14ac:dyDescent="0.3">
      <c r="A454" s="2" t="s">
        <v>486</v>
      </c>
      <c r="B454" s="3">
        <v>45722</v>
      </c>
      <c r="C454" s="2" t="s">
        <v>31</v>
      </c>
      <c r="D454" s="2" t="s">
        <v>11</v>
      </c>
      <c r="E454" s="2" t="s">
        <v>17</v>
      </c>
      <c r="F454" s="2" t="s">
        <v>56</v>
      </c>
      <c r="G454" s="2" t="s">
        <v>19</v>
      </c>
      <c r="H454" s="4">
        <v>12404</v>
      </c>
      <c r="I454" s="4">
        <v>10800</v>
      </c>
    </row>
    <row r="455" spans="1:9" x14ac:dyDescent="0.3">
      <c r="A455" s="2" t="s">
        <v>487</v>
      </c>
      <c r="B455" s="3">
        <v>45723</v>
      </c>
      <c r="C455" s="2" t="s">
        <v>10</v>
      </c>
      <c r="D455" s="2" t="s">
        <v>11</v>
      </c>
      <c r="E455" s="2" t="s">
        <v>12</v>
      </c>
      <c r="F455" s="2" t="s">
        <v>56</v>
      </c>
      <c r="G455" s="2" t="s">
        <v>19</v>
      </c>
      <c r="H455" s="4">
        <v>87814</v>
      </c>
      <c r="I455" s="4">
        <v>92000</v>
      </c>
    </row>
    <row r="456" spans="1:9" x14ac:dyDescent="0.3">
      <c r="A456" s="2" t="s">
        <v>488</v>
      </c>
      <c r="B456" s="3">
        <v>45723</v>
      </c>
      <c r="C456" s="2" t="s">
        <v>10</v>
      </c>
      <c r="D456" s="2" t="s">
        <v>11</v>
      </c>
      <c r="E456" s="2" t="s">
        <v>12</v>
      </c>
      <c r="F456" s="2" t="s">
        <v>46</v>
      </c>
      <c r="G456" s="2" t="s">
        <v>19</v>
      </c>
      <c r="H456" s="4">
        <v>49845</v>
      </c>
      <c r="I456" s="4">
        <v>47400</v>
      </c>
    </row>
    <row r="457" spans="1:9" x14ac:dyDescent="0.3">
      <c r="A457" s="2" t="s">
        <v>489</v>
      </c>
      <c r="B457" s="3">
        <v>45723</v>
      </c>
      <c r="C457" s="2" t="s">
        <v>25</v>
      </c>
      <c r="D457" s="2" t="s">
        <v>11</v>
      </c>
      <c r="E457" s="2" t="s">
        <v>22</v>
      </c>
      <c r="F457" s="2" t="s">
        <v>18</v>
      </c>
      <c r="G457" s="2" t="s">
        <v>19</v>
      </c>
      <c r="H457" s="4">
        <v>34635</v>
      </c>
      <c r="I457" s="4">
        <v>38700</v>
      </c>
    </row>
    <row r="458" spans="1:9" x14ac:dyDescent="0.3">
      <c r="A458" s="2" t="s">
        <v>490</v>
      </c>
      <c r="B458" s="3">
        <v>45723</v>
      </c>
      <c r="C458" s="2" t="s">
        <v>31</v>
      </c>
      <c r="D458" s="2" t="s">
        <v>11</v>
      </c>
      <c r="E458" s="2" t="s">
        <v>17</v>
      </c>
      <c r="F458" s="2" t="s">
        <v>39</v>
      </c>
      <c r="G458" s="2" t="s">
        <v>19</v>
      </c>
      <c r="H458" s="4">
        <v>44373</v>
      </c>
      <c r="I458" s="4">
        <v>50800</v>
      </c>
    </row>
    <row r="459" spans="1:9" x14ac:dyDescent="0.3">
      <c r="A459" s="2" t="s">
        <v>491</v>
      </c>
      <c r="B459" s="3">
        <v>45723</v>
      </c>
      <c r="C459" s="2" t="s">
        <v>55</v>
      </c>
      <c r="D459" s="2" t="s">
        <v>11</v>
      </c>
      <c r="E459" s="2" t="s">
        <v>37</v>
      </c>
      <c r="F459" s="2" t="s">
        <v>13</v>
      </c>
      <c r="G459" s="2" t="s">
        <v>14</v>
      </c>
      <c r="H459" s="4">
        <v>215798</v>
      </c>
      <c r="I459" s="4">
        <v>236400</v>
      </c>
    </row>
    <row r="460" spans="1:9" x14ac:dyDescent="0.3">
      <c r="A460" s="2" t="s">
        <v>492</v>
      </c>
      <c r="B460" s="3">
        <v>45724</v>
      </c>
      <c r="C460" s="2" t="s">
        <v>36</v>
      </c>
      <c r="D460" s="2" t="s">
        <v>11</v>
      </c>
      <c r="E460" s="2" t="s">
        <v>37</v>
      </c>
      <c r="F460" s="2" t="s">
        <v>13</v>
      </c>
      <c r="G460" s="2" t="s">
        <v>14</v>
      </c>
      <c r="H460" s="4">
        <v>117912</v>
      </c>
      <c r="I460" s="4">
        <v>132400</v>
      </c>
    </row>
    <row r="461" spans="1:9" x14ac:dyDescent="0.3">
      <c r="A461" s="2" t="s">
        <v>493</v>
      </c>
      <c r="B461" s="3">
        <v>45724</v>
      </c>
      <c r="C461" s="2" t="s">
        <v>21</v>
      </c>
      <c r="D461" s="2" t="s">
        <v>11</v>
      </c>
      <c r="E461" s="2" t="s">
        <v>22</v>
      </c>
      <c r="F461" s="2" t="s">
        <v>56</v>
      </c>
      <c r="G461" s="2" t="s">
        <v>19</v>
      </c>
      <c r="H461" s="4">
        <v>63285</v>
      </c>
      <c r="I461" s="4">
        <v>52600</v>
      </c>
    </row>
    <row r="462" spans="1:9" x14ac:dyDescent="0.3">
      <c r="A462" s="2" t="s">
        <v>494</v>
      </c>
      <c r="B462" s="3">
        <v>45724</v>
      </c>
      <c r="C462" s="2" t="s">
        <v>21</v>
      </c>
      <c r="D462" s="2" t="s">
        <v>11</v>
      </c>
      <c r="E462" s="2" t="s">
        <v>22</v>
      </c>
      <c r="F462" s="2" t="s">
        <v>13</v>
      </c>
      <c r="G462" s="2" t="s">
        <v>14</v>
      </c>
      <c r="H462" s="4">
        <v>191158</v>
      </c>
      <c r="I462" s="4">
        <v>192400</v>
      </c>
    </row>
    <row r="463" spans="1:9" x14ac:dyDescent="0.3">
      <c r="A463" s="2" t="s">
        <v>495</v>
      </c>
      <c r="B463" s="3">
        <v>45724</v>
      </c>
      <c r="C463" s="2" t="s">
        <v>55</v>
      </c>
      <c r="D463" s="2" t="s">
        <v>11</v>
      </c>
      <c r="E463" s="2" t="s">
        <v>37</v>
      </c>
      <c r="F463" s="2" t="s">
        <v>37</v>
      </c>
      <c r="G463" s="2" t="s">
        <v>14</v>
      </c>
      <c r="H463" s="4">
        <v>34636</v>
      </c>
      <c r="I463" s="4">
        <v>35000</v>
      </c>
    </row>
    <row r="464" spans="1:9" x14ac:dyDescent="0.3">
      <c r="A464" s="2" t="s">
        <v>496</v>
      </c>
      <c r="B464" s="3">
        <v>45725</v>
      </c>
      <c r="C464" s="2" t="s">
        <v>62</v>
      </c>
      <c r="D464" s="2" t="s">
        <v>11</v>
      </c>
      <c r="E464" s="2" t="s">
        <v>22</v>
      </c>
      <c r="F464" s="2" t="s">
        <v>33</v>
      </c>
      <c r="G464" s="2" t="s">
        <v>19</v>
      </c>
      <c r="H464" s="4">
        <v>79383</v>
      </c>
      <c r="I464" s="4">
        <v>83400</v>
      </c>
    </row>
    <row r="465" spans="1:9" x14ac:dyDescent="0.3">
      <c r="A465" s="2" t="s">
        <v>497</v>
      </c>
      <c r="B465" s="3">
        <v>45725</v>
      </c>
      <c r="C465" s="2" t="s">
        <v>62</v>
      </c>
      <c r="D465" s="2" t="s">
        <v>11</v>
      </c>
      <c r="E465" s="2" t="s">
        <v>22</v>
      </c>
      <c r="F465" s="2" t="s">
        <v>39</v>
      </c>
      <c r="G465" s="2" t="s">
        <v>19</v>
      </c>
      <c r="H465" s="4">
        <v>38593</v>
      </c>
      <c r="I465" s="4">
        <v>40600</v>
      </c>
    </row>
    <row r="466" spans="1:9" x14ac:dyDescent="0.3">
      <c r="A466" s="2" t="s">
        <v>498</v>
      </c>
      <c r="B466" s="3">
        <v>45725</v>
      </c>
      <c r="C466" s="2" t="s">
        <v>10</v>
      </c>
      <c r="D466" s="2" t="s">
        <v>11</v>
      </c>
      <c r="E466" s="2" t="s">
        <v>12</v>
      </c>
      <c r="F466" s="2" t="s">
        <v>59</v>
      </c>
      <c r="G466" s="2" t="s">
        <v>14</v>
      </c>
      <c r="H466" s="4">
        <v>45862</v>
      </c>
      <c r="I466" s="4">
        <v>48100</v>
      </c>
    </row>
    <row r="467" spans="1:9" x14ac:dyDescent="0.3">
      <c r="A467" s="2" t="s">
        <v>499</v>
      </c>
      <c r="B467" s="3">
        <v>45725</v>
      </c>
      <c r="C467" s="2" t="s">
        <v>16</v>
      </c>
      <c r="D467" s="2" t="s">
        <v>11</v>
      </c>
      <c r="E467" s="2" t="s">
        <v>17</v>
      </c>
      <c r="F467" s="2" t="s">
        <v>59</v>
      </c>
      <c r="G467" s="2" t="s">
        <v>14</v>
      </c>
      <c r="H467" s="4">
        <v>237643</v>
      </c>
      <c r="I467" s="4">
        <v>261400</v>
      </c>
    </row>
    <row r="468" spans="1:9" x14ac:dyDescent="0.3">
      <c r="A468" s="2" t="s">
        <v>500</v>
      </c>
      <c r="B468" s="3">
        <v>45725</v>
      </c>
      <c r="C468" s="2" t="s">
        <v>21</v>
      </c>
      <c r="D468" s="2" t="s">
        <v>11</v>
      </c>
      <c r="E468" s="2" t="s">
        <v>22</v>
      </c>
      <c r="F468" s="2" t="s">
        <v>13</v>
      </c>
      <c r="G468" s="2" t="s">
        <v>14</v>
      </c>
      <c r="H468" s="4">
        <v>184528</v>
      </c>
      <c r="I468" s="4">
        <v>213700</v>
      </c>
    </row>
    <row r="469" spans="1:9" x14ac:dyDescent="0.3">
      <c r="A469" s="2" t="s">
        <v>501</v>
      </c>
      <c r="B469" s="3">
        <v>45725</v>
      </c>
      <c r="C469" s="2" t="s">
        <v>21</v>
      </c>
      <c r="D469" s="2" t="s">
        <v>11</v>
      </c>
      <c r="E469" s="2" t="s">
        <v>22</v>
      </c>
      <c r="F469" s="2" t="s">
        <v>12</v>
      </c>
      <c r="G469" s="2" t="s">
        <v>14</v>
      </c>
      <c r="H469" s="4">
        <v>80579</v>
      </c>
      <c r="I469" s="4">
        <v>77200</v>
      </c>
    </row>
    <row r="470" spans="1:9" x14ac:dyDescent="0.3">
      <c r="A470" s="2" t="s">
        <v>502</v>
      </c>
      <c r="B470" s="3">
        <v>45725</v>
      </c>
      <c r="C470" s="2" t="s">
        <v>31</v>
      </c>
      <c r="D470" s="2" t="s">
        <v>11</v>
      </c>
      <c r="E470" s="2" t="s">
        <v>17</v>
      </c>
      <c r="F470" s="2" t="s">
        <v>42</v>
      </c>
      <c r="G470" s="2" t="s">
        <v>19</v>
      </c>
      <c r="H470" s="4">
        <v>21018</v>
      </c>
      <c r="I470" s="4">
        <v>21400</v>
      </c>
    </row>
    <row r="471" spans="1:9" x14ac:dyDescent="0.3">
      <c r="A471" s="2" t="s">
        <v>503</v>
      </c>
      <c r="B471" s="3">
        <v>45725</v>
      </c>
      <c r="C471" s="2" t="s">
        <v>31</v>
      </c>
      <c r="D471" s="2" t="s">
        <v>11</v>
      </c>
      <c r="E471" s="2" t="s">
        <v>17</v>
      </c>
      <c r="F471" s="2" t="s">
        <v>46</v>
      </c>
      <c r="G471" s="2" t="s">
        <v>19</v>
      </c>
      <c r="H471" s="4">
        <v>62644</v>
      </c>
      <c r="I471" s="4">
        <v>61300</v>
      </c>
    </row>
    <row r="472" spans="1:9" x14ac:dyDescent="0.3">
      <c r="A472" s="2" t="s">
        <v>504</v>
      </c>
      <c r="B472" s="3">
        <v>45726</v>
      </c>
      <c r="C472" s="2" t="s">
        <v>62</v>
      </c>
      <c r="D472" s="2" t="s">
        <v>11</v>
      </c>
      <c r="E472" s="2" t="s">
        <v>22</v>
      </c>
      <c r="F472" s="2" t="s">
        <v>46</v>
      </c>
      <c r="G472" s="2" t="s">
        <v>19</v>
      </c>
      <c r="H472" s="4">
        <v>45241</v>
      </c>
      <c r="I472" s="4">
        <v>45700</v>
      </c>
    </row>
    <row r="473" spans="1:9" x14ac:dyDescent="0.3">
      <c r="A473" s="2" t="s">
        <v>505</v>
      </c>
      <c r="B473" s="3">
        <v>45726</v>
      </c>
      <c r="C473" s="2" t="s">
        <v>21</v>
      </c>
      <c r="D473" s="2" t="s">
        <v>11</v>
      </c>
      <c r="E473" s="2" t="s">
        <v>22</v>
      </c>
      <c r="F473" s="2" t="s">
        <v>59</v>
      </c>
      <c r="G473" s="2" t="s">
        <v>14</v>
      </c>
      <c r="H473" s="4">
        <v>173512</v>
      </c>
      <c r="I473" s="4">
        <v>165100</v>
      </c>
    </row>
    <row r="474" spans="1:9" x14ac:dyDescent="0.3">
      <c r="A474" s="2" t="s">
        <v>506</v>
      </c>
      <c r="B474" s="3">
        <v>45726</v>
      </c>
      <c r="C474" s="2" t="s">
        <v>25</v>
      </c>
      <c r="D474" s="2" t="s">
        <v>11</v>
      </c>
      <c r="E474" s="2" t="s">
        <v>22</v>
      </c>
      <c r="F474" s="2" t="s">
        <v>33</v>
      </c>
      <c r="G474" s="2" t="s">
        <v>19</v>
      </c>
      <c r="H474" s="4">
        <v>81619</v>
      </c>
      <c r="I474" s="4">
        <v>77500</v>
      </c>
    </row>
    <row r="475" spans="1:9" x14ac:dyDescent="0.3">
      <c r="A475" s="2" t="s">
        <v>507</v>
      </c>
      <c r="B475" s="3">
        <v>45726</v>
      </c>
      <c r="C475" s="2" t="s">
        <v>25</v>
      </c>
      <c r="D475" s="2" t="s">
        <v>11</v>
      </c>
      <c r="E475" s="2" t="s">
        <v>22</v>
      </c>
      <c r="F475" s="2" t="s">
        <v>46</v>
      </c>
      <c r="G475" s="2" t="s">
        <v>19</v>
      </c>
      <c r="H475" s="4">
        <v>76893</v>
      </c>
      <c r="I475" s="4">
        <v>55600</v>
      </c>
    </row>
    <row r="476" spans="1:9" x14ac:dyDescent="0.3">
      <c r="A476" s="2" t="s">
        <v>508</v>
      </c>
      <c r="B476" s="3">
        <v>45726</v>
      </c>
      <c r="C476" s="2" t="s">
        <v>25</v>
      </c>
      <c r="D476" s="2" t="s">
        <v>11</v>
      </c>
      <c r="E476" s="2" t="s">
        <v>22</v>
      </c>
      <c r="F476" s="2" t="s">
        <v>33</v>
      </c>
      <c r="G476" s="2" t="s">
        <v>19</v>
      </c>
      <c r="H476" s="4">
        <v>112884</v>
      </c>
      <c r="I476" s="4">
        <v>128400</v>
      </c>
    </row>
    <row r="477" spans="1:9" x14ac:dyDescent="0.3">
      <c r="A477" s="2" t="s">
        <v>509</v>
      </c>
      <c r="B477" s="3">
        <v>45726</v>
      </c>
      <c r="C477" s="2" t="s">
        <v>25</v>
      </c>
      <c r="D477" s="2" t="s">
        <v>11</v>
      </c>
      <c r="E477" s="2" t="s">
        <v>22</v>
      </c>
      <c r="F477" s="2" t="s">
        <v>33</v>
      </c>
      <c r="G477" s="2" t="s">
        <v>19</v>
      </c>
      <c r="H477" s="4">
        <v>63686</v>
      </c>
      <c r="I477" s="4">
        <v>61800</v>
      </c>
    </row>
    <row r="478" spans="1:9" x14ac:dyDescent="0.3">
      <c r="A478" s="2" t="s">
        <v>510</v>
      </c>
      <c r="B478" s="3">
        <v>45726</v>
      </c>
      <c r="C478" s="2" t="s">
        <v>31</v>
      </c>
      <c r="D478" s="2" t="s">
        <v>11</v>
      </c>
      <c r="E478" s="2" t="s">
        <v>17</v>
      </c>
      <c r="F478" s="2" t="s">
        <v>33</v>
      </c>
      <c r="G478" s="2" t="s">
        <v>19</v>
      </c>
      <c r="H478" s="4">
        <v>42632</v>
      </c>
      <c r="I478" s="4">
        <v>39500</v>
      </c>
    </row>
    <row r="479" spans="1:9" x14ac:dyDescent="0.3">
      <c r="A479" s="2" t="s">
        <v>511</v>
      </c>
      <c r="B479" s="3">
        <v>45726</v>
      </c>
      <c r="C479" s="2" t="s">
        <v>31</v>
      </c>
      <c r="D479" s="2" t="s">
        <v>11</v>
      </c>
      <c r="E479" s="2" t="s">
        <v>17</v>
      </c>
      <c r="F479" s="2" t="s">
        <v>56</v>
      </c>
      <c r="G479" s="2" t="s">
        <v>19</v>
      </c>
      <c r="H479" s="4">
        <v>117421</v>
      </c>
      <c r="I479" s="4">
        <v>133400</v>
      </c>
    </row>
    <row r="480" spans="1:9" x14ac:dyDescent="0.3">
      <c r="A480" s="2" t="s">
        <v>512</v>
      </c>
      <c r="B480" s="3">
        <v>45726</v>
      </c>
      <c r="C480" s="2" t="s">
        <v>31</v>
      </c>
      <c r="D480" s="2" t="s">
        <v>11</v>
      </c>
      <c r="E480" s="2" t="s">
        <v>17</v>
      </c>
      <c r="F480" s="2" t="s">
        <v>26</v>
      </c>
      <c r="G480" s="2" t="s">
        <v>14</v>
      </c>
      <c r="H480" s="4">
        <v>89001</v>
      </c>
      <c r="I480" s="4">
        <v>91400</v>
      </c>
    </row>
    <row r="481" spans="1:9" x14ac:dyDescent="0.3">
      <c r="A481" s="2" t="s">
        <v>513</v>
      </c>
      <c r="B481" s="3">
        <v>45726</v>
      </c>
      <c r="C481" s="2" t="s">
        <v>55</v>
      </c>
      <c r="D481" s="2" t="s">
        <v>11</v>
      </c>
      <c r="E481" s="2" t="s">
        <v>37</v>
      </c>
      <c r="F481" s="2" t="s">
        <v>46</v>
      </c>
      <c r="G481" s="2" t="s">
        <v>19</v>
      </c>
      <c r="H481" s="4">
        <v>33957</v>
      </c>
      <c r="I481" s="4">
        <v>32300</v>
      </c>
    </row>
    <row r="482" spans="1:9" x14ac:dyDescent="0.3">
      <c r="A482" s="2" t="s">
        <v>514</v>
      </c>
      <c r="B482" s="3">
        <v>45727</v>
      </c>
      <c r="C482" s="2" t="s">
        <v>16</v>
      </c>
      <c r="D482" s="2" t="s">
        <v>11</v>
      </c>
      <c r="E482" s="2" t="s">
        <v>17</v>
      </c>
      <c r="F482" s="2" t="s">
        <v>46</v>
      </c>
      <c r="G482" s="2" t="s">
        <v>19</v>
      </c>
      <c r="H482" s="4">
        <v>113979</v>
      </c>
      <c r="I482" s="4">
        <v>95600</v>
      </c>
    </row>
    <row r="483" spans="1:9" x14ac:dyDescent="0.3">
      <c r="A483" s="2" t="s">
        <v>515</v>
      </c>
      <c r="B483" s="3">
        <v>45727</v>
      </c>
      <c r="C483" s="2" t="s">
        <v>36</v>
      </c>
      <c r="D483" s="2" t="s">
        <v>11</v>
      </c>
      <c r="E483" s="2" t="s">
        <v>37</v>
      </c>
      <c r="F483" s="2" t="s">
        <v>37</v>
      </c>
      <c r="G483" s="2" t="s">
        <v>14</v>
      </c>
      <c r="H483" s="4">
        <v>219550</v>
      </c>
      <c r="I483" s="4">
        <v>208400</v>
      </c>
    </row>
    <row r="484" spans="1:9" x14ac:dyDescent="0.3">
      <c r="A484" s="2" t="s">
        <v>516</v>
      </c>
      <c r="B484" s="3">
        <v>45727</v>
      </c>
      <c r="C484" s="2" t="s">
        <v>25</v>
      </c>
      <c r="D484" s="2" t="s">
        <v>11</v>
      </c>
      <c r="E484" s="2" t="s">
        <v>22</v>
      </c>
      <c r="F484" s="2" t="s">
        <v>39</v>
      </c>
      <c r="G484" s="2" t="s">
        <v>19</v>
      </c>
      <c r="H484" s="4">
        <v>23416</v>
      </c>
      <c r="I484" s="4">
        <v>21900</v>
      </c>
    </row>
    <row r="485" spans="1:9" x14ac:dyDescent="0.3">
      <c r="A485" s="2" t="s">
        <v>517</v>
      </c>
      <c r="B485" s="3">
        <v>45727</v>
      </c>
      <c r="C485" s="2" t="s">
        <v>25</v>
      </c>
      <c r="D485" s="2" t="s">
        <v>11</v>
      </c>
      <c r="E485" s="2" t="s">
        <v>22</v>
      </c>
      <c r="F485" s="2" t="s">
        <v>26</v>
      </c>
      <c r="G485" s="2" t="s">
        <v>14</v>
      </c>
      <c r="H485" s="4">
        <v>232953</v>
      </c>
      <c r="I485" s="4">
        <v>228000</v>
      </c>
    </row>
    <row r="486" spans="1:9" x14ac:dyDescent="0.3">
      <c r="A486" s="2" t="s">
        <v>518</v>
      </c>
      <c r="B486" s="3">
        <v>45728</v>
      </c>
      <c r="C486" s="2" t="s">
        <v>16</v>
      </c>
      <c r="D486" s="2" t="s">
        <v>11</v>
      </c>
      <c r="E486" s="2" t="s">
        <v>17</v>
      </c>
      <c r="F486" s="2" t="s">
        <v>33</v>
      </c>
      <c r="G486" s="2" t="s">
        <v>19</v>
      </c>
      <c r="H486" s="4">
        <v>77114</v>
      </c>
      <c r="I486" s="4">
        <v>88400</v>
      </c>
    </row>
    <row r="487" spans="1:9" x14ac:dyDescent="0.3">
      <c r="A487" s="2" t="s">
        <v>519</v>
      </c>
      <c r="B487" s="3">
        <v>45728</v>
      </c>
      <c r="C487" s="2" t="s">
        <v>36</v>
      </c>
      <c r="D487" s="2" t="s">
        <v>11</v>
      </c>
      <c r="E487" s="2" t="s">
        <v>37</v>
      </c>
      <c r="F487" s="2" t="s">
        <v>18</v>
      </c>
      <c r="G487" s="2" t="s">
        <v>19</v>
      </c>
      <c r="H487" s="4">
        <v>50859</v>
      </c>
      <c r="I487" s="4">
        <v>49900</v>
      </c>
    </row>
    <row r="488" spans="1:9" x14ac:dyDescent="0.3">
      <c r="A488" s="2" t="s">
        <v>520</v>
      </c>
      <c r="B488" s="3">
        <v>45728</v>
      </c>
      <c r="C488" s="2" t="s">
        <v>36</v>
      </c>
      <c r="D488" s="2" t="s">
        <v>11</v>
      </c>
      <c r="E488" s="2" t="s">
        <v>37</v>
      </c>
      <c r="F488" s="2" t="s">
        <v>33</v>
      </c>
      <c r="G488" s="2" t="s">
        <v>19</v>
      </c>
      <c r="H488" s="4">
        <v>111686</v>
      </c>
      <c r="I488" s="4">
        <v>125600</v>
      </c>
    </row>
    <row r="489" spans="1:9" x14ac:dyDescent="0.3">
      <c r="A489" s="2" t="s">
        <v>521</v>
      </c>
      <c r="B489" s="3">
        <v>45728</v>
      </c>
      <c r="C489" s="2" t="s">
        <v>36</v>
      </c>
      <c r="D489" s="2" t="s">
        <v>11</v>
      </c>
      <c r="E489" s="2" t="s">
        <v>37</v>
      </c>
      <c r="F489" s="2" t="s">
        <v>12</v>
      </c>
      <c r="G489" s="2" t="s">
        <v>14</v>
      </c>
      <c r="H489" s="4">
        <v>42697</v>
      </c>
      <c r="I489" s="4">
        <v>51000</v>
      </c>
    </row>
    <row r="490" spans="1:9" x14ac:dyDescent="0.3">
      <c r="A490" s="2" t="s">
        <v>522</v>
      </c>
      <c r="B490" s="3">
        <v>45728</v>
      </c>
      <c r="C490" s="2" t="s">
        <v>25</v>
      </c>
      <c r="D490" s="2" t="s">
        <v>11</v>
      </c>
      <c r="E490" s="2" t="s">
        <v>22</v>
      </c>
      <c r="F490" s="2" t="s">
        <v>13</v>
      </c>
      <c r="G490" s="2" t="s">
        <v>14</v>
      </c>
      <c r="H490" s="4">
        <v>208324</v>
      </c>
      <c r="I490" s="4">
        <v>203700</v>
      </c>
    </row>
    <row r="491" spans="1:9" x14ac:dyDescent="0.3">
      <c r="A491" s="2" t="s">
        <v>523</v>
      </c>
      <c r="B491" s="3">
        <v>45728</v>
      </c>
      <c r="C491" s="2" t="s">
        <v>55</v>
      </c>
      <c r="D491" s="2" t="s">
        <v>11</v>
      </c>
      <c r="E491" s="2" t="s">
        <v>37</v>
      </c>
      <c r="F491" s="2" t="s">
        <v>12</v>
      </c>
      <c r="G491" s="2" t="s">
        <v>14</v>
      </c>
      <c r="H491" s="4">
        <v>105139</v>
      </c>
      <c r="I491" s="4">
        <v>103300</v>
      </c>
    </row>
    <row r="492" spans="1:9" x14ac:dyDescent="0.3">
      <c r="A492" s="2" t="s">
        <v>524</v>
      </c>
      <c r="B492" s="3">
        <v>45729</v>
      </c>
      <c r="C492" s="2" t="s">
        <v>62</v>
      </c>
      <c r="D492" s="2" t="s">
        <v>11</v>
      </c>
      <c r="E492" s="2" t="s">
        <v>22</v>
      </c>
      <c r="F492" s="2" t="s">
        <v>13</v>
      </c>
      <c r="G492" s="2" t="s">
        <v>14</v>
      </c>
      <c r="H492" s="4">
        <v>61640</v>
      </c>
      <c r="I492" s="4">
        <v>60600</v>
      </c>
    </row>
    <row r="493" spans="1:9" x14ac:dyDescent="0.3">
      <c r="A493" s="2" t="s">
        <v>525</v>
      </c>
      <c r="B493" s="3">
        <v>45729</v>
      </c>
      <c r="C493" s="2" t="s">
        <v>10</v>
      </c>
      <c r="D493" s="2" t="s">
        <v>11</v>
      </c>
      <c r="E493" s="2" t="s">
        <v>12</v>
      </c>
      <c r="F493" s="2" t="s">
        <v>33</v>
      </c>
      <c r="G493" s="2" t="s">
        <v>19</v>
      </c>
      <c r="H493" s="4">
        <v>31405</v>
      </c>
      <c r="I493" s="4">
        <v>29100</v>
      </c>
    </row>
    <row r="494" spans="1:9" x14ac:dyDescent="0.3">
      <c r="A494" s="2" t="s">
        <v>526</v>
      </c>
      <c r="B494" s="3">
        <v>45729</v>
      </c>
      <c r="C494" s="2" t="s">
        <v>10</v>
      </c>
      <c r="D494" s="2" t="s">
        <v>11</v>
      </c>
      <c r="E494" s="2" t="s">
        <v>12</v>
      </c>
      <c r="F494" s="2" t="s">
        <v>12</v>
      </c>
      <c r="G494" s="2" t="s">
        <v>14</v>
      </c>
      <c r="H494" s="4">
        <v>27184</v>
      </c>
      <c r="I494" s="4">
        <v>21800</v>
      </c>
    </row>
    <row r="495" spans="1:9" x14ac:dyDescent="0.3">
      <c r="A495" s="2" t="s">
        <v>527</v>
      </c>
      <c r="B495" s="3">
        <v>45729</v>
      </c>
      <c r="C495" s="2" t="s">
        <v>16</v>
      </c>
      <c r="D495" s="2" t="s">
        <v>11</v>
      </c>
      <c r="E495" s="2" t="s">
        <v>17</v>
      </c>
      <c r="F495" s="2" t="s">
        <v>33</v>
      </c>
      <c r="G495" s="2" t="s">
        <v>19</v>
      </c>
      <c r="H495" s="4">
        <v>97390</v>
      </c>
      <c r="I495" s="4">
        <v>92400</v>
      </c>
    </row>
    <row r="496" spans="1:9" x14ac:dyDescent="0.3">
      <c r="A496" s="2" t="s">
        <v>528</v>
      </c>
      <c r="B496" s="3">
        <v>45729</v>
      </c>
      <c r="C496" s="2" t="s">
        <v>36</v>
      </c>
      <c r="D496" s="2" t="s">
        <v>11</v>
      </c>
      <c r="E496" s="2" t="s">
        <v>37</v>
      </c>
      <c r="F496" s="2" t="s">
        <v>12</v>
      </c>
      <c r="G496" s="2" t="s">
        <v>14</v>
      </c>
      <c r="H496" s="4">
        <v>127349</v>
      </c>
      <c r="I496" s="4">
        <v>125900</v>
      </c>
    </row>
    <row r="497" spans="1:9" x14ac:dyDescent="0.3">
      <c r="A497" s="2" t="s">
        <v>529</v>
      </c>
      <c r="B497" s="3">
        <v>45729</v>
      </c>
      <c r="C497" s="2" t="s">
        <v>21</v>
      </c>
      <c r="D497" s="2" t="s">
        <v>11</v>
      </c>
      <c r="E497" s="2" t="s">
        <v>22</v>
      </c>
      <c r="F497" s="2" t="s">
        <v>26</v>
      </c>
      <c r="G497" s="2" t="s">
        <v>14</v>
      </c>
      <c r="H497" s="4">
        <v>175404</v>
      </c>
      <c r="I497" s="4">
        <v>187400</v>
      </c>
    </row>
    <row r="498" spans="1:9" x14ac:dyDescent="0.3">
      <c r="A498" s="2" t="s">
        <v>530</v>
      </c>
      <c r="B498" s="3">
        <v>45729</v>
      </c>
      <c r="C498" s="2" t="s">
        <v>55</v>
      </c>
      <c r="D498" s="2" t="s">
        <v>11</v>
      </c>
      <c r="E498" s="2" t="s">
        <v>37</v>
      </c>
      <c r="F498" s="2" t="s">
        <v>18</v>
      </c>
      <c r="G498" s="2" t="s">
        <v>19</v>
      </c>
      <c r="H498" s="4">
        <v>99938</v>
      </c>
      <c r="I498" s="4">
        <v>111700</v>
      </c>
    </row>
    <row r="499" spans="1:9" x14ac:dyDescent="0.3">
      <c r="A499" s="2" t="s">
        <v>531</v>
      </c>
      <c r="B499" s="3">
        <v>45730</v>
      </c>
      <c r="C499" s="2" t="s">
        <v>62</v>
      </c>
      <c r="D499" s="2" t="s">
        <v>11</v>
      </c>
      <c r="E499" s="2" t="s">
        <v>22</v>
      </c>
      <c r="F499" s="2" t="s">
        <v>46</v>
      </c>
      <c r="G499" s="2" t="s">
        <v>19</v>
      </c>
      <c r="H499" s="4">
        <v>20106</v>
      </c>
      <c r="I499" s="4">
        <v>22800</v>
      </c>
    </row>
    <row r="500" spans="1:9" x14ac:dyDescent="0.3">
      <c r="A500" s="2" t="s">
        <v>532</v>
      </c>
      <c r="B500" s="3">
        <v>45730</v>
      </c>
      <c r="C500" s="2" t="s">
        <v>10</v>
      </c>
      <c r="D500" s="2" t="s">
        <v>11</v>
      </c>
      <c r="E500" s="2" t="s">
        <v>12</v>
      </c>
      <c r="F500" s="2" t="s">
        <v>46</v>
      </c>
      <c r="G500" s="2" t="s">
        <v>19</v>
      </c>
      <c r="H500" s="4">
        <v>52277</v>
      </c>
      <c r="I500" s="4">
        <v>51800</v>
      </c>
    </row>
    <row r="501" spans="1:9" x14ac:dyDescent="0.3">
      <c r="A501" s="2" t="s">
        <v>533</v>
      </c>
      <c r="B501" s="3">
        <v>45730</v>
      </c>
      <c r="C501" s="2" t="s">
        <v>16</v>
      </c>
      <c r="D501" s="2" t="s">
        <v>11</v>
      </c>
      <c r="E501" s="2" t="s">
        <v>17</v>
      </c>
      <c r="F501" s="2" t="s">
        <v>18</v>
      </c>
      <c r="G501" s="2" t="s">
        <v>19</v>
      </c>
      <c r="H501" s="4">
        <v>28190</v>
      </c>
      <c r="I501" s="4">
        <v>21800</v>
      </c>
    </row>
    <row r="502" spans="1:9" x14ac:dyDescent="0.3">
      <c r="A502" s="2" t="s">
        <v>534</v>
      </c>
      <c r="B502" s="3">
        <v>45730</v>
      </c>
      <c r="C502" s="2" t="s">
        <v>36</v>
      </c>
      <c r="D502" s="2" t="s">
        <v>11</v>
      </c>
      <c r="E502" s="2" t="s">
        <v>37</v>
      </c>
      <c r="F502" s="2" t="s">
        <v>12</v>
      </c>
      <c r="G502" s="2" t="s">
        <v>14</v>
      </c>
      <c r="H502" s="4">
        <v>181316</v>
      </c>
      <c r="I502" s="4">
        <v>155700</v>
      </c>
    </row>
    <row r="503" spans="1:9" x14ac:dyDescent="0.3">
      <c r="A503" s="2" t="s">
        <v>535</v>
      </c>
      <c r="B503" s="3">
        <v>45730</v>
      </c>
      <c r="C503" s="2" t="s">
        <v>21</v>
      </c>
      <c r="D503" s="2" t="s">
        <v>11</v>
      </c>
      <c r="E503" s="2" t="s">
        <v>22</v>
      </c>
      <c r="F503" s="2" t="s">
        <v>33</v>
      </c>
      <c r="G503" s="2" t="s">
        <v>19</v>
      </c>
      <c r="H503" s="4">
        <v>43728</v>
      </c>
      <c r="I503" s="4">
        <v>39200</v>
      </c>
    </row>
    <row r="504" spans="1:9" x14ac:dyDescent="0.3">
      <c r="A504" s="2" t="s">
        <v>536</v>
      </c>
      <c r="B504" s="3">
        <v>45730</v>
      </c>
      <c r="C504" s="2" t="s">
        <v>21</v>
      </c>
      <c r="D504" s="2" t="s">
        <v>11</v>
      </c>
      <c r="E504" s="2" t="s">
        <v>22</v>
      </c>
      <c r="F504" s="2" t="s">
        <v>56</v>
      </c>
      <c r="G504" s="2" t="s">
        <v>19</v>
      </c>
      <c r="H504" s="4">
        <v>92025</v>
      </c>
      <c r="I504" s="4">
        <v>96800</v>
      </c>
    </row>
    <row r="505" spans="1:9" x14ac:dyDescent="0.3">
      <c r="A505" s="2" t="s">
        <v>537</v>
      </c>
      <c r="B505" s="3">
        <v>45730</v>
      </c>
      <c r="C505" s="2" t="s">
        <v>21</v>
      </c>
      <c r="D505" s="2" t="s">
        <v>11</v>
      </c>
      <c r="E505" s="2" t="s">
        <v>22</v>
      </c>
      <c r="F505" s="2" t="s">
        <v>23</v>
      </c>
      <c r="G505" s="2" t="s">
        <v>14</v>
      </c>
      <c r="H505" s="4">
        <v>92177</v>
      </c>
      <c r="I505" s="4">
        <v>100800</v>
      </c>
    </row>
    <row r="506" spans="1:9" x14ac:dyDescent="0.3">
      <c r="A506" s="2" t="s">
        <v>538</v>
      </c>
      <c r="B506" s="3">
        <v>45730</v>
      </c>
      <c r="C506" s="2" t="s">
        <v>25</v>
      </c>
      <c r="D506" s="2" t="s">
        <v>11</v>
      </c>
      <c r="E506" s="2" t="s">
        <v>22</v>
      </c>
      <c r="F506" s="2" t="s">
        <v>46</v>
      </c>
      <c r="G506" s="2" t="s">
        <v>19</v>
      </c>
      <c r="H506" s="4">
        <v>40111</v>
      </c>
      <c r="I506" s="4">
        <v>40500</v>
      </c>
    </row>
    <row r="507" spans="1:9" x14ac:dyDescent="0.3">
      <c r="A507" s="2" t="s">
        <v>539</v>
      </c>
      <c r="B507" s="3">
        <v>45730</v>
      </c>
      <c r="C507" s="2" t="s">
        <v>55</v>
      </c>
      <c r="D507" s="2" t="s">
        <v>11</v>
      </c>
      <c r="E507" s="2" t="s">
        <v>37</v>
      </c>
      <c r="F507" s="2" t="s">
        <v>39</v>
      </c>
      <c r="G507" s="2" t="s">
        <v>19</v>
      </c>
      <c r="H507" s="4">
        <v>54630</v>
      </c>
      <c r="I507" s="4">
        <v>53000</v>
      </c>
    </row>
    <row r="508" spans="1:9" x14ac:dyDescent="0.3">
      <c r="A508" s="2" t="s">
        <v>540</v>
      </c>
      <c r="B508" s="3">
        <v>45730</v>
      </c>
      <c r="C508" s="2" t="s">
        <v>55</v>
      </c>
      <c r="D508" s="2" t="s">
        <v>11</v>
      </c>
      <c r="E508" s="2" t="s">
        <v>37</v>
      </c>
      <c r="F508" s="2" t="s">
        <v>23</v>
      </c>
      <c r="G508" s="2" t="s">
        <v>14</v>
      </c>
      <c r="H508" s="4">
        <v>71890</v>
      </c>
      <c r="I508" s="4">
        <v>65700</v>
      </c>
    </row>
    <row r="509" spans="1:9" x14ac:dyDescent="0.3">
      <c r="A509" s="2" t="s">
        <v>541</v>
      </c>
      <c r="B509" s="3">
        <v>45731</v>
      </c>
      <c r="C509" s="2" t="s">
        <v>16</v>
      </c>
      <c r="D509" s="2" t="s">
        <v>11</v>
      </c>
      <c r="E509" s="2" t="s">
        <v>17</v>
      </c>
      <c r="F509" s="2" t="s">
        <v>33</v>
      </c>
      <c r="G509" s="2" t="s">
        <v>19</v>
      </c>
      <c r="H509" s="4">
        <v>105013</v>
      </c>
      <c r="I509" s="4">
        <v>96700</v>
      </c>
    </row>
    <row r="510" spans="1:9" x14ac:dyDescent="0.3">
      <c r="A510" s="2" t="s">
        <v>542</v>
      </c>
      <c r="B510" s="3">
        <v>45731</v>
      </c>
      <c r="C510" s="2" t="s">
        <v>16</v>
      </c>
      <c r="D510" s="2" t="s">
        <v>11</v>
      </c>
      <c r="E510" s="2" t="s">
        <v>17</v>
      </c>
      <c r="F510" s="2" t="s">
        <v>46</v>
      </c>
      <c r="G510" s="2" t="s">
        <v>19</v>
      </c>
      <c r="H510" s="4">
        <v>56489</v>
      </c>
      <c r="I510" s="4">
        <v>56300</v>
      </c>
    </row>
    <row r="511" spans="1:9" x14ac:dyDescent="0.3">
      <c r="A511" s="2" t="s">
        <v>543</v>
      </c>
      <c r="B511" s="3">
        <v>45731</v>
      </c>
      <c r="C511" s="2" t="s">
        <v>16</v>
      </c>
      <c r="D511" s="2" t="s">
        <v>11</v>
      </c>
      <c r="E511" s="2" t="s">
        <v>17</v>
      </c>
      <c r="F511" s="2" t="s">
        <v>46</v>
      </c>
      <c r="G511" s="2" t="s">
        <v>19</v>
      </c>
      <c r="H511" s="4">
        <v>30564</v>
      </c>
      <c r="I511" s="4">
        <v>33700</v>
      </c>
    </row>
    <row r="512" spans="1:9" x14ac:dyDescent="0.3">
      <c r="A512" s="2" t="s">
        <v>544</v>
      </c>
      <c r="B512" s="3">
        <v>45731</v>
      </c>
      <c r="C512" s="2" t="s">
        <v>16</v>
      </c>
      <c r="D512" s="2" t="s">
        <v>11</v>
      </c>
      <c r="E512" s="2" t="s">
        <v>17</v>
      </c>
      <c r="F512" s="2" t="s">
        <v>37</v>
      </c>
      <c r="G512" s="2" t="s">
        <v>14</v>
      </c>
      <c r="H512" s="4">
        <v>191478</v>
      </c>
      <c r="I512" s="4">
        <v>165700</v>
      </c>
    </row>
    <row r="513" spans="1:9" x14ac:dyDescent="0.3">
      <c r="A513" s="2" t="s">
        <v>545</v>
      </c>
      <c r="B513" s="3">
        <v>45731</v>
      </c>
      <c r="C513" s="2" t="s">
        <v>21</v>
      </c>
      <c r="D513" s="2" t="s">
        <v>11</v>
      </c>
      <c r="E513" s="2" t="s">
        <v>22</v>
      </c>
      <c r="F513" s="2" t="s">
        <v>42</v>
      </c>
      <c r="G513" s="2" t="s">
        <v>19</v>
      </c>
      <c r="H513" s="4">
        <v>68523</v>
      </c>
      <c r="I513" s="4">
        <v>79900</v>
      </c>
    </row>
    <row r="514" spans="1:9" x14ac:dyDescent="0.3">
      <c r="A514" s="2" t="s">
        <v>546</v>
      </c>
      <c r="B514" s="3">
        <v>45731</v>
      </c>
      <c r="C514" s="2" t="s">
        <v>25</v>
      </c>
      <c r="D514" s="2" t="s">
        <v>11</v>
      </c>
      <c r="E514" s="2" t="s">
        <v>22</v>
      </c>
      <c r="F514" s="2" t="s">
        <v>39</v>
      </c>
      <c r="G514" s="2" t="s">
        <v>19</v>
      </c>
      <c r="H514" s="4">
        <v>70901</v>
      </c>
      <c r="I514" s="4">
        <v>72400</v>
      </c>
    </row>
    <row r="515" spans="1:9" x14ac:dyDescent="0.3">
      <c r="A515" s="2" t="s">
        <v>547</v>
      </c>
      <c r="B515" s="3">
        <v>45731</v>
      </c>
      <c r="C515" s="2" t="s">
        <v>55</v>
      </c>
      <c r="D515" s="2" t="s">
        <v>11</v>
      </c>
      <c r="E515" s="2" t="s">
        <v>37</v>
      </c>
      <c r="F515" s="2" t="s">
        <v>37</v>
      </c>
      <c r="G515" s="2" t="s">
        <v>14</v>
      </c>
      <c r="H515" s="4">
        <v>195312</v>
      </c>
      <c r="I515" s="4">
        <v>181800</v>
      </c>
    </row>
    <row r="516" spans="1:9" x14ac:dyDescent="0.3">
      <c r="A516" s="2" t="s">
        <v>548</v>
      </c>
      <c r="B516" s="3">
        <v>45732</v>
      </c>
      <c r="C516" s="2" t="s">
        <v>62</v>
      </c>
      <c r="D516" s="2" t="s">
        <v>11</v>
      </c>
      <c r="E516" s="2" t="s">
        <v>22</v>
      </c>
      <c r="F516" s="2" t="s">
        <v>59</v>
      </c>
      <c r="G516" s="2" t="s">
        <v>14</v>
      </c>
      <c r="H516" s="4">
        <v>181752</v>
      </c>
      <c r="I516" s="4">
        <v>182000</v>
      </c>
    </row>
    <row r="517" spans="1:9" x14ac:dyDescent="0.3">
      <c r="A517" s="2" t="s">
        <v>549</v>
      </c>
      <c r="B517" s="3">
        <v>45732</v>
      </c>
      <c r="C517" s="2" t="s">
        <v>16</v>
      </c>
      <c r="D517" s="2" t="s">
        <v>11</v>
      </c>
      <c r="E517" s="2" t="s">
        <v>17</v>
      </c>
      <c r="F517" s="2" t="s">
        <v>12</v>
      </c>
      <c r="G517" s="2" t="s">
        <v>14</v>
      </c>
      <c r="H517" s="4">
        <v>51926</v>
      </c>
      <c r="I517" s="4">
        <v>63100</v>
      </c>
    </row>
    <row r="518" spans="1:9" x14ac:dyDescent="0.3">
      <c r="A518" s="2" t="s">
        <v>550</v>
      </c>
      <c r="B518" s="3">
        <v>45732</v>
      </c>
      <c r="C518" s="2" t="s">
        <v>36</v>
      </c>
      <c r="D518" s="2" t="s">
        <v>11</v>
      </c>
      <c r="E518" s="2" t="s">
        <v>37</v>
      </c>
      <c r="F518" s="2" t="s">
        <v>39</v>
      </c>
      <c r="G518" s="2" t="s">
        <v>19</v>
      </c>
      <c r="H518" s="4">
        <v>113475</v>
      </c>
      <c r="I518" s="4">
        <v>112500</v>
      </c>
    </row>
    <row r="519" spans="1:9" x14ac:dyDescent="0.3">
      <c r="A519" s="2" t="s">
        <v>551</v>
      </c>
      <c r="B519" s="3">
        <v>45732</v>
      </c>
      <c r="C519" s="2" t="s">
        <v>36</v>
      </c>
      <c r="D519" s="2" t="s">
        <v>11</v>
      </c>
      <c r="E519" s="2" t="s">
        <v>37</v>
      </c>
      <c r="F519" s="2" t="s">
        <v>56</v>
      </c>
      <c r="G519" s="2" t="s">
        <v>19</v>
      </c>
      <c r="H519" s="4">
        <v>37403</v>
      </c>
      <c r="I519" s="4">
        <v>35800</v>
      </c>
    </row>
    <row r="520" spans="1:9" x14ac:dyDescent="0.3">
      <c r="A520" s="2" t="s">
        <v>552</v>
      </c>
      <c r="B520" s="3">
        <v>45732</v>
      </c>
      <c r="C520" s="2" t="s">
        <v>21</v>
      </c>
      <c r="D520" s="2" t="s">
        <v>11</v>
      </c>
      <c r="E520" s="2" t="s">
        <v>22</v>
      </c>
      <c r="F520" s="2" t="s">
        <v>12</v>
      </c>
      <c r="G520" s="2" t="s">
        <v>14</v>
      </c>
      <c r="H520" s="4">
        <v>160071</v>
      </c>
      <c r="I520" s="4">
        <v>180300</v>
      </c>
    </row>
    <row r="521" spans="1:9" x14ac:dyDescent="0.3">
      <c r="A521" s="2" t="s">
        <v>553</v>
      </c>
      <c r="B521" s="3">
        <v>45732</v>
      </c>
      <c r="C521" s="2" t="s">
        <v>25</v>
      </c>
      <c r="D521" s="2" t="s">
        <v>11</v>
      </c>
      <c r="E521" s="2" t="s">
        <v>22</v>
      </c>
      <c r="F521" s="2" t="s">
        <v>23</v>
      </c>
      <c r="G521" s="2" t="s">
        <v>14</v>
      </c>
      <c r="H521" s="4">
        <v>41659</v>
      </c>
      <c r="I521" s="4">
        <v>42800</v>
      </c>
    </row>
    <row r="522" spans="1:9" x14ac:dyDescent="0.3">
      <c r="A522" s="2" t="s">
        <v>554</v>
      </c>
      <c r="B522" s="3">
        <v>45733</v>
      </c>
      <c r="C522" s="2" t="s">
        <v>62</v>
      </c>
      <c r="D522" s="2" t="s">
        <v>11</v>
      </c>
      <c r="E522" s="2" t="s">
        <v>22</v>
      </c>
      <c r="F522" s="2" t="s">
        <v>18</v>
      </c>
      <c r="G522" s="2" t="s">
        <v>19</v>
      </c>
      <c r="H522" s="4">
        <v>79030</v>
      </c>
      <c r="I522" s="4">
        <v>71700</v>
      </c>
    </row>
    <row r="523" spans="1:9" x14ac:dyDescent="0.3">
      <c r="A523" s="2" t="s">
        <v>555</v>
      </c>
      <c r="B523" s="3">
        <v>45733</v>
      </c>
      <c r="C523" s="2" t="s">
        <v>10</v>
      </c>
      <c r="D523" s="2" t="s">
        <v>11</v>
      </c>
      <c r="E523" s="2" t="s">
        <v>12</v>
      </c>
      <c r="F523" s="2" t="s">
        <v>18</v>
      </c>
      <c r="G523" s="2" t="s">
        <v>19</v>
      </c>
      <c r="H523" s="4">
        <v>57252</v>
      </c>
      <c r="I523" s="4">
        <v>56700</v>
      </c>
    </row>
    <row r="524" spans="1:9" x14ac:dyDescent="0.3">
      <c r="A524" s="2" t="s">
        <v>556</v>
      </c>
      <c r="B524" s="3">
        <v>45733</v>
      </c>
      <c r="C524" s="2" t="s">
        <v>16</v>
      </c>
      <c r="D524" s="2" t="s">
        <v>11</v>
      </c>
      <c r="E524" s="2" t="s">
        <v>17</v>
      </c>
      <c r="F524" s="2" t="s">
        <v>39</v>
      </c>
      <c r="G524" s="2" t="s">
        <v>19</v>
      </c>
      <c r="H524" s="4">
        <v>86280</v>
      </c>
      <c r="I524" s="4">
        <v>95100</v>
      </c>
    </row>
    <row r="525" spans="1:9" x14ac:dyDescent="0.3">
      <c r="A525" s="2" t="s">
        <v>557</v>
      </c>
      <c r="B525" s="3">
        <v>45733</v>
      </c>
      <c r="C525" s="2" t="s">
        <v>16</v>
      </c>
      <c r="D525" s="2" t="s">
        <v>11</v>
      </c>
      <c r="E525" s="2" t="s">
        <v>17</v>
      </c>
      <c r="F525" s="2" t="s">
        <v>33</v>
      </c>
      <c r="G525" s="2" t="s">
        <v>19</v>
      </c>
      <c r="H525" s="4">
        <v>63538</v>
      </c>
      <c r="I525" s="4">
        <v>66200</v>
      </c>
    </row>
    <row r="526" spans="1:9" x14ac:dyDescent="0.3">
      <c r="A526" s="2" t="s">
        <v>558</v>
      </c>
      <c r="B526" s="3">
        <v>45733</v>
      </c>
      <c r="C526" s="2" t="s">
        <v>16</v>
      </c>
      <c r="D526" s="2" t="s">
        <v>11</v>
      </c>
      <c r="E526" s="2" t="s">
        <v>17</v>
      </c>
      <c r="F526" s="2" t="s">
        <v>37</v>
      </c>
      <c r="G526" s="2" t="s">
        <v>14</v>
      </c>
      <c r="H526" s="4">
        <v>146826</v>
      </c>
      <c r="I526" s="4">
        <v>164900</v>
      </c>
    </row>
    <row r="527" spans="1:9" x14ac:dyDescent="0.3">
      <c r="A527" s="2" t="s">
        <v>559</v>
      </c>
      <c r="B527" s="3">
        <v>45733</v>
      </c>
      <c r="C527" s="2" t="s">
        <v>21</v>
      </c>
      <c r="D527" s="2" t="s">
        <v>11</v>
      </c>
      <c r="E527" s="2" t="s">
        <v>22</v>
      </c>
      <c r="F527" s="2" t="s">
        <v>37</v>
      </c>
      <c r="G527" s="2" t="s">
        <v>14</v>
      </c>
      <c r="H527" s="4">
        <v>227873</v>
      </c>
      <c r="I527" s="4">
        <v>243900</v>
      </c>
    </row>
    <row r="528" spans="1:9" x14ac:dyDescent="0.3">
      <c r="A528" s="2" t="s">
        <v>560</v>
      </c>
      <c r="B528" s="3">
        <v>45733</v>
      </c>
      <c r="C528" s="2" t="s">
        <v>31</v>
      </c>
      <c r="D528" s="2" t="s">
        <v>11</v>
      </c>
      <c r="E528" s="2" t="s">
        <v>17</v>
      </c>
      <c r="F528" s="2" t="s">
        <v>18</v>
      </c>
      <c r="G528" s="2" t="s">
        <v>19</v>
      </c>
      <c r="H528" s="4">
        <v>72188</v>
      </c>
      <c r="I528" s="4">
        <v>62000</v>
      </c>
    </row>
    <row r="529" spans="1:9" x14ac:dyDescent="0.3">
      <c r="A529" s="2" t="s">
        <v>561</v>
      </c>
      <c r="B529" s="3">
        <v>45734</v>
      </c>
      <c r="C529" s="2" t="s">
        <v>62</v>
      </c>
      <c r="D529" s="2" t="s">
        <v>11</v>
      </c>
      <c r="E529" s="2" t="s">
        <v>22</v>
      </c>
      <c r="F529" s="2" t="s">
        <v>12</v>
      </c>
      <c r="G529" s="2" t="s">
        <v>14</v>
      </c>
      <c r="H529" s="4">
        <v>132805</v>
      </c>
      <c r="I529" s="4">
        <v>137600</v>
      </c>
    </row>
    <row r="530" spans="1:9" x14ac:dyDescent="0.3">
      <c r="A530" s="2" t="s">
        <v>562</v>
      </c>
      <c r="B530" s="3">
        <v>45734</v>
      </c>
      <c r="C530" s="2" t="s">
        <v>10</v>
      </c>
      <c r="D530" s="2" t="s">
        <v>11</v>
      </c>
      <c r="E530" s="2" t="s">
        <v>12</v>
      </c>
      <c r="F530" s="2" t="s">
        <v>23</v>
      </c>
      <c r="G530" s="2" t="s">
        <v>14</v>
      </c>
      <c r="H530" s="4">
        <v>238578</v>
      </c>
      <c r="I530" s="4">
        <v>206600</v>
      </c>
    </row>
    <row r="531" spans="1:9" x14ac:dyDescent="0.3">
      <c r="A531" s="2" t="s">
        <v>563</v>
      </c>
      <c r="B531" s="3">
        <v>45734</v>
      </c>
      <c r="C531" s="2" t="s">
        <v>36</v>
      </c>
      <c r="D531" s="2" t="s">
        <v>11</v>
      </c>
      <c r="E531" s="2" t="s">
        <v>37</v>
      </c>
      <c r="F531" s="2" t="s">
        <v>13</v>
      </c>
      <c r="G531" s="2" t="s">
        <v>14</v>
      </c>
      <c r="H531" s="4">
        <v>199799</v>
      </c>
      <c r="I531" s="4">
        <v>209300</v>
      </c>
    </row>
    <row r="532" spans="1:9" x14ac:dyDescent="0.3">
      <c r="A532" s="2" t="s">
        <v>564</v>
      </c>
      <c r="B532" s="3">
        <v>45734</v>
      </c>
      <c r="C532" s="2" t="s">
        <v>21</v>
      </c>
      <c r="D532" s="2" t="s">
        <v>11</v>
      </c>
      <c r="E532" s="2" t="s">
        <v>22</v>
      </c>
      <c r="F532" s="2" t="s">
        <v>46</v>
      </c>
      <c r="G532" s="2" t="s">
        <v>19</v>
      </c>
      <c r="H532" s="4">
        <v>114468</v>
      </c>
      <c r="I532" s="4">
        <v>117600</v>
      </c>
    </row>
    <row r="533" spans="1:9" x14ac:dyDescent="0.3">
      <c r="A533" s="2" t="s">
        <v>565</v>
      </c>
      <c r="B533" s="3">
        <v>45734</v>
      </c>
      <c r="C533" s="2" t="s">
        <v>21</v>
      </c>
      <c r="D533" s="2" t="s">
        <v>11</v>
      </c>
      <c r="E533" s="2" t="s">
        <v>22</v>
      </c>
      <c r="F533" s="2" t="s">
        <v>12</v>
      </c>
      <c r="G533" s="2" t="s">
        <v>14</v>
      </c>
      <c r="H533" s="4">
        <v>70426</v>
      </c>
      <c r="I533" s="4">
        <v>63200</v>
      </c>
    </row>
    <row r="534" spans="1:9" x14ac:dyDescent="0.3">
      <c r="A534" s="2" t="s">
        <v>566</v>
      </c>
      <c r="B534" s="3">
        <v>45734</v>
      </c>
      <c r="C534" s="2" t="s">
        <v>25</v>
      </c>
      <c r="D534" s="2" t="s">
        <v>11</v>
      </c>
      <c r="E534" s="2" t="s">
        <v>22</v>
      </c>
      <c r="F534" s="2" t="s">
        <v>18</v>
      </c>
      <c r="G534" s="2" t="s">
        <v>19</v>
      </c>
      <c r="H534" s="4">
        <v>23563</v>
      </c>
      <c r="I534" s="4">
        <v>18900</v>
      </c>
    </row>
    <row r="535" spans="1:9" x14ac:dyDescent="0.3">
      <c r="A535" s="2" t="s">
        <v>567</v>
      </c>
      <c r="B535" s="3">
        <v>45734</v>
      </c>
      <c r="C535" s="2" t="s">
        <v>25</v>
      </c>
      <c r="D535" s="2" t="s">
        <v>11</v>
      </c>
      <c r="E535" s="2" t="s">
        <v>22</v>
      </c>
      <c r="F535" s="2" t="s">
        <v>33</v>
      </c>
      <c r="G535" s="2" t="s">
        <v>19</v>
      </c>
      <c r="H535" s="4">
        <v>98318</v>
      </c>
      <c r="I535" s="4">
        <v>110300</v>
      </c>
    </row>
    <row r="536" spans="1:9" x14ac:dyDescent="0.3">
      <c r="A536" s="2" t="s">
        <v>568</v>
      </c>
      <c r="B536" s="3">
        <v>45735</v>
      </c>
      <c r="C536" s="2" t="s">
        <v>62</v>
      </c>
      <c r="D536" s="2" t="s">
        <v>11</v>
      </c>
      <c r="E536" s="2" t="s">
        <v>22</v>
      </c>
      <c r="F536" s="2" t="s">
        <v>26</v>
      </c>
      <c r="G536" s="2" t="s">
        <v>14</v>
      </c>
      <c r="H536" s="4">
        <v>86325</v>
      </c>
      <c r="I536" s="4">
        <v>77700</v>
      </c>
    </row>
    <row r="537" spans="1:9" x14ac:dyDescent="0.3">
      <c r="A537" s="2" t="s">
        <v>569</v>
      </c>
      <c r="B537" s="3">
        <v>45735</v>
      </c>
      <c r="C537" s="2" t="s">
        <v>62</v>
      </c>
      <c r="D537" s="2" t="s">
        <v>11</v>
      </c>
      <c r="E537" s="2" t="s">
        <v>22</v>
      </c>
      <c r="F537" s="2" t="s">
        <v>13</v>
      </c>
      <c r="G537" s="2" t="s">
        <v>14</v>
      </c>
      <c r="H537" s="4">
        <v>127797</v>
      </c>
      <c r="I537" s="4">
        <v>146000</v>
      </c>
    </row>
    <row r="538" spans="1:9" x14ac:dyDescent="0.3">
      <c r="A538" s="2" t="s">
        <v>570</v>
      </c>
      <c r="B538" s="3">
        <v>45735</v>
      </c>
      <c r="C538" s="2" t="s">
        <v>25</v>
      </c>
      <c r="D538" s="2" t="s">
        <v>11</v>
      </c>
      <c r="E538" s="2" t="s">
        <v>22</v>
      </c>
      <c r="F538" s="2" t="s">
        <v>39</v>
      </c>
      <c r="G538" s="2" t="s">
        <v>19</v>
      </c>
      <c r="H538" s="4">
        <v>103076</v>
      </c>
      <c r="I538" s="4">
        <v>103100</v>
      </c>
    </row>
    <row r="539" spans="1:9" x14ac:dyDescent="0.3">
      <c r="A539" s="2" t="s">
        <v>571</v>
      </c>
      <c r="B539" s="3">
        <v>45735</v>
      </c>
      <c r="C539" s="2" t="s">
        <v>31</v>
      </c>
      <c r="D539" s="2" t="s">
        <v>11</v>
      </c>
      <c r="E539" s="2" t="s">
        <v>17</v>
      </c>
      <c r="F539" s="2" t="s">
        <v>12</v>
      </c>
      <c r="G539" s="2" t="s">
        <v>14</v>
      </c>
      <c r="H539" s="4">
        <v>172891</v>
      </c>
      <c r="I539" s="4">
        <v>173700</v>
      </c>
    </row>
    <row r="540" spans="1:9" x14ac:dyDescent="0.3">
      <c r="A540" s="2" t="s">
        <v>572</v>
      </c>
      <c r="B540" s="3">
        <v>45735</v>
      </c>
      <c r="C540" s="2" t="s">
        <v>31</v>
      </c>
      <c r="D540" s="2" t="s">
        <v>11</v>
      </c>
      <c r="E540" s="2" t="s">
        <v>17</v>
      </c>
      <c r="F540" s="2" t="s">
        <v>13</v>
      </c>
      <c r="G540" s="2" t="s">
        <v>14</v>
      </c>
      <c r="H540" s="4">
        <v>29698</v>
      </c>
      <c r="I540" s="4">
        <v>28500</v>
      </c>
    </row>
    <row r="541" spans="1:9" x14ac:dyDescent="0.3">
      <c r="A541" s="2" t="s">
        <v>573</v>
      </c>
      <c r="B541" s="3">
        <v>45735</v>
      </c>
      <c r="C541" s="2" t="s">
        <v>31</v>
      </c>
      <c r="D541" s="2" t="s">
        <v>11</v>
      </c>
      <c r="E541" s="2" t="s">
        <v>17</v>
      </c>
      <c r="F541" s="2" t="s">
        <v>59</v>
      </c>
      <c r="G541" s="2" t="s">
        <v>14</v>
      </c>
      <c r="H541" s="4">
        <v>26913</v>
      </c>
      <c r="I541" s="4">
        <v>25800</v>
      </c>
    </row>
    <row r="542" spans="1:9" x14ac:dyDescent="0.3">
      <c r="A542" s="2" t="s">
        <v>574</v>
      </c>
      <c r="B542" s="3">
        <v>45736</v>
      </c>
      <c r="C542" s="2" t="s">
        <v>21</v>
      </c>
      <c r="D542" s="2" t="s">
        <v>11</v>
      </c>
      <c r="E542" s="2" t="s">
        <v>22</v>
      </c>
      <c r="F542" s="2" t="s">
        <v>33</v>
      </c>
      <c r="G542" s="2" t="s">
        <v>19</v>
      </c>
      <c r="H542" s="4">
        <v>88640</v>
      </c>
      <c r="I542" s="4">
        <v>89700</v>
      </c>
    </row>
    <row r="543" spans="1:9" x14ac:dyDescent="0.3">
      <c r="A543" s="2" t="s">
        <v>575</v>
      </c>
      <c r="B543" s="3">
        <v>45736</v>
      </c>
      <c r="C543" s="2" t="s">
        <v>21</v>
      </c>
      <c r="D543" s="2" t="s">
        <v>11</v>
      </c>
      <c r="E543" s="2" t="s">
        <v>22</v>
      </c>
      <c r="F543" s="2" t="s">
        <v>18</v>
      </c>
      <c r="G543" s="2" t="s">
        <v>19</v>
      </c>
      <c r="H543" s="4">
        <v>103155</v>
      </c>
      <c r="I543" s="4">
        <v>100700</v>
      </c>
    </row>
    <row r="544" spans="1:9" x14ac:dyDescent="0.3">
      <c r="A544" s="2" t="s">
        <v>576</v>
      </c>
      <c r="B544" s="3">
        <v>45736</v>
      </c>
      <c r="C544" s="2" t="s">
        <v>31</v>
      </c>
      <c r="D544" s="2" t="s">
        <v>11</v>
      </c>
      <c r="E544" s="2" t="s">
        <v>17</v>
      </c>
      <c r="F544" s="2" t="s">
        <v>37</v>
      </c>
      <c r="G544" s="2" t="s">
        <v>14</v>
      </c>
      <c r="H544" s="4">
        <v>182444</v>
      </c>
      <c r="I544" s="4">
        <v>163800</v>
      </c>
    </row>
    <row r="545" spans="1:9" x14ac:dyDescent="0.3">
      <c r="A545" s="2" t="s">
        <v>577</v>
      </c>
      <c r="B545" s="3">
        <v>45736</v>
      </c>
      <c r="C545" s="2" t="s">
        <v>55</v>
      </c>
      <c r="D545" s="2" t="s">
        <v>11</v>
      </c>
      <c r="E545" s="2" t="s">
        <v>37</v>
      </c>
      <c r="F545" s="2" t="s">
        <v>39</v>
      </c>
      <c r="G545" s="2" t="s">
        <v>19</v>
      </c>
      <c r="H545" s="4">
        <v>14127</v>
      </c>
      <c r="I545" s="4">
        <v>12600</v>
      </c>
    </row>
    <row r="546" spans="1:9" x14ac:dyDescent="0.3">
      <c r="A546" s="2" t="s">
        <v>578</v>
      </c>
      <c r="B546" s="3">
        <v>45737</v>
      </c>
      <c r="C546" s="2" t="s">
        <v>62</v>
      </c>
      <c r="D546" s="2" t="s">
        <v>11</v>
      </c>
      <c r="E546" s="2" t="s">
        <v>22</v>
      </c>
      <c r="F546" s="2" t="s">
        <v>39</v>
      </c>
      <c r="G546" s="2" t="s">
        <v>19</v>
      </c>
      <c r="H546" s="4">
        <v>56922</v>
      </c>
      <c r="I546" s="4">
        <v>46600</v>
      </c>
    </row>
    <row r="547" spans="1:9" x14ac:dyDescent="0.3">
      <c r="A547" s="2" t="s">
        <v>579</v>
      </c>
      <c r="B547" s="3">
        <v>45737</v>
      </c>
      <c r="C547" s="2" t="s">
        <v>62</v>
      </c>
      <c r="D547" s="2" t="s">
        <v>11</v>
      </c>
      <c r="E547" s="2" t="s">
        <v>22</v>
      </c>
      <c r="F547" s="2" t="s">
        <v>18</v>
      </c>
      <c r="G547" s="2" t="s">
        <v>19</v>
      </c>
      <c r="H547" s="4">
        <v>67496</v>
      </c>
      <c r="I547" s="4">
        <v>67900</v>
      </c>
    </row>
    <row r="548" spans="1:9" x14ac:dyDescent="0.3">
      <c r="A548" s="2" t="s">
        <v>580</v>
      </c>
      <c r="B548" s="3">
        <v>45737</v>
      </c>
      <c r="C548" s="2" t="s">
        <v>36</v>
      </c>
      <c r="D548" s="2" t="s">
        <v>11</v>
      </c>
      <c r="E548" s="2" t="s">
        <v>37</v>
      </c>
      <c r="F548" s="2" t="s">
        <v>37</v>
      </c>
      <c r="G548" s="2" t="s">
        <v>14</v>
      </c>
      <c r="H548" s="4">
        <v>202636</v>
      </c>
      <c r="I548" s="4">
        <v>171600</v>
      </c>
    </row>
    <row r="549" spans="1:9" x14ac:dyDescent="0.3">
      <c r="A549" s="2" t="s">
        <v>581</v>
      </c>
      <c r="B549" s="3">
        <v>45737</v>
      </c>
      <c r="C549" s="2" t="s">
        <v>36</v>
      </c>
      <c r="D549" s="2" t="s">
        <v>11</v>
      </c>
      <c r="E549" s="2" t="s">
        <v>37</v>
      </c>
      <c r="F549" s="2" t="s">
        <v>23</v>
      </c>
      <c r="G549" s="2" t="s">
        <v>14</v>
      </c>
      <c r="H549" s="4">
        <v>113286</v>
      </c>
      <c r="I549" s="4">
        <v>109200</v>
      </c>
    </row>
    <row r="550" spans="1:9" x14ac:dyDescent="0.3">
      <c r="A550" s="2" t="s">
        <v>582</v>
      </c>
      <c r="B550" s="3">
        <v>45737</v>
      </c>
      <c r="C550" s="2" t="s">
        <v>31</v>
      </c>
      <c r="D550" s="2" t="s">
        <v>11</v>
      </c>
      <c r="E550" s="2" t="s">
        <v>17</v>
      </c>
      <c r="F550" s="2" t="s">
        <v>33</v>
      </c>
      <c r="G550" s="2" t="s">
        <v>19</v>
      </c>
      <c r="H550" s="4">
        <v>52924</v>
      </c>
      <c r="I550" s="4">
        <v>51500</v>
      </c>
    </row>
    <row r="551" spans="1:9" x14ac:dyDescent="0.3">
      <c r="A551" s="2" t="s">
        <v>583</v>
      </c>
      <c r="B551" s="3">
        <v>45737</v>
      </c>
      <c r="C551" s="2" t="s">
        <v>31</v>
      </c>
      <c r="D551" s="2" t="s">
        <v>11</v>
      </c>
      <c r="E551" s="2" t="s">
        <v>17</v>
      </c>
      <c r="F551" s="2" t="s">
        <v>59</v>
      </c>
      <c r="G551" s="2" t="s">
        <v>14</v>
      </c>
      <c r="H551" s="4">
        <v>52833</v>
      </c>
      <c r="I551" s="4">
        <v>54500</v>
      </c>
    </row>
    <row r="552" spans="1:9" x14ac:dyDescent="0.3">
      <c r="A552" s="2" t="s">
        <v>584</v>
      </c>
      <c r="B552" s="3">
        <v>45738</v>
      </c>
      <c r="C552" s="2" t="s">
        <v>62</v>
      </c>
      <c r="D552" s="2" t="s">
        <v>11</v>
      </c>
      <c r="E552" s="2" t="s">
        <v>22</v>
      </c>
      <c r="F552" s="2" t="s">
        <v>12</v>
      </c>
      <c r="G552" s="2" t="s">
        <v>14</v>
      </c>
      <c r="H552" s="4">
        <v>247277</v>
      </c>
      <c r="I552" s="4">
        <v>205600</v>
      </c>
    </row>
    <row r="553" spans="1:9" x14ac:dyDescent="0.3">
      <c r="A553" s="2" t="s">
        <v>585</v>
      </c>
      <c r="B553" s="3">
        <v>45738</v>
      </c>
      <c r="C553" s="2" t="s">
        <v>10</v>
      </c>
      <c r="D553" s="2" t="s">
        <v>11</v>
      </c>
      <c r="E553" s="2" t="s">
        <v>12</v>
      </c>
      <c r="F553" s="2" t="s">
        <v>42</v>
      </c>
      <c r="G553" s="2" t="s">
        <v>19</v>
      </c>
      <c r="H553" s="4">
        <v>110930</v>
      </c>
      <c r="I553" s="4">
        <v>116400</v>
      </c>
    </row>
    <row r="554" spans="1:9" x14ac:dyDescent="0.3">
      <c r="A554" s="2" t="s">
        <v>586</v>
      </c>
      <c r="B554" s="3">
        <v>45738</v>
      </c>
      <c r="C554" s="2" t="s">
        <v>10</v>
      </c>
      <c r="D554" s="2" t="s">
        <v>11</v>
      </c>
      <c r="E554" s="2" t="s">
        <v>12</v>
      </c>
      <c r="F554" s="2" t="s">
        <v>26</v>
      </c>
      <c r="G554" s="2" t="s">
        <v>14</v>
      </c>
      <c r="H554" s="4">
        <v>96684</v>
      </c>
      <c r="I554" s="4">
        <v>114500</v>
      </c>
    </row>
    <row r="555" spans="1:9" x14ac:dyDescent="0.3">
      <c r="A555" s="2" t="s">
        <v>587</v>
      </c>
      <c r="B555" s="3">
        <v>45738</v>
      </c>
      <c r="C555" s="2" t="s">
        <v>16</v>
      </c>
      <c r="D555" s="2" t="s">
        <v>11</v>
      </c>
      <c r="E555" s="2" t="s">
        <v>17</v>
      </c>
      <c r="F555" s="2" t="s">
        <v>39</v>
      </c>
      <c r="G555" s="2" t="s">
        <v>19</v>
      </c>
      <c r="H555" s="4">
        <v>45257</v>
      </c>
      <c r="I555" s="4">
        <v>49600</v>
      </c>
    </row>
    <row r="556" spans="1:9" x14ac:dyDescent="0.3">
      <c r="A556" s="2" t="s">
        <v>588</v>
      </c>
      <c r="B556" s="3">
        <v>45738</v>
      </c>
      <c r="C556" s="2" t="s">
        <v>16</v>
      </c>
      <c r="D556" s="2" t="s">
        <v>11</v>
      </c>
      <c r="E556" s="2" t="s">
        <v>17</v>
      </c>
      <c r="F556" s="2" t="s">
        <v>33</v>
      </c>
      <c r="G556" s="2" t="s">
        <v>19</v>
      </c>
      <c r="H556" s="4">
        <v>93457</v>
      </c>
      <c r="I556" s="4">
        <v>93700</v>
      </c>
    </row>
    <row r="557" spans="1:9" x14ac:dyDescent="0.3">
      <c r="A557" s="2" t="s">
        <v>589</v>
      </c>
      <c r="B557" s="3">
        <v>45738</v>
      </c>
      <c r="C557" s="2" t="s">
        <v>16</v>
      </c>
      <c r="D557" s="2" t="s">
        <v>11</v>
      </c>
      <c r="E557" s="2" t="s">
        <v>17</v>
      </c>
      <c r="F557" s="2" t="s">
        <v>26</v>
      </c>
      <c r="G557" s="2" t="s">
        <v>14</v>
      </c>
      <c r="H557" s="4">
        <v>57982</v>
      </c>
      <c r="I557" s="4">
        <v>52500</v>
      </c>
    </row>
    <row r="558" spans="1:9" x14ac:dyDescent="0.3">
      <c r="A558" s="2" t="s">
        <v>590</v>
      </c>
      <c r="B558" s="3">
        <v>45738</v>
      </c>
      <c r="C558" s="2" t="s">
        <v>21</v>
      </c>
      <c r="D558" s="2" t="s">
        <v>11</v>
      </c>
      <c r="E558" s="2" t="s">
        <v>22</v>
      </c>
      <c r="F558" s="2" t="s">
        <v>18</v>
      </c>
      <c r="G558" s="2" t="s">
        <v>19</v>
      </c>
      <c r="H558" s="4">
        <v>91370</v>
      </c>
      <c r="I558" s="4">
        <v>77900</v>
      </c>
    </row>
    <row r="559" spans="1:9" x14ac:dyDescent="0.3">
      <c r="A559" s="2" t="s">
        <v>591</v>
      </c>
      <c r="B559" s="3">
        <v>45738</v>
      </c>
      <c r="C559" s="2" t="s">
        <v>31</v>
      </c>
      <c r="D559" s="2" t="s">
        <v>11</v>
      </c>
      <c r="E559" s="2" t="s">
        <v>17</v>
      </c>
      <c r="F559" s="2" t="s">
        <v>46</v>
      </c>
      <c r="G559" s="2" t="s">
        <v>19</v>
      </c>
      <c r="H559" s="4">
        <v>50849</v>
      </c>
      <c r="I559" s="4">
        <v>51700</v>
      </c>
    </row>
    <row r="560" spans="1:9" x14ac:dyDescent="0.3">
      <c r="A560" s="2" t="s">
        <v>592</v>
      </c>
      <c r="B560" s="3">
        <v>45739</v>
      </c>
      <c r="C560" s="2" t="s">
        <v>62</v>
      </c>
      <c r="D560" s="2" t="s">
        <v>11</v>
      </c>
      <c r="E560" s="2" t="s">
        <v>22</v>
      </c>
      <c r="F560" s="2" t="s">
        <v>42</v>
      </c>
      <c r="G560" s="2" t="s">
        <v>19</v>
      </c>
      <c r="H560" s="4">
        <v>116453</v>
      </c>
      <c r="I560" s="4">
        <v>113500</v>
      </c>
    </row>
    <row r="561" spans="1:9" x14ac:dyDescent="0.3">
      <c r="A561" s="2" t="s">
        <v>593</v>
      </c>
      <c r="B561" s="3">
        <v>45739</v>
      </c>
      <c r="C561" s="2" t="s">
        <v>62</v>
      </c>
      <c r="D561" s="2" t="s">
        <v>11</v>
      </c>
      <c r="E561" s="2" t="s">
        <v>22</v>
      </c>
      <c r="F561" s="2" t="s">
        <v>26</v>
      </c>
      <c r="G561" s="2" t="s">
        <v>14</v>
      </c>
      <c r="H561" s="4">
        <v>205699</v>
      </c>
      <c r="I561" s="4">
        <v>207400</v>
      </c>
    </row>
    <row r="562" spans="1:9" x14ac:dyDescent="0.3">
      <c r="A562" s="2" t="s">
        <v>594</v>
      </c>
      <c r="B562" s="3">
        <v>45739</v>
      </c>
      <c r="C562" s="2" t="s">
        <v>36</v>
      </c>
      <c r="D562" s="2" t="s">
        <v>11</v>
      </c>
      <c r="E562" s="2" t="s">
        <v>37</v>
      </c>
      <c r="F562" s="2" t="s">
        <v>42</v>
      </c>
      <c r="G562" s="2" t="s">
        <v>19</v>
      </c>
      <c r="H562" s="4">
        <v>33266</v>
      </c>
      <c r="I562" s="4">
        <v>33300</v>
      </c>
    </row>
    <row r="563" spans="1:9" x14ac:dyDescent="0.3">
      <c r="A563" s="2" t="s">
        <v>595</v>
      </c>
      <c r="B563" s="3">
        <v>45739</v>
      </c>
      <c r="C563" s="2" t="s">
        <v>36</v>
      </c>
      <c r="D563" s="2" t="s">
        <v>11</v>
      </c>
      <c r="E563" s="2" t="s">
        <v>37</v>
      </c>
      <c r="F563" s="2" t="s">
        <v>59</v>
      </c>
      <c r="G563" s="2" t="s">
        <v>14</v>
      </c>
      <c r="H563" s="4">
        <v>132022</v>
      </c>
      <c r="I563" s="4">
        <v>103300</v>
      </c>
    </row>
    <row r="564" spans="1:9" x14ac:dyDescent="0.3">
      <c r="A564" s="2" t="s">
        <v>596</v>
      </c>
      <c r="B564" s="3">
        <v>45739</v>
      </c>
      <c r="C564" s="2" t="s">
        <v>25</v>
      </c>
      <c r="D564" s="2" t="s">
        <v>11</v>
      </c>
      <c r="E564" s="2" t="s">
        <v>22</v>
      </c>
      <c r="F564" s="2" t="s">
        <v>23</v>
      </c>
      <c r="G564" s="2" t="s">
        <v>14</v>
      </c>
      <c r="H564" s="4">
        <v>179171</v>
      </c>
      <c r="I564" s="4">
        <v>187700</v>
      </c>
    </row>
    <row r="565" spans="1:9" x14ac:dyDescent="0.3">
      <c r="A565" s="2" t="s">
        <v>597</v>
      </c>
      <c r="B565" s="3">
        <v>45739</v>
      </c>
      <c r="C565" s="2" t="s">
        <v>25</v>
      </c>
      <c r="D565" s="2" t="s">
        <v>11</v>
      </c>
      <c r="E565" s="2" t="s">
        <v>22</v>
      </c>
      <c r="F565" s="2" t="s">
        <v>23</v>
      </c>
      <c r="G565" s="2" t="s">
        <v>14</v>
      </c>
      <c r="H565" s="4">
        <v>106609</v>
      </c>
      <c r="I565" s="4">
        <v>106500</v>
      </c>
    </row>
    <row r="566" spans="1:9" x14ac:dyDescent="0.3">
      <c r="A566" s="2" t="s">
        <v>598</v>
      </c>
      <c r="B566" s="3">
        <v>45739</v>
      </c>
      <c r="C566" s="2" t="s">
        <v>31</v>
      </c>
      <c r="D566" s="2" t="s">
        <v>11</v>
      </c>
      <c r="E566" s="2" t="s">
        <v>17</v>
      </c>
      <c r="F566" s="2" t="s">
        <v>33</v>
      </c>
      <c r="G566" s="2" t="s">
        <v>19</v>
      </c>
      <c r="H566" s="4">
        <v>34733</v>
      </c>
      <c r="I566" s="4">
        <v>35500</v>
      </c>
    </row>
    <row r="567" spans="1:9" x14ac:dyDescent="0.3">
      <c r="A567" s="2" t="s">
        <v>599</v>
      </c>
      <c r="B567" s="3">
        <v>45740</v>
      </c>
      <c r="C567" s="2" t="s">
        <v>62</v>
      </c>
      <c r="D567" s="2" t="s">
        <v>11</v>
      </c>
      <c r="E567" s="2" t="s">
        <v>22</v>
      </c>
      <c r="F567" s="2" t="s">
        <v>18</v>
      </c>
      <c r="G567" s="2" t="s">
        <v>19</v>
      </c>
      <c r="H567" s="4">
        <v>16890</v>
      </c>
      <c r="I567" s="4">
        <v>19400</v>
      </c>
    </row>
    <row r="568" spans="1:9" x14ac:dyDescent="0.3">
      <c r="A568" s="2" t="s">
        <v>600</v>
      </c>
      <c r="B568" s="3">
        <v>45740</v>
      </c>
      <c r="C568" s="2" t="s">
        <v>10</v>
      </c>
      <c r="D568" s="2" t="s">
        <v>11</v>
      </c>
      <c r="E568" s="2" t="s">
        <v>12</v>
      </c>
      <c r="F568" s="2" t="s">
        <v>26</v>
      </c>
      <c r="G568" s="2" t="s">
        <v>14</v>
      </c>
      <c r="H568" s="4">
        <v>176298</v>
      </c>
      <c r="I568" s="4">
        <v>202900</v>
      </c>
    </row>
    <row r="569" spans="1:9" x14ac:dyDescent="0.3">
      <c r="A569" s="2" t="s">
        <v>601</v>
      </c>
      <c r="B569" s="3">
        <v>45740</v>
      </c>
      <c r="C569" s="2" t="s">
        <v>16</v>
      </c>
      <c r="D569" s="2" t="s">
        <v>11</v>
      </c>
      <c r="E569" s="2" t="s">
        <v>17</v>
      </c>
      <c r="F569" s="2" t="s">
        <v>23</v>
      </c>
      <c r="G569" s="2" t="s">
        <v>14</v>
      </c>
      <c r="H569" s="4">
        <v>244191</v>
      </c>
      <c r="I569" s="4">
        <v>212200</v>
      </c>
    </row>
    <row r="570" spans="1:9" x14ac:dyDescent="0.3">
      <c r="A570" s="2" t="s">
        <v>602</v>
      </c>
      <c r="B570" s="3">
        <v>45740</v>
      </c>
      <c r="C570" s="2" t="s">
        <v>36</v>
      </c>
      <c r="D570" s="2" t="s">
        <v>11</v>
      </c>
      <c r="E570" s="2" t="s">
        <v>37</v>
      </c>
      <c r="F570" s="2" t="s">
        <v>12</v>
      </c>
      <c r="G570" s="2" t="s">
        <v>14</v>
      </c>
      <c r="H570" s="4">
        <v>61533</v>
      </c>
      <c r="I570" s="4">
        <v>54200</v>
      </c>
    </row>
    <row r="571" spans="1:9" x14ac:dyDescent="0.3">
      <c r="A571" s="2" t="s">
        <v>603</v>
      </c>
      <c r="B571" s="3">
        <v>45740</v>
      </c>
      <c r="C571" s="2" t="s">
        <v>21</v>
      </c>
      <c r="D571" s="2" t="s">
        <v>11</v>
      </c>
      <c r="E571" s="2" t="s">
        <v>22</v>
      </c>
      <c r="F571" s="2" t="s">
        <v>46</v>
      </c>
      <c r="G571" s="2" t="s">
        <v>19</v>
      </c>
      <c r="H571" s="4">
        <v>71512</v>
      </c>
      <c r="I571" s="4">
        <v>64100</v>
      </c>
    </row>
    <row r="572" spans="1:9" x14ac:dyDescent="0.3">
      <c r="A572" s="2" t="s">
        <v>604</v>
      </c>
      <c r="B572" s="3">
        <v>45740</v>
      </c>
      <c r="C572" s="2" t="s">
        <v>21</v>
      </c>
      <c r="D572" s="2" t="s">
        <v>11</v>
      </c>
      <c r="E572" s="2" t="s">
        <v>22</v>
      </c>
      <c r="F572" s="2" t="s">
        <v>18</v>
      </c>
      <c r="G572" s="2" t="s">
        <v>19</v>
      </c>
      <c r="H572" s="4">
        <v>104540</v>
      </c>
      <c r="I572" s="4">
        <v>102800</v>
      </c>
    </row>
    <row r="573" spans="1:9" x14ac:dyDescent="0.3">
      <c r="A573" s="2" t="s">
        <v>605</v>
      </c>
      <c r="B573" s="3">
        <v>45740</v>
      </c>
      <c r="C573" s="2" t="s">
        <v>25</v>
      </c>
      <c r="D573" s="2" t="s">
        <v>11</v>
      </c>
      <c r="E573" s="2" t="s">
        <v>22</v>
      </c>
      <c r="F573" s="2" t="s">
        <v>18</v>
      </c>
      <c r="G573" s="2" t="s">
        <v>19</v>
      </c>
      <c r="H573" s="4">
        <v>17665</v>
      </c>
      <c r="I573" s="4">
        <v>18600</v>
      </c>
    </row>
    <row r="574" spans="1:9" x14ac:dyDescent="0.3">
      <c r="A574" s="2" t="s">
        <v>606</v>
      </c>
      <c r="B574" s="3">
        <v>45740</v>
      </c>
      <c r="C574" s="2" t="s">
        <v>31</v>
      </c>
      <c r="D574" s="2" t="s">
        <v>11</v>
      </c>
      <c r="E574" s="2" t="s">
        <v>17</v>
      </c>
      <c r="F574" s="2" t="s">
        <v>56</v>
      </c>
      <c r="G574" s="2" t="s">
        <v>19</v>
      </c>
      <c r="H574" s="4">
        <v>86803</v>
      </c>
      <c r="I574" s="4">
        <v>89600</v>
      </c>
    </row>
    <row r="575" spans="1:9" x14ac:dyDescent="0.3">
      <c r="A575" s="2" t="s">
        <v>607</v>
      </c>
      <c r="B575" s="3">
        <v>45741</v>
      </c>
      <c r="C575" s="2" t="s">
        <v>62</v>
      </c>
      <c r="D575" s="2" t="s">
        <v>11</v>
      </c>
      <c r="E575" s="2" t="s">
        <v>22</v>
      </c>
      <c r="F575" s="2" t="s">
        <v>18</v>
      </c>
      <c r="G575" s="2" t="s">
        <v>19</v>
      </c>
      <c r="H575" s="4">
        <v>23501</v>
      </c>
      <c r="I575" s="4">
        <v>22800</v>
      </c>
    </row>
    <row r="576" spans="1:9" x14ac:dyDescent="0.3">
      <c r="A576" s="2" t="s">
        <v>608</v>
      </c>
      <c r="B576" s="3">
        <v>45741</v>
      </c>
      <c r="C576" s="2" t="s">
        <v>16</v>
      </c>
      <c r="D576" s="2" t="s">
        <v>11</v>
      </c>
      <c r="E576" s="2" t="s">
        <v>17</v>
      </c>
      <c r="F576" s="2" t="s">
        <v>39</v>
      </c>
      <c r="G576" s="2" t="s">
        <v>19</v>
      </c>
      <c r="H576" s="4">
        <v>46487</v>
      </c>
      <c r="I576" s="4">
        <v>49300</v>
      </c>
    </row>
    <row r="577" spans="1:9" x14ac:dyDescent="0.3">
      <c r="A577" s="2" t="s">
        <v>609</v>
      </c>
      <c r="B577" s="3">
        <v>45741</v>
      </c>
      <c r="C577" s="2" t="s">
        <v>21</v>
      </c>
      <c r="D577" s="2" t="s">
        <v>11</v>
      </c>
      <c r="E577" s="2" t="s">
        <v>22</v>
      </c>
      <c r="F577" s="2" t="s">
        <v>42</v>
      </c>
      <c r="G577" s="2" t="s">
        <v>19</v>
      </c>
      <c r="H577" s="4">
        <v>24029</v>
      </c>
      <c r="I577" s="4">
        <v>22000</v>
      </c>
    </row>
    <row r="578" spans="1:9" x14ac:dyDescent="0.3">
      <c r="A578" s="2" t="s">
        <v>610</v>
      </c>
      <c r="B578" s="3">
        <v>45741</v>
      </c>
      <c r="C578" s="2" t="s">
        <v>21</v>
      </c>
      <c r="D578" s="2" t="s">
        <v>11</v>
      </c>
      <c r="E578" s="2" t="s">
        <v>22</v>
      </c>
      <c r="F578" s="2" t="s">
        <v>26</v>
      </c>
      <c r="G578" s="2" t="s">
        <v>14</v>
      </c>
      <c r="H578" s="4">
        <v>129178</v>
      </c>
      <c r="I578" s="4">
        <v>114200</v>
      </c>
    </row>
    <row r="579" spans="1:9" x14ac:dyDescent="0.3">
      <c r="A579" s="2" t="s">
        <v>611</v>
      </c>
      <c r="B579" s="3">
        <v>45741</v>
      </c>
      <c r="C579" s="2" t="s">
        <v>25</v>
      </c>
      <c r="D579" s="2" t="s">
        <v>11</v>
      </c>
      <c r="E579" s="2" t="s">
        <v>22</v>
      </c>
      <c r="F579" s="2" t="s">
        <v>56</v>
      </c>
      <c r="G579" s="2" t="s">
        <v>19</v>
      </c>
      <c r="H579" s="4">
        <v>53582</v>
      </c>
      <c r="I579" s="4">
        <v>48200</v>
      </c>
    </row>
    <row r="580" spans="1:9" x14ac:dyDescent="0.3">
      <c r="A580" s="2" t="s">
        <v>612</v>
      </c>
      <c r="B580" s="3">
        <v>45741</v>
      </c>
      <c r="C580" s="2" t="s">
        <v>25</v>
      </c>
      <c r="D580" s="2" t="s">
        <v>11</v>
      </c>
      <c r="E580" s="2" t="s">
        <v>22</v>
      </c>
      <c r="F580" s="2" t="s">
        <v>59</v>
      </c>
      <c r="G580" s="2" t="s">
        <v>14</v>
      </c>
      <c r="H580" s="4">
        <v>242022</v>
      </c>
      <c r="I580" s="4">
        <v>187300</v>
      </c>
    </row>
    <row r="581" spans="1:9" x14ac:dyDescent="0.3">
      <c r="A581" s="2" t="s">
        <v>613</v>
      </c>
      <c r="B581" s="3">
        <v>45742</v>
      </c>
      <c r="C581" s="2" t="s">
        <v>62</v>
      </c>
      <c r="D581" s="2" t="s">
        <v>11</v>
      </c>
      <c r="E581" s="2" t="s">
        <v>22</v>
      </c>
      <c r="F581" s="2" t="s">
        <v>18</v>
      </c>
      <c r="G581" s="2" t="s">
        <v>19</v>
      </c>
      <c r="H581" s="4">
        <v>19039</v>
      </c>
      <c r="I581" s="4">
        <v>17900</v>
      </c>
    </row>
    <row r="582" spans="1:9" x14ac:dyDescent="0.3">
      <c r="A582" s="2" t="s">
        <v>614</v>
      </c>
      <c r="B582" s="3">
        <v>45742</v>
      </c>
      <c r="C582" s="2" t="s">
        <v>10</v>
      </c>
      <c r="D582" s="2" t="s">
        <v>11</v>
      </c>
      <c r="E582" s="2" t="s">
        <v>12</v>
      </c>
      <c r="F582" s="2" t="s">
        <v>33</v>
      </c>
      <c r="G582" s="2" t="s">
        <v>19</v>
      </c>
      <c r="H582" s="4">
        <v>89365</v>
      </c>
      <c r="I582" s="4">
        <v>81200</v>
      </c>
    </row>
    <row r="583" spans="1:9" x14ac:dyDescent="0.3">
      <c r="A583" s="2" t="s">
        <v>615</v>
      </c>
      <c r="B583" s="3">
        <v>45742</v>
      </c>
      <c r="C583" s="2" t="s">
        <v>10</v>
      </c>
      <c r="D583" s="2" t="s">
        <v>11</v>
      </c>
      <c r="E583" s="2" t="s">
        <v>12</v>
      </c>
      <c r="F583" s="2" t="s">
        <v>13</v>
      </c>
      <c r="G583" s="2" t="s">
        <v>14</v>
      </c>
      <c r="H583" s="4">
        <v>139117</v>
      </c>
      <c r="I583" s="4">
        <v>148100</v>
      </c>
    </row>
    <row r="584" spans="1:9" x14ac:dyDescent="0.3">
      <c r="A584" s="2" t="s">
        <v>616</v>
      </c>
      <c r="B584" s="3">
        <v>45742</v>
      </c>
      <c r="C584" s="2" t="s">
        <v>16</v>
      </c>
      <c r="D584" s="2" t="s">
        <v>11</v>
      </c>
      <c r="E584" s="2" t="s">
        <v>17</v>
      </c>
      <c r="F584" s="2" t="s">
        <v>59</v>
      </c>
      <c r="G584" s="2" t="s">
        <v>14</v>
      </c>
      <c r="H584" s="4">
        <v>57418</v>
      </c>
      <c r="I584" s="4">
        <v>63000</v>
      </c>
    </row>
    <row r="585" spans="1:9" x14ac:dyDescent="0.3">
      <c r="A585" s="2" t="s">
        <v>617</v>
      </c>
      <c r="B585" s="3">
        <v>45742</v>
      </c>
      <c r="C585" s="2" t="s">
        <v>36</v>
      </c>
      <c r="D585" s="2" t="s">
        <v>11</v>
      </c>
      <c r="E585" s="2" t="s">
        <v>37</v>
      </c>
      <c r="F585" s="2" t="s">
        <v>23</v>
      </c>
      <c r="G585" s="2" t="s">
        <v>14</v>
      </c>
      <c r="H585" s="4">
        <v>27811</v>
      </c>
      <c r="I585" s="4">
        <v>25600</v>
      </c>
    </row>
    <row r="586" spans="1:9" x14ac:dyDescent="0.3">
      <c r="A586" s="2" t="s">
        <v>618</v>
      </c>
      <c r="B586" s="3">
        <v>45742</v>
      </c>
      <c r="C586" s="2" t="s">
        <v>31</v>
      </c>
      <c r="D586" s="2" t="s">
        <v>11</v>
      </c>
      <c r="E586" s="2" t="s">
        <v>17</v>
      </c>
      <c r="F586" s="2" t="s">
        <v>42</v>
      </c>
      <c r="G586" s="2" t="s">
        <v>19</v>
      </c>
      <c r="H586" s="4">
        <v>22573</v>
      </c>
      <c r="I586" s="4">
        <v>21500</v>
      </c>
    </row>
    <row r="587" spans="1:9" x14ac:dyDescent="0.3">
      <c r="A587" s="2" t="s">
        <v>619</v>
      </c>
      <c r="B587" s="3">
        <v>45742</v>
      </c>
      <c r="C587" s="2" t="s">
        <v>31</v>
      </c>
      <c r="D587" s="2" t="s">
        <v>11</v>
      </c>
      <c r="E587" s="2" t="s">
        <v>17</v>
      </c>
      <c r="F587" s="2" t="s">
        <v>18</v>
      </c>
      <c r="G587" s="2" t="s">
        <v>19</v>
      </c>
      <c r="H587" s="4">
        <v>97113</v>
      </c>
      <c r="I587" s="4">
        <v>88000</v>
      </c>
    </row>
    <row r="588" spans="1:9" x14ac:dyDescent="0.3">
      <c r="A588" s="2" t="s">
        <v>620</v>
      </c>
      <c r="B588" s="3">
        <v>45742</v>
      </c>
      <c r="C588" s="2" t="s">
        <v>31</v>
      </c>
      <c r="D588" s="2" t="s">
        <v>11</v>
      </c>
      <c r="E588" s="2" t="s">
        <v>17</v>
      </c>
      <c r="F588" s="2" t="s">
        <v>33</v>
      </c>
      <c r="G588" s="2" t="s">
        <v>19</v>
      </c>
      <c r="H588" s="4">
        <v>101394</v>
      </c>
      <c r="I588" s="4">
        <v>107200</v>
      </c>
    </row>
    <row r="589" spans="1:9" x14ac:dyDescent="0.3">
      <c r="A589" s="2" t="s">
        <v>621</v>
      </c>
      <c r="B589" s="3">
        <v>45743</v>
      </c>
      <c r="C589" s="2" t="s">
        <v>62</v>
      </c>
      <c r="D589" s="2" t="s">
        <v>11</v>
      </c>
      <c r="E589" s="2" t="s">
        <v>22</v>
      </c>
      <c r="F589" s="2" t="s">
        <v>37</v>
      </c>
      <c r="G589" s="2" t="s">
        <v>14</v>
      </c>
      <c r="H589" s="4">
        <v>238372</v>
      </c>
      <c r="I589" s="4">
        <v>212500</v>
      </c>
    </row>
    <row r="590" spans="1:9" x14ac:dyDescent="0.3">
      <c r="A590" s="2" t="s">
        <v>622</v>
      </c>
      <c r="B590" s="3">
        <v>45743</v>
      </c>
      <c r="C590" s="2" t="s">
        <v>16</v>
      </c>
      <c r="D590" s="2" t="s">
        <v>11</v>
      </c>
      <c r="E590" s="2" t="s">
        <v>17</v>
      </c>
      <c r="F590" s="2" t="s">
        <v>42</v>
      </c>
      <c r="G590" s="2" t="s">
        <v>19</v>
      </c>
      <c r="H590" s="4">
        <v>115159</v>
      </c>
      <c r="I590" s="4">
        <v>124400</v>
      </c>
    </row>
    <row r="591" spans="1:9" x14ac:dyDescent="0.3">
      <c r="A591" s="2" t="s">
        <v>623</v>
      </c>
      <c r="B591" s="3">
        <v>45743</v>
      </c>
      <c r="C591" s="2" t="s">
        <v>16</v>
      </c>
      <c r="D591" s="2" t="s">
        <v>11</v>
      </c>
      <c r="E591" s="2" t="s">
        <v>17</v>
      </c>
      <c r="F591" s="2" t="s">
        <v>59</v>
      </c>
      <c r="G591" s="2" t="s">
        <v>14</v>
      </c>
      <c r="H591" s="4">
        <v>176095</v>
      </c>
      <c r="I591" s="4">
        <v>163700</v>
      </c>
    </row>
    <row r="592" spans="1:9" x14ac:dyDescent="0.3">
      <c r="A592" s="2" t="s">
        <v>624</v>
      </c>
      <c r="B592" s="3">
        <v>45743</v>
      </c>
      <c r="C592" s="2" t="s">
        <v>36</v>
      </c>
      <c r="D592" s="2" t="s">
        <v>11</v>
      </c>
      <c r="E592" s="2" t="s">
        <v>37</v>
      </c>
      <c r="F592" s="2" t="s">
        <v>39</v>
      </c>
      <c r="G592" s="2" t="s">
        <v>19</v>
      </c>
      <c r="H592" s="4">
        <v>57459</v>
      </c>
      <c r="I592" s="4">
        <v>59500</v>
      </c>
    </row>
    <row r="593" spans="1:9" x14ac:dyDescent="0.3">
      <c r="A593" s="2" t="s">
        <v>625</v>
      </c>
      <c r="B593" s="3">
        <v>45743</v>
      </c>
      <c r="C593" s="2" t="s">
        <v>21</v>
      </c>
      <c r="D593" s="2" t="s">
        <v>11</v>
      </c>
      <c r="E593" s="2" t="s">
        <v>22</v>
      </c>
      <c r="F593" s="2" t="s">
        <v>59</v>
      </c>
      <c r="G593" s="2" t="s">
        <v>14</v>
      </c>
      <c r="H593" s="4">
        <v>233117</v>
      </c>
      <c r="I593" s="4">
        <v>225100</v>
      </c>
    </row>
    <row r="594" spans="1:9" x14ac:dyDescent="0.3">
      <c r="A594" s="2" t="s">
        <v>626</v>
      </c>
      <c r="B594" s="3">
        <v>45743</v>
      </c>
      <c r="C594" s="2" t="s">
        <v>55</v>
      </c>
      <c r="D594" s="2" t="s">
        <v>11</v>
      </c>
      <c r="E594" s="2" t="s">
        <v>37</v>
      </c>
      <c r="F594" s="2" t="s">
        <v>37</v>
      </c>
      <c r="G594" s="2" t="s">
        <v>14</v>
      </c>
      <c r="H594" s="4">
        <v>165756</v>
      </c>
      <c r="I594" s="4">
        <v>143300</v>
      </c>
    </row>
    <row r="595" spans="1:9" x14ac:dyDescent="0.3">
      <c r="A595" s="2" t="s">
        <v>627</v>
      </c>
      <c r="B595" s="3">
        <v>45744</v>
      </c>
      <c r="C595" s="2" t="s">
        <v>10</v>
      </c>
      <c r="D595" s="2" t="s">
        <v>11</v>
      </c>
      <c r="E595" s="2" t="s">
        <v>12</v>
      </c>
      <c r="F595" s="2" t="s">
        <v>37</v>
      </c>
      <c r="G595" s="2" t="s">
        <v>14</v>
      </c>
      <c r="H595" s="4">
        <v>148101</v>
      </c>
      <c r="I595" s="4">
        <v>156600</v>
      </c>
    </row>
    <row r="596" spans="1:9" x14ac:dyDescent="0.3">
      <c r="A596" s="2" t="s">
        <v>628</v>
      </c>
      <c r="B596" s="3">
        <v>45744</v>
      </c>
      <c r="C596" s="2" t="s">
        <v>10</v>
      </c>
      <c r="D596" s="2" t="s">
        <v>11</v>
      </c>
      <c r="E596" s="2" t="s">
        <v>12</v>
      </c>
      <c r="F596" s="2" t="s">
        <v>23</v>
      </c>
      <c r="G596" s="2" t="s">
        <v>14</v>
      </c>
      <c r="H596" s="4">
        <v>146835</v>
      </c>
      <c r="I596" s="4">
        <v>166200</v>
      </c>
    </row>
    <row r="597" spans="1:9" x14ac:dyDescent="0.3">
      <c r="A597" s="2" t="s">
        <v>629</v>
      </c>
      <c r="B597" s="3">
        <v>45744</v>
      </c>
      <c r="C597" s="2" t="s">
        <v>16</v>
      </c>
      <c r="D597" s="2" t="s">
        <v>11</v>
      </c>
      <c r="E597" s="2" t="s">
        <v>17</v>
      </c>
      <c r="F597" s="2" t="s">
        <v>12</v>
      </c>
      <c r="G597" s="2" t="s">
        <v>14</v>
      </c>
      <c r="H597" s="4">
        <v>54281</v>
      </c>
      <c r="I597" s="4">
        <v>56300</v>
      </c>
    </row>
    <row r="598" spans="1:9" x14ac:dyDescent="0.3">
      <c r="A598" s="2" t="s">
        <v>630</v>
      </c>
      <c r="B598" s="3">
        <v>45744</v>
      </c>
      <c r="C598" s="2" t="s">
        <v>36</v>
      </c>
      <c r="D598" s="2" t="s">
        <v>11</v>
      </c>
      <c r="E598" s="2" t="s">
        <v>37</v>
      </c>
      <c r="F598" s="2" t="s">
        <v>23</v>
      </c>
      <c r="G598" s="2" t="s">
        <v>14</v>
      </c>
      <c r="H598" s="4">
        <v>126710</v>
      </c>
      <c r="I598" s="4">
        <v>135800</v>
      </c>
    </row>
    <row r="599" spans="1:9" x14ac:dyDescent="0.3">
      <c r="A599" s="2" t="s">
        <v>631</v>
      </c>
      <c r="B599" s="3">
        <v>45744</v>
      </c>
      <c r="C599" s="2" t="s">
        <v>21</v>
      </c>
      <c r="D599" s="2" t="s">
        <v>11</v>
      </c>
      <c r="E599" s="2" t="s">
        <v>22</v>
      </c>
      <c r="F599" s="2" t="s">
        <v>42</v>
      </c>
      <c r="G599" s="2" t="s">
        <v>19</v>
      </c>
      <c r="H599" s="4">
        <v>23342</v>
      </c>
      <c r="I599" s="4">
        <v>21700</v>
      </c>
    </row>
    <row r="600" spans="1:9" x14ac:dyDescent="0.3">
      <c r="A600" s="2" t="s">
        <v>632</v>
      </c>
      <c r="B600" s="3">
        <v>45744</v>
      </c>
      <c r="C600" s="2" t="s">
        <v>55</v>
      </c>
      <c r="D600" s="2" t="s">
        <v>11</v>
      </c>
      <c r="E600" s="2" t="s">
        <v>37</v>
      </c>
      <c r="F600" s="2" t="s">
        <v>42</v>
      </c>
      <c r="G600" s="2" t="s">
        <v>19</v>
      </c>
      <c r="H600" s="4">
        <v>14620</v>
      </c>
      <c r="I600" s="4">
        <v>11000</v>
      </c>
    </row>
    <row r="601" spans="1:9" x14ac:dyDescent="0.3">
      <c r="A601" s="2" t="s">
        <v>633</v>
      </c>
      <c r="B601" s="3">
        <v>45744</v>
      </c>
      <c r="C601" s="2" t="s">
        <v>55</v>
      </c>
      <c r="D601" s="2" t="s">
        <v>11</v>
      </c>
      <c r="E601" s="2" t="s">
        <v>37</v>
      </c>
      <c r="F601" s="2" t="s">
        <v>26</v>
      </c>
      <c r="G601" s="2" t="s">
        <v>14</v>
      </c>
      <c r="H601" s="4">
        <v>153275</v>
      </c>
      <c r="I601" s="4">
        <v>158000</v>
      </c>
    </row>
    <row r="602" spans="1:9" x14ac:dyDescent="0.3">
      <c r="A602" s="2" t="s">
        <v>634</v>
      </c>
      <c r="B602" s="3">
        <v>45745</v>
      </c>
      <c r="C602" s="2" t="s">
        <v>62</v>
      </c>
      <c r="D602" s="2" t="s">
        <v>11</v>
      </c>
      <c r="E602" s="2" t="s">
        <v>22</v>
      </c>
      <c r="F602" s="2" t="s">
        <v>26</v>
      </c>
      <c r="G602" s="2" t="s">
        <v>14</v>
      </c>
      <c r="H602" s="4">
        <v>160780</v>
      </c>
      <c r="I602" s="4">
        <v>168600</v>
      </c>
    </row>
    <row r="603" spans="1:9" x14ac:dyDescent="0.3">
      <c r="A603" s="2" t="s">
        <v>635</v>
      </c>
      <c r="B603" s="3">
        <v>45745</v>
      </c>
      <c r="C603" s="2" t="s">
        <v>10</v>
      </c>
      <c r="D603" s="2" t="s">
        <v>11</v>
      </c>
      <c r="E603" s="2" t="s">
        <v>12</v>
      </c>
      <c r="F603" s="2" t="s">
        <v>56</v>
      </c>
      <c r="G603" s="2" t="s">
        <v>19</v>
      </c>
      <c r="H603" s="4">
        <v>73009</v>
      </c>
      <c r="I603" s="4">
        <v>73700</v>
      </c>
    </row>
    <row r="604" spans="1:9" x14ac:dyDescent="0.3">
      <c r="A604" s="2" t="s">
        <v>636</v>
      </c>
      <c r="B604" s="3">
        <v>45745</v>
      </c>
      <c r="C604" s="2" t="s">
        <v>16</v>
      </c>
      <c r="D604" s="2" t="s">
        <v>11</v>
      </c>
      <c r="E604" s="2" t="s">
        <v>17</v>
      </c>
      <c r="F604" s="2" t="s">
        <v>33</v>
      </c>
      <c r="G604" s="2" t="s">
        <v>19</v>
      </c>
      <c r="H604" s="4">
        <v>61085</v>
      </c>
      <c r="I604" s="4">
        <v>53800</v>
      </c>
    </row>
    <row r="605" spans="1:9" x14ac:dyDescent="0.3">
      <c r="A605" s="2" t="s">
        <v>637</v>
      </c>
      <c r="B605" s="3">
        <v>45745</v>
      </c>
      <c r="C605" s="2" t="s">
        <v>36</v>
      </c>
      <c r="D605" s="2" t="s">
        <v>11</v>
      </c>
      <c r="E605" s="2" t="s">
        <v>37</v>
      </c>
      <c r="F605" s="2" t="s">
        <v>56</v>
      </c>
      <c r="G605" s="2" t="s">
        <v>19</v>
      </c>
      <c r="H605" s="4">
        <v>20197</v>
      </c>
      <c r="I605" s="4">
        <v>21700</v>
      </c>
    </row>
    <row r="606" spans="1:9" x14ac:dyDescent="0.3">
      <c r="A606" s="2" t="s">
        <v>638</v>
      </c>
      <c r="B606" s="3">
        <v>45745</v>
      </c>
      <c r="C606" s="2" t="s">
        <v>36</v>
      </c>
      <c r="D606" s="2" t="s">
        <v>11</v>
      </c>
      <c r="E606" s="2" t="s">
        <v>37</v>
      </c>
      <c r="F606" s="2" t="s">
        <v>13</v>
      </c>
      <c r="G606" s="2" t="s">
        <v>14</v>
      </c>
      <c r="H606" s="4">
        <v>107060</v>
      </c>
      <c r="I606" s="4">
        <v>99800</v>
      </c>
    </row>
    <row r="607" spans="1:9" x14ac:dyDescent="0.3">
      <c r="A607" s="2" t="s">
        <v>639</v>
      </c>
      <c r="B607" s="3">
        <v>45745</v>
      </c>
      <c r="C607" s="2" t="s">
        <v>25</v>
      </c>
      <c r="D607" s="2" t="s">
        <v>11</v>
      </c>
      <c r="E607" s="2" t="s">
        <v>22</v>
      </c>
      <c r="F607" s="2" t="s">
        <v>13</v>
      </c>
      <c r="G607" s="2" t="s">
        <v>14</v>
      </c>
      <c r="H607" s="4">
        <v>38772</v>
      </c>
      <c r="I607" s="4">
        <v>39700</v>
      </c>
    </row>
    <row r="608" spans="1:9" x14ac:dyDescent="0.3">
      <c r="A608" s="2" t="s">
        <v>640</v>
      </c>
      <c r="B608" s="3">
        <v>45745</v>
      </c>
      <c r="C608" s="2" t="s">
        <v>31</v>
      </c>
      <c r="D608" s="2" t="s">
        <v>11</v>
      </c>
      <c r="E608" s="2" t="s">
        <v>17</v>
      </c>
      <c r="F608" s="2" t="s">
        <v>12</v>
      </c>
      <c r="G608" s="2" t="s">
        <v>14</v>
      </c>
      <c r="H608" s="4">
        <v>136889</v>
      </c>
      <c r="I608" s="4">
        <v>143500</v>
      </c>
    </row>
    <row r="609" spans="1:9" x14ac:dyDescent="0.3">
      <c r="A609" s="2" t="s">
        <v>641</v>
      </c>
      <c r="B609" s="3">
        <v>45746</v>
      </c>
      <c r="C609" s="2" t="s">
        <v>62</v>
      </c>
      <c r="D609" s="2" t="s">
        <v>11</v>
      </c>
      <c r="E609" s="2" t="s">
        <v>22</v>
      </c>
      <c r="F609" s="2" t="s">
        <v>23</v>
      </c>
      <c r="G609" s="2" t="s">
        <v>14</v>
      </c>
      <c r="H609" s="4">
        <v>153880</v>
      </c>
      <c r="I609" s="4">
        <v>150500</v>
      </c>
    </row>
    <row r="610" spans="1:9" x14ac:dyDescent="0.3">
      <c r="A610" s="2" t="s">
        <v>642</v>
      </c>
      <c r="B610" s="3">
        <v>45746</v>
      </c>
      <c r="C610" s="2" t="s">
        <v>10</v>
      </c>
      <c r="D610" s="2" t="s">
        <v>11</v>
      </c>
      <c r="E610" s="2" t="s">
        <v>12</v>
      </c>
      <c r="F610" s="2" t="s">
        <v>13</v>
      </c>
      <c r="G610" s="2" t="s">
        <v>14</v>
      </c>
      <c r="H610" s="4">
        <v>156532</v>
      </c>
      <c r="I610" s="4">
        <v>133500</v>
      </c>
    </row>
    <row r="611" spans="1:9" x14ac:dyDescent="0.3">
      <c r="A611" s="2" t="s">
        <v>643</v>
      </c>
      <c r="B611" s="3">
        <v>45746</v>
      </c>
      <c r="C611" s="2" t="s">
        <v>16</v>
      </c>
      <c r="D611" s="2" t="s">
        <v>11</v>
      </c>
      <c r="E611" s="2" t="s">
        <v>17</v>
      </c>
      <c r="F611" s="2" t="s">
        <v>33</v>
      </c>
      <c r="G611" s="2" t="s">
        <v>19</v>
      </c>
      <c r="H611" s="4">
        <v>102538</v>
      </c>
      <c r="I611" s="4">
        <v>99300</v>
      </c>
    </row>
    <row r="612" spans="1:9" x14ac:dyDescent="0.3">
      <c r="A612" s="2" t="s">
        <v>644</v>
      </c>
      <c r="B612" s="3">
        <v>45746</v>
      </c>
      <c r="C612" s="2" t="s">
        <v>16</v>
      </c>
      <c r="D612" s="2" t="s">
        <v>11</v>
      </c>
      <c r="E612" s="2" t="s">
        <v>17</v>
      </c>
      <c r="F612" s="2" t="s">
        <v>59</v>
      </c>
      <c r="G612" s="2" t="s">
        <v>14</v>
      </c>
      <c r="H612" s="4">
        <v>70447</v>
      </c>
      <c r="I612" s="4">
        <v>52500</v>
      </c>
    </row>
    <row r="613" spans="1:9" x14ac:dyDescent="0.3">
      <c r="A613" s="2" t="s">
        <v>645</v>
      </c>
      <c r="B613" s="3">
        <v>45746</v>
      </c>
      <c r="C613" s="2" t="s">
        <v>25</v>
      </c>
      <c r="D613" s="2" t="s">
        <v>11</v>
      </c>
      <c r="E613" s="2" t="s">
        <v>22</v>
      </c>
      <c r="F613" s="2" t="s">
        <v>59</v>
      </c>
      <c r="G613" s="2" t="s">
        <v>14</v>
      </c>
      <c r="H613" s="4">
        <v>152939</v>
      </c>
      <c r="I613" s="4">
        <v>151100</v>
      </c>
    </row>
    <row r="614" spans="1:9" x14ac:dyDescent="0.3">
      <c r="A614" s="2" t="s">
        <v>646</v>
      </c>
      <c r="B614" s="3">
        <v>45746</v>
      </c>
      <c r="C614" s="2" t="s">
        <v>25</v>
      </c>
      <c r="D614" s="2" t="s">
        <v>11</v>
      </c>
      <c r="E614" s="2" t="s">
        <v>22</v>
      </c>
      <c r="F614" s="2" t="s">
        <v>12</v>
      </c>
      <c r="G614" s="2" t="s">
        <v>14</v>
      </c>
      <c r="H614" s="4">
        <v>182089</v>
      </c>
      <c r="I614" s="4">
        <v>180600</v>
      </c>
    </row>
    <row r="615" spans="1:9" x14ac:dyDescent="0.3">
      <c r="A615" s="2" t="s">
        <v>647</v>
      </c>
      <c r="B615" s="3">
        <v>45746</v>
      </c>
      <c r="C615" s="2" t="s">
        <v>31</v>
      </c>
      <c r="D615" s="2" t="s">
        <v>11</v>
      </c>
      <c r="E615" s="2" t="s">
        <v>17</v>
      </c>
      <c r="F615" s="2" t="s">
        <v>42</v>
      </c>
      <c r="G615" s="2" t="s">
        <v>19</v>
      </c>
      <c r="H615" s="4">
        <v>46766</v>
      </c>
      <c r="I615" s="4">
        <v>41900</v>
      </c>
    </row>
    <row r="616" spans="1:9" x14ac:dyDescent="0.3">
      <c r="A616" s="2" t="s">
        <v>648</v>
      </c>
      <c r="B616" s="3">
        <v>45747</v>
      </c>
      <c r="C616" s="2" t="s">
        <v>62</v>
      </c>
      <c r="D616" s="2" t="s">
        <v>11</v>
      </c>
      <c r="E616" s="2" t="s">
        <v>22</v>
      </c>
      <c r="F616" s="2" t="s">
        <v>37</v>
      </c>
      <c r="G616" s="2" t="s">
        <v>14</v>
      </c>
      <c r="H616" s="4">
        <v>191237</v>
      </c>
      <c r="I616" s="4">
        <v>176600</v>
      </c>
    </row>
    <row r="617" spans="1:9" x14ac:dyDescent="0.3">
      <c r="A617" s="2" t="s">
        <v>649</v>
      </c>
      <c r="B617" s="3">
        <v>45747</v>
      </c>
      <c r="C617" s="2" t="s">
        <v>10</v>
      </c>
      <c r="D617" s="2" t="s">
        <v>11</v>
      </c>
      <c r="E617" s="2" t="s">
        <v>12</v>
      </c>
      <c r="F617" s="2" t="s">
        <v>42</v>
      </c>
      <c r="G617" s="2" t="s">
        <v>19</v>
      </c>
      <c r="H617" s="4">
        <v>107564</v>
      </c>
      <c r="I617" s="4">
        <v>105900</v>
      </c>
    </row>
    <row r="618" spans="1:9" x14ac:dyDescent="0.3">
      <c r="A618" s="2" t="s">
        <v>650</v>
      </c>
      <c r="B618" s="3">
        <v>45747</v>
      </c>
      <c r="C618" s="2" t="s">
        <v>10</v>
      </c>
      <c r="D618" s="2" t="s">
        <v>11</v>
      </c>
      <c r="E618" s="2" t="s">
        <v>12</v>
      </c>
      <c r="F618" s="2" t="s">
        <v>23</v>
      </c>
      <c r="G618" s="2" t="s">
        <v>14</v>
      </c>
      <c r="H618" s="4">
        <v>65552</v>
      </c>
      <c r="I618" s="4">
        <v>63200</v>
      </c>
    </row>
    <row r="619" spans="1:9" x14ac:dyDescent="0.3">
      <c r="A619" s="2" t="s">
        <v>651</v>
      </c>
      <c r="B619" s="3">
        <v>45747</v>
      </c>
      <c r="C619" s="2" t="s">
        <v>16</v>
      </c>
      <c r="D619" s="2" t="s">
        <v>11</v>
      </c>
      <c r="E619" s="2" t="s">
        <v>17</v>
      </c>
      <c r="F619" s="2" t="s">
        <v>18</v>
      </c>
      <c r="G619" s="2" t="s">
        <v>19</v>
      </c>
      <c r="H619" s="4">
        <v>113002</v>
      </c>
      <c r="I619" s="4">
        <v>127900</v>
      </c>
    </row>
    <row r="620" spans="1:9" x14ac:dyDescent="0.3">
      <c r="A620" s="2" t="s">
        <v>652</v>
      </c>
      <c r="B620" s="3">
        <v>45747</v>
      </c>
      <c r="C620" s="2" t="s">
        <v>16</v>
      </c>
      <c r="D620" s="2" t="s">
        <v>11</v>
      </c>
      <c r="E620" s="2" t="s">
        <v>17</v>
      </c>
      <c r="F620" s="2" t="s">
        <v>33</v>
      </c>
      <c r="G620" s="2" t="s">
        <v>19</v>
      </c>
      <c r="H620" s="4">
        <v>86098</v>
      </c>
      <c r="I620" s="4">
        <v>87700</v>
      </c>
    </row>
    <row r="621" spans="1:9" x14ac:dyDescent="0.3">
      <c r="A621" s="2" t="s">
        <v>653</v>
      </c>
      <c r="B621" s="3">
        <v>45747</v>
      </c>
      <c r="C621" s="2" t="s">
        <v>16</v>
      </c>
      <c r="D621" s="2" t="s">
        <v>11</v>
      </c>
      <c r="E621" s="2" t="s">
        <v>17</v>
      </c>
      <c r="F621" s="2" t="s">
        <v>33</v>
      </c>
      <c r="G621" s="2" t="s">
        <v>19</v>
      </c>
      <c r="H621" s="4">
        <v>70764</v>
      </c>
      <c r="I621" s="4">
        <v>77800</v>
      </c>
    </row>
    <row r="622" spans="1:9" x14ac:dyDescent="0.3">
      <c r="A622" s="2" t="s">
        <v>654</v>
      </c>
      <c r="B622" s="3">
        <v>45747</v>
      </c>
      <c r="C622" s="2" t="s">
        <v>16</v>
      </c>
      <c r="D622" s="2" t="s">
        <v>11</v>
      </c>
      <c r="E622" s="2" t="s">
        <v>17</v>
      </c>
      <c r="F622" s="2" t="s">
        <v>26</v>
      </c>
      <c r="G622" s="2" t="s">
        <v>14</v>
      </c>
      <c r="H622" s="4">
        <v>87563</v>
      </c>
      <c r="I622" s="4">
        <v>83900</v>
      </c>
    </row>
    <row r="623" spans="1:9" x14ac:dyDescent="0.3">
      <c r="A623" s="2" t="s">
        <v>655</v>
      </c>
      <c r="B623" s="3">
        <v>45747</v>
      </c>
      <c r="C623" s="2" t="s">
        <v>16</v>
      </c>
      <c r="D623" s="2" t="s">
        <v>11</v>
      </c>
      <c r="E623" s="2" t="s">
        <v>17</v>
      </c>
      <c r="F623" s="2" t="s">
        <v>23</v>
      </c>
      <c r="G623" s="2" t="s">
        <v>14</v>
      </c>
      <c r="H623" s="4">
        <v>102239</v>
      </c>
      <c r="I623" s="4">
        <v>97400</v>
      </c>
    </row>
    <row r="624" spans="1:9" x14ac:dyDescent="0.3">
      <c r="A624" s="2" t="s">
        <v>656</v>
      </c>
      <c r="B624" s="3">
        <v>45747</v>
      </c>
      <c r="C624" s="2" t="s">
        <v>36</v>
      </c>
      <c r="D624" s="2" t="s">
        <v>11</v>
      </c>
      <c r="E624" s="2" t="s">
        <v>37</v>
      </c>
      <c r="F624" s="2" t="s">
        <v>56</v>
      </c>
      <c r="G624" s="2" t="s">
        <v>19</v>
      </c>
      <c r="H624" s="4">
        <v>16937</v>
      </c>
      <c r="I624" s="4">
        <v>16900</v>
      </c>
    </row>
    <row r="625" spans="1:9" x14ac:dyDescent="0.3">
      <c r="A625" s="2" t="s">
        <v>657</v>
      </c>
      <c r="B625" s="3">
        <v>45747</v>
      </c>
      <c r="C625" s="2" t="s">
        <v>21</v>
      </c>
      <c r="D625" s="2" t="s">
        <v>11</v>
      </c>
      <c r="E625" s="2" t="s">
        <v>22</v>
      </c>
      <c r="F625" s="2" t="s">
        <v>42</v>
      </c>
      <c r="G625" s="2" t="s">
        <v>19</v>
      </c>
      <c r="H625" s="4">
        <v>76786</v>
      </c>
      <c r="I625" s="4">
        <v>77600</v>
      </c>
    </row>
    <row r="626" spans="1:9" x14ac:dyDescent="0.3">
      <c r="A626" s="2" t="s">
        <v>658</v>
      </c>
      <c r="B626" s="3">
        <v>45747</v>
      </c>
      <c r="C626" s="2" t="s">
        <v>21</v>
      </c>
      <c r="D626" s="2" t="s">
        <v>11</v>
      </c>
      <c r="E626" s="2" t="s">
        <v>22</v>
      </c>
      <c r="F626" s="2" t="s">
        <v>23</v>
      </c>
      <c r="G626" s="2" t="s">
        <v>14</v>
      </c>
      <c r="H626" s="4">
        <v>192672</v>
      </c>
      <c r="I626" s="4">
        <v>194000</v>
      </c>
    </row>
    <row r="627" spans="1:9" x14ac:dyDescent="0.3">
      <c r="A627" s="2" t="s">
        <v>659</v>
      </c>
      <c r="B627" s="3">
        <v>45747</v>
      </c>
      <c r="C627" s="2" t="s">
        <v>25</v>
      </c>
      <c r="D627" s="2" t="s">
        <v>11</v>
      </c>
      <c r="E627" s="2" t="s">
        <v>22</v>
      </c>
      <c r="F627" s="2" t="s">
        <v>46</v>
      </c>
      <c r="G627" s="2" t="s">
        <v>19</v>
      </c>
      <c r="H627" s="4">
        <v>71347</v>
      </c>
      <c r="I627" s="4">
        <v>71000</v>
      </c>
    </row>
    <row r="628" spans="1:9" x14ac:dyDescent="0.3">
      <c r="A628" s="2" t="s">
        <v>660</v>
      </c>
      <c r="B628" s="3">
        <v>45747</v>
      </c>
      <c r="C628" s="2" t="s">
        <v>25</v>
      </c>
      <c r="D628" s="2" t="s">
        <v>11</v>
      </c>
      <c r="E628" s="2" t="s">
        <v>22</v>
      </c>
      <c r="F628" s="2" t="s">
        <v>12</v>
      </c>
      <c r="G628" s="2" t="s">
        <v>14</v>
      </c>
      <c r="H628" s="4">
        <v>73334</v>
      </c>
      <c r="I628" s="4">
        <v>71200</v>
      </c>
    </row>
    <row r="629" spans="1:9" x14ac:dyDescent="0.3">
      <c r="A629" s="2" t="s">
        <v>661</v>
      </c>
      <c r="B629" s="3">
        <v>45747</v>
      </c>
      <c r="C629" s="2" t="s">
        <v>31</v>
      </c>
      <c r="D629" s="2" t="s">
        <v>11</v>
      </c>
      <c r="E629" s="2" t="s">
        <v>17</v>
      </c>
      <c r="F629" s="2" t="s">
        <v>18</v>
      </c>
      <c r="G629" s="2" t="s">
        <v>19</v>
      </c>
      <c r="H629" s="4">
        <v>59534</v>
      </c>
      <c r="I629" s="4">
        <v>71100</v>
      </c>
    </row>
    <row r="630" spans="1:9" x14ac:dyDescent="0.3">
      <c r="A630" s="2" t="s">
        <v>662</v>
      </c>
      <c r="B630" s="3">
        <v>45747</v>
      </c>
      <c r="C630" s="2" t="s">
        <v>55</v>
      </c>
      <c r="D630" s="2" t="s">
        <v>11</v>
      </c>
      <c r="E630" s="2" t="s">
        <v>37</v>
      </c>
      <c r="F630" s="2" t="s">
        <v>46</v>
      </c>
      <c r="G630" s="2" t="s">
        <v>19</v>
      </c>
      <c r="H630" s="4">
        <v>43853</v>
      </c>
      <c r="I630" s="4">
        <v>48000</v>
      </c>
    </row>
    <row r="631" spans="1:9" x14ac:dyDescent="0.3">
      <c r="A631" s="2" t="s">
        <v>663</v>
      </c>
      <c r="B631" s="3">
        <v>45748</v>
      </c>
      <c r="C631" s="2" t="s">
        <v>62</v>
      </c>
      <c r="D631" s="2" t="s">
        <v>11</v>
      </c>
      <c r="E631" s="2" t="s">
        <v>22</v>
      </c>
      <c r="F631" s="2" t="s">
        <v>59</v>
      </c>
      <c r="G631" s="2" t="s">
        <v>14</v>
      </c>
      <c r="H631" s="4">
        <v>36957</v>
      </c>
      <c r="I631" s="4">
        <v>39500</v>
      </c>
    </row>
    <row r="632" spans="1:9" x14ac:dyDescent="0.3">
      <c r="A632" s="2" t="s">
        <v>664</v>
      </c>
      <c r="B632" s="3">
        <v>45748</v>
      </c>
      <c r="C632" s="2" t="s">
        <v>62</v>
      </c>
      <c r="D632" s="2" t="s">
        <v>11</v>
      </c>
      <c r="E632" s="2" t="s">
        <v>22</v>
      </c>
      <c r="F632" s="2" t="s">
        <v>59</v>
      </c>
      <c r="G632" s="2" t="s">
        <v>14</v>
      </c>
      <c r="H632" s="4">
        <v>128561</v>
      </c>
      <c r="I632" s="4">
        <v>125800</v>
      </c>
    </row>
    <row r="633" spans="1:9" x14ac:dyDescent="0.3">
      <c r="A633" s="2" t="s">
        <v>665</v>
      </c>
      <c r="B633" s="3">
        <v>45748</v>
      </c>
      <c r="C633" s="2" t="s">
        <v>10</v>
      </c>
      <c r="D633" s="2" t="s">
        <v>11</v>
      </c>
      <c r="E633" s="2" t="s">
        <v>12</v>
      </c>
      <c r="F633" s="2" t="s">
        <v>37</v>
      </c>
      <c r="G633" s="2" t="s">
        <v>14</v>
      </c>
      <c r="H633" s="4">
        <v>65085</v>
      </c>
      <c r="I633" s="4">
        <v>62900</v>
      </c>
    </row>
    <row r="634" spans="1:9" x14ac:dyDescent="0.3">
      <c r="A634" s="2" t="s">
        <v>666</v>
      </c>
      <c r="B634" s="3">
        <v>45748</v>
      </c>
      <c r="C634" s="2" t="s">
        <v>36</v>
      </c>
      <c r="D634" s="2" t="s">
        <v>11</v>
      </c>
      <c r="E634" s="2" t="s">
        <v>37</v>
      </c>
      <c r="F634" s="2" t="s">
        <v>23</v>
      </c>
      <c r="G634" s="2" t="s">
        <v>14</v>
      </c>
      <c r="H634" s="4">
        <v>180742</v>
      </c>
      <c r="I634" s="4">
        <v>189000</v>
      </c>
    </row>
    <row r="635" spans="1:9" x14ac:dyDescent="0.3">
      <c r="A635" s="2" t="s">
        <v>667</v>
      </c>
      <c r="B635" s="3">
        <v>45748</v>
      </c>
      <c r="C635" s="2" t="s">
        <v>36</v>
      </c>
      <c r="D635" s="2" t="s">
        <v>11</v>
      </c>
      <c r="E635" s="2" t="s">
        <v>37</v>
      </c>
      <c r="F635" s="2" t="s">
        <v>37</v>
      </c>
      <c r="G635" s="2" t="s">
        <v>14</v>
      </c>
      <c r="H635" s="4">
        <v>170188</v>
      </c>
      <c r="I635" s="4">
        <v>172200</v>
      </c>
    </row>
    <row r="636" spans="1:9" x14ac:dyDescent="0.3">
      <c r="A636" s="2" t="s">
        <v>668</v>
      </c>
      <c r="B636" s="3">
        <v>45748</v>
      </c>
      <c r="C636" s="2" t="s">
        <v>25</v>
      </c>
      <c r="D636" s="2" t="s">
        <v>11</v>
      </c>
      <c r="E636" s="2" t="s">
        <v>22</v>
      </c>
      <c r="F636" s="2" t="s">
        <v>42</v>
      </c>
      <c r="G636" s="2" t="s">
        <v>19</v>
      </c>
      <c r="H636" s="4">
        <v>57205</v>
      </c>
      <c r="I636" s="4">
        <v>55900</v>
      </c>
    </row>
    <row r="637" spans="1:9" x14ac:dyDescent="0.3">
      <c r="A637" s="2" t="s">
        <v>669</v>
      </c>
      <c r="B637" s="3">
        <v>45748</v>
      </c>
      <c r="C637" s="2" t="s">
        <v>25</v>
      </c>
      <c r="D637" s="2" t="s">
        <v>11</v>
      </c>
      <c r="E637" s="2" t="s">
        <v>22</v>
      </c>
      <c r="F637" s="2" t="s">
        <v>26</v>
      </c>
      <c r="G637" s="2" t="s">
        <v>14</v>
      </c>
      <c r="H637" s="4">
        <v>200352</v>
      </c>
      <c r="I637" s="4">
        <v>195000</v>
      </c>
    </row>
    <row r="638" spans="1:9" x14ac:dyDescent="0.3">
      <c r="A638" s="2" t="s">
        <v>670</v>
      </c>
      <c r="B638" s="3">
        <v>45748</v>
      </c>
      <c r="C638" s="2" t="s">
        <v>25</v>
      </c>
      <c r="D638" s="2" t="s">
        <v>11</v>
      </c>
      <c r="E638" s="2" t="s">
        <v>22</v>
      </c>
      <c r="F638" s="2" t="s">
        <v>12</v>
      </c>
      <c r="G638" s="2" t="s">
        <v>14</v>
      </c>
      <c r="H638" s="4">
        <v>48581</v>
      </c>
      <c r="I638" s="4">
        <v>49700</v>
      </c>
    </row>
    <row r="639" spans="1:9" x14ac:dyDescent="0.3">
      <c r="A639" s="2" t="s">
        <v>671</v>
      </c>
      <c r="B639" s="3">
        <v>45748</v>
      </c>
      <c r="C639" s="2" t="s">
        <v>55</v>
      </c>
      <c r="D639" s="2" t="s">
        <v>11</v>
      </c>
      <c r="E639" s="2" t="s">
        <v>37</v>
      </c>
      <c r="F639" s="2" t="s">
        <v>46</v>
      </c>
      <c r="G639" s="2" t="s">
        <v>19</v>
      </c>
      <c r="H639" s="4">
        <v>15729</v>
      </c>
      <c r="I639" s="4">
        <v>14400</v>
      </c>
    </row>
    <row r="640" spans="1:9" x14ac:dyDescent="0.3">
      <c r="A640" s="2" t="s">
        <v>672</v>
      </c>
      <c r="B640" s="3">
        <v>45748</v>
      </c>
      <c r="C640" s="2" t="s">
        <v>55</v>
      </c>
      <c r="D640" s="2" t="s">
        <v>11</v>
      </c>
      <c r="E640" s="2" t="s">
        <v>37</v>
      </c>
      <c r="F640" s="2" t="s">
        <v>46</v>
      </c>
      <c r="G640" s="2" t="s">
        <v>19</v>
      </c>
      <c r="H640" s="4">
        <v>50795</v>
      </c>
      <c r="I640" s="4">
        <v>53900</v>
      </c>
    </row>
    <row r="641" spans="1:9" x14ac:dyDescent="0.3">
      <c r="A641" s="2" t="s">
        <v>673</v>
      </c>
      <c r="B641" s="3">
        <v>45749</v>
      </c>
      <c r="C641" s="2" t="s">
        <v>62</v>
      </c>
      <c r="D641" s="2" t="s">
        <v>11</v>
      </c>
      <c r="E641" s="2" t="s">
        <v>22</v>
      </c>
      <c r="F641" s="2" t="s">
        <v>59</v>
      </c>
      <c r="G641" s="2" t="s">
        <v>14</v>
      </c>
      <c r="H641" s="4">
        <v>244629</v>
      </c>
      <c r="I641" s="4">
        <v>277600</v>
      </c>
    </row>
    <row r="642" spans="1:9" x14ac:dyDescent="0.3">
      <c r="A642" s="2" t="s">
        <v>674</v>
      </c>
      <c r="B642" s="3">
        <v>45749</v>
      </c>
      <c r="C642" s="2" t="s">
        <v>16</v>
      </c>
      <c r="D642" s="2" t="s">
        <v>11</v>
      </c>
      <c r="E642" s="2" t="s">
        <v>17</v>
      </c>
      <c r="F642" s="2" t="s">
        <v>42</v>
      </c>
      <c r="G642" s="2" t="s">
        <v>19</v>
      </c>
      <c r="H642" s="4">
        <v>58007</v>
      </c>
      <c r="I642" s="4">
        <v>52100</v>
      </c>
    </row>
    <row r="643" spans="1:9" x14ac:dyDescent="0.3">
      <c r="A643" s="2" t="s">
        <v>675</v>
      </c>
      <c r="B643" s="3">
        <v>45749</v>
      </c>
      <c r="C643" s="2" t="s">
        <v>16</v>
      </c>
      <c r="D643" s="2" t="s">
        <v>11</v>
      </c>
      <c r="E643" s="2" t="s">
        <v>17</v>
      </c>
      <c r="F643" s="2" t="s">
        <v>46</v>
      </c>
      <c r="G643" s="2" t="s">
        <v>19</v>
      </c>
      <c r="H643" s="4">
        <v>105740</v>
      </c>
      <c r="I643" s="4">
        <v>109200</v>
      </c>
    </row>
    <row r="644" spans="1:9" x14ac:dyDescent="0.3">
      <c r="A644" s="2" t="s">
        <v>676</v>
      </c>
      <c r="B644" s="3">
        <v>45749</v>
      </c>
      <c r="C644" s="2" t="s">
        <v>36</v>
      </c>
      <c r="D644" s="2" t="s">
        <v>11</v>
      </c>
      <c r="E644" s="2" t="s">
        <v>37</v>
      </c>
      <c r="F644" s="2" t="s">
        <v>46</v>
      </c>
      <c r="G644" s="2" t="s">
        <v>19</v>
      </c>
      <c r="H644" s="4">
        <v>86959</v>
      </c>
      <c r="I644" s="4">
        <v>77200</v>
      </c>
    </row>
    <row r="645" spans="1:9" x14ac:dyDescent="0.3">
      <c r="A645" s="2" t="s">
        <v>677</v>
      </c>
      <c r="B645" s="3">
        <v>45749</v>
      </c>
      <c r="C645" s="2" t="s">
        <v>21</v>
      </c>
      <c r="D645" s="2" t="s">
        <v>11</v>
      </c>
      <c r="E645" s="2" t="s">
        <v>22</v>
      </c>
      <c r="F645" s="2" t="s">
        <v>18</v>
      </c>
      <c r="G645" s="2" t="s">
        <v>19</v>
      </c>
      <c r="H645" s="4">
        <v>88958</v>
      </c>
      <c r="I645" s="4">
        <v>102000</v>
      </c>
    </row>
    <row r="646" spans="1:9" x14ac:dyDescent="0.3">
      <c r="A646" s="2" t="s">
        <v>678</v>
      </c>
      <c r="B646" s="3">
        <v>45749</v>
      </c>
      <c r="C646" s="2" t="s">
        <v>21</v>
      </c>
      <c r="D646" s="2" t="s">
        <v>11</v>
      </c>
      <c r="E646" s="2" t="s">
        <v>22</v>
      </c>
      <c r="F646" s="2" t="s">
        <v>33</v>
      </c>
      <c r="G646" s="2" t="s">
        <v>19</v>
      </c>
      <c r="H646" s="4">
        <v>65010</v>
      </c>
      <c r="I646" s="4">
        <v>54100</v>
      </c>
    </row>
    <row r="647" spans="1:9" x14ac:dyDescent="0.3">
      <c r="A647" s="2" t="s">
        <v>679</v>
      </c>
      <c r="B647" s="3">
        <v>45749</v>
      </c>
      <c r="C647" s="2" t="s">
        <v>25</v>
      </c>
      <c r="D647" s="2" t="s">
        <v>11</v>
      </c>
      <c r="E647" s="2" t="s">
        <v>22</v>
      </c>
      <c r="F647" s="2" t="s">
        <v>26</v>
      </c>
      <c r="G647" s="2" t="s">
        <v>14</v>
      </c>
      <c r="H647" s="4">
        <v>82742</v>
      </c>
      <c r="I647" s="4">
        <v>75300</v>
      </c>
    </row>
    <row r="648" spans="1:9" x14ac:dyDescent="0.3">
      <c r="A648" s="2" t="s">
        <v>680</v>
      </c>
      <c r="B648" s="3">
        <v>45749</v>
      </c>
      <c r="C648" s="2" t="s">
        <v>25</v>
      </c>
      <c r="D648" s="2" t="s">
        <v>11</v>
      </c>
      <c r="E648" s="2" t="s">
        <v>22</v>
      </c>
      <c r="F648" s="2" t="s">
        <v>23</v>
      </c>
      <c r="G648" s="2" t="s">
        <v>14</v>
      </c>
      <c r="H648" s="4">
        <v>94911</v>
      </c>
      <c r="I648" s="4">
        <v>88900</v>
      </c>
    </row>
    <row r="649" spans="1:9" x14ac:dyDescent="0.3">
      <c r="A649" s="2" t="s">
        <v>681</v>
      </c>
      <c r="B649" s="3">
        <v>45749</v>
      </c>
      <c r="C649" s="2" t="s">
        <v>31</v>
      </c>
      <c r="D649" s="2" t="s">
        <v>11</v>
      </c>
      <c r="E649" s="2" t="s">
        <v>17</v>
      </c>
      <c r="F649" s="2" t="s">
        <v>37</v>
      </c>
      <c r="G649" s="2" t="s">
        <v>14</v>
      </c>
      <c r="H649" s="4">
        <v>43787</v>
      </c>
      <c r="I649" s="4">
        <v>44600</v>
      </c>
    </row>
    <row r="650" spans="1:9" x14ac:dyDescent="0.3">
      <c r="A650" s="2" t="s">
        <v>682</v>
      </c>
      <c r="B650" s="3">
        <v>45749</v>
      </c>
      <c r="C650" s="2" t="s">
        <v>55</v>
      </c>
      <c r="D650" s="2" t="s">
        <v>11</v>
      </c>
      <c r="E650" s="2" t="s">
        <v>37</v>
      </c>
      <c r="F650" s="2" t="s">
        <v>59</v>
      </c>
      <c r="G650" s="2" t="s">
        <v>14</v>
      </c>
      <c r="H650" s="4">
        <v>149422</v>
      </c>
      <c r="I650" s="4">
        <v>159500</v>
      </c>
    </row>
    <row r="651" spans="1:9" x14ac:dyDescent="0.3">
      <c r="A651" s="2" t="s">
        <v>683</v>
      </c>
      <c r="B651" s="3">
        <v>45750</v>
      </c>
      <c r="C651" s="2" t="s">
        <v>62</v>
      </c>
      <c r="D651" s="2" t="s">
        <v>11</v>
      </c>
      <c r="E651" s="2" t="s">
        <v>22</v>
      </c>
      <c r="F651" s="2" t="s">
        <v>56</v>
      </c>
      <c r="G651" s="2" t="s">
        <v>19</v>
      </c>
      <c r="H651" s="4">
        <v>72980</v>
      </c>
      <c r="I651" s="4">
        <v>71900</v>
      </c>
    </row>
    <row r="652" spans="1:9" x14ac:dyDescent="0.3">
      <c r="A652" s="2" t="s">
        <v>684</v>
      </c>
      <c r="B652" s="3">
        <v>45750</v>
      </c>
      <c r="C652" s="2" t="s">
        <v>62</v>
      </c>
      <c r="D652" s="2" t="s">
        <v>11</v>
      </c>
      <c r="E652" s="2" t="s">
        <v>22</v>
      </c>
      <c r="F652" s="2" t="s">
        <v>59</v>
      </c>
      <c r="G652" s="2" t="s">
        <v>14</v>
      </c>
      <c r="H652" s="4">
        <v>200141</v>
      </c>
      <c r="I652" s="4">
        <v>210600</v>
      </c>
    </row>
    <row r="653" spans="1:9" x14ac:dyDescent="0.3">
      <c r="A653" s="2" t="s">
        <v>685</v>
      </c>
      <c r="B653" s="3">
        <v>45750</v>
      </c>
      <c r="C653" s="2" t="s">
        <v>62</v>
      </c>
      <c r="D653" s="2" t="s">
        <v>11</v>
      </c>
      <c r="E653" s="2" t="s">
        <v>22</v>
      </c>
      <c r="F653" s="2" t="s">
        <v>13</v>
      </c>
      <c r="G653" s="2" t="s">
        <v>14</v>
      </c>
      <c r="H653" s="4">
        <v>188953</v>
      </c>
      <c r="I653" s="4">
        <v>186700</v>
      </c>
    </row>
    <row r="654" spans="1:9" x14ac:dyDescent="0.3">
      <c r="A654" s="2" t="s">
        <v>686</v>
      </c>
      <c r="B654" s="3">
        <v>45750</v>
      </c>
      <c r="C654" s="2" t="s">
        <v>21</v>
      </c>
      <c r="D654" s="2" t="s">
        <v>11</v>
      </c>
      <c r="E654" s="2" t="s">
        <v>22</v>
      </c>
      <c r="F654" s="2" t="s">
        <v>23</v>
      </c>
      <c r="G654" s="2" t="s">
        <v>14</v>
      </c>
      <c r="H654" s="4">
        <v>238894</v>
      </c>
      <c r="I654" s="4">
        <v>239000</v>
      </c>
    </row>
    <row r="655" spans="1:9" x14ac:dyDescent="0.3">
      <c r="A655" s="2" t="s">
        <v>687</v>
      </c>
      <c r="B655" s="3">
        <v>45750</v>
      </c>
      <c r="C655" s="2" t="s">
        <v>25</v>
      </c>
      <c r="D655" s="2" t="s">
        <v>11</v>
      </c>
      <c r="E655" s="2" t="s">
        <v>22</v>
      </c>
      <c r="F655" s="2" t="s">
        <v>56</v>
      </c>
      <c r="G655" s="2" t="s">
        <v>19</v>
      </c>
      <c r="H655" s="4">
        <v>51368</v>
      </c>
      <c r="I655" s="4">
        <v>43700</v>
      </c>
    </row>
    <row r="656" spans="1:9" x14ac:dyDescent="0.3">
      <c r="A656" s="2" t="s">
        <v>688</v>
      </c>
      <c r="B656" s="3">
        <v>45750</v>
      </c>
      <c r="C656" s="2" t="s">
        <v>31</v>
      </c>
      <c r="D656" s="2" t="s">
        <v>11</v>
      </c>
      <c r="E656" s="2" t="s">
        <v>17</v>
      </c>
      <c r="F656" s="2" t="s">
        <v>37</v>
      </c>
      <c r="G656" s="2" t="s">
        <v>14</v>
      </c>
      <c r="H656" s="4">
        <v>135460</v>
      </c>
      <c r="I656" s="4">
        <v>140000</v>
      </c>
    </row>
    <row r="657" spans="1:9" x14ac:dyDescent="0.3">
      <c r="A657" s="2" t="s">
        <v>689</v>
      </c>
      <c r="B657" s="3">
        <v>45750</v>
      </c>
      <c r="C657" s="2" t="s">
        <v>55</v>
      </c>
      <c r="D657" s="2" t="s">
        <v>11</v>
      </c>
      <c r="E657" s="2" t="s">
        <v>37</v>
      </c>
      <c r="F657" s="2" t="s">
        <v>37</v>
      </c>
      <c r="G657" s="2" t="s">
        <v>14</v>
      </c>
      <c r="H657" s="4">
        <v>175987</v>
      </c>
      <c r="I657" s="4">
        <v>159100</v>
      </c>
    </row>
    <row r="658" spans="1:9" x14ac:dyDescent="0.3">
      <c r="A658" s="2" t="s">
        <v>690</v>
      </c>
      <c r="B658" s="3">
        <v>45751</v>
      </c>
      <c r="C658" s="2" t="s">
        <v>10</v>
      </c>
      <c r="D658" s="2" t="s">
        <v>11</v>
      </c>
      <c r="E658" s="2" t="s">
        <v>12</v>
      </c>
      <c r="F658" s="2" t="s">
        <v>33</v>
      </c>
      <c r="G658" s="2" t="s">
        <v>19</v>
      </c>
      <c r="H658" s="4">
        <v>42799</v>
      </c>
      <c r="I658" s="4">
        <v>52700</v>
      </c>
    </row>
    <row r="659" spans="1:9" x14ac:dyDescent="0.3">
      <c r="A659" s="2" t="s">
        <v>691</v>
      </c>
      <c r="B659" s="3">
        <v>45751</v>
      </c>
      <c r="C659" s="2" t="s">
        <v>10</v>
      </c>
      <c r="D659" s="2" t="s">
        <v>11</v>
      </c>
      <c r="E659" s="2" t="s">
        <v>12</v>
      </c>
      <c r="F659" s="2" t="s">
        <v>33</v>
      </c>
      <c r="G659" s="2" t="s">
        <v>19</v>
      </c>
      <c r="H659" s="4">
        <v>40081</v>
      </c>
      <c r="I659" s="4">
        <v>46700</v>
      </c>
    </row>
    <row r="660" spans="1:9" x14ac:dyDescent="0.3">
      <c r="A660" s="2" t="s">
        <v>692</v>
      </c>
      <c r="B660" s="3">
        <v>45751</v>
      </c>
      <c r="C660" s="2" t="s">
        <v>10</v>
      </c>
      <c r="D660" s="2" t="s">
        <v>11</v>
      </c>
      <c r="E660" s="2" t="s">
        <v>12</v>
      </c>
      <c r="F660" s="2" t="s">
        <v>37</v>
      </c>
      <c r="G660" s="2" t="s">
        <v>14</v>
      </c>
      <c r="H660" s="4">
        <v>227556</v>
      </c>
      <c r="I660" s="4">
        <v>216200</v>
      </c>
    </row>
    <row r="661" spans="1:9" x14ac:dyDescent="0.3">
      <c r="A661" s="2" t="s">
        <v>693</v>
      </c>
      <c r="B661" s="3">
        <v>45751</v>
      </c>
      <c r="C661" s="2" t="s">
        <v>10</v>
      </c>
      <c r="D661" s="2" t="s">
        <v>11</v>
      </c>
      <c r="E661" s="2" t="s">
        <v>12</v>
      </c>
      <c r="F661" s="2" t="s">
        <v>26</v>
      </c>
      <c r="G661" s="2" t="s">
        <v>14</v>
      </c>
      <c r="H661" s="4">
        <v>194948</v>
      </c>
      <c r="I661" s="4">
        <v>216600</v>
      </c>
    </row>
    <row r="662" spans="1:9" x14ac:dyDescent="0.3">
      <c r="A662" s="2" t="s">
        <v>694</v>
      </c>
      <c r="B662" s="3">
        <v>45751</v>
      </c>
      <c r="C662" s="2" t="s">
        <v>10</v>
      </c>
      <c r="D662" s="2" t="s">
        <v>11</v>
      </c>
      <c r="E662" s="2" t="s">
        <v>12</v>
      </c>
      <c r="F662" s="2" t="s">
        <v>37</v>
      </c>
      <c r="G662" s="2" t="s">
        <v>14</v>
      </c>
      <c r="H662" s="4">
        <v>74314</v>
      </c>
      <c r="I662" s="4">
        <v>77300</v>
      </c>
    </row>
    <row r="663" spans="1:9" x14ac:dyDescent="0.3">
      <c r="A663" s="2" t="s">
        <v>695</v>
      </c>
      <c r="B663" s="3">
        <v>45751</v>
      </c>
      <c r="C663" s="2" t="s">
        <v>16</v>
      </c>
      <c r="D663" s="2" t="s">
        <v>11</v>
      </c>
      <c r="E663" s="2" t="s">
        <v>17</v>
      </c>
      <c r="F663" s="2" t="s">
        <v>39</v>
      </c>
      <c r="G663" s="2" t="s">
        <v>19</v>
      </c>
      <c r="H663" s="4">
        <v>78807</v>
      </c>
      <c r="I663" s="4">
        <v>76200</v>
      </c>
    </row>
    <row r="664" spans="1:9" x14ac:dyDescent="0.3">
      <c r="A664" s="2" t="s">
        <v>696</v>
      </c>
      <c r="B664" s="3">
        <v>45751</v>
      </c>
      <c r="C664" s="2" t="s">
        <v>16</v>
      </c>
      <c r="D664" s="2" t="s">
        <v>11</v>
      </c>
      <c r="E664" s="2" t="s">
        <v>17</v>
      </c>
      <c r="F664" s="2" t="s">
        <v>56</v>
      </c>
      <c r="G664" s="2" t="s">
        <v>19</v>
      </c>
      <c r="H664" s="4">
        <v>15704</v>
      </c>
      <c r="I664" s="4">
        <v>19400</v>
      </c>
    </row>
    <row r="665" spans="1:9" x14ac:dyDescent="0.3">
      <c r="A665" s="2" t="s">
        <v>697</v>
      </c>
      <c r="B665" s="3">
        <v>45751</v>
      </c>
      <c r="C665" s="2" t="s">
        <v>16</v>
      </c>
      <c r="D665" s="2" t="s">
        <v>11</v>
      </c>
      <c r="E665" s="2" t="s">
        <v>17</v>
      </c>
      <c r="F665" s="2" t="s">
        <v>37</v>
      </c>
      <c r="G665" s="2" t="s">
        <v>14</v>
      </c>
      <c r="H665" s="4">
        <v>82203</v>
      </c>
      <c r="I665" s="4">
        <v>85300</v>
      </c>
    </row>
    <row r="666" spans="1:9" x14ac:dyDescent="0.3">
      <c r="A666" s="2" t="s">
        <v>698</v>
      </c>
      <c r="B666" s="3">
        <v>45751</v>
      </c>
      <c r="C666" s="2" t="s">
        <v>36</v>
      </c>
      <c r="D666" s="2" t="s">
        <v>11</v>
      </c>
      <c r="E666" s="2" t="s">
        <v>37</v>
      </c>
      <c r="F666" s="2" t="s">
        <v>56</v>
      </c>
      <c r="G666" s="2" t="s">
        <v>19</v>
      </c>
      <c r="H666" s="4">
        <v>29363</v>
      </c>
      <c r="I666" s="4">
        <v>32400</v>
      </c>
    </row>
    <row r="667" spans="1:9" x14ac:dyDescent="0.3">
      <c r="A667" s="2" t="s">
        <v>699</v>
      </c>
      <c r="B667" s="3">
        <v>45751</v>
      </c>
      <c r="C667" s="2" t="s">
        <v>36</v>
      </c>
      <c r="D667" s="2" t="s">
        <v>11</v>
      </c>
      <c r="E667" s="2" t="s">
        <v>37</v>
      </c>
      <c r="F667" s="2" t="s">
        <v>18</v>
      </c>
      <c r="G667" s="2" t="s">
        <v>19</v>
      </c>
      <c r="H667" s="4">
        <v>40098</v>
      </c>
      <c r="I667" s="4">
        <v>30900</v>
      </c>
    </row>
    <row r="668" spans="1:9" x14ac:dyDescent="0.3">
      <c r="A668" s="2" t="s">
        <v>700</v>
      </c>
      <c r="B668" s="3">
        <v>45751</v>
      </c>
      <c r="C668" s="2" t="s">
        <v>21</v>
      </c>
      <c r="D668" s="2" t="s">
        <v>11</v>
      </c>
      <c r="E668" s="2" t="s">
        <v>22</v>
      </c>
      <c r="F668" s="2" t="s">
        <v>46</v>
      </c>
      <c r="G668" s="2" t="s">
        <v>19</v>
      </c>
      <c r="H668" s="4">
        <v>70047</v>
      </c>
      <c r="I668" s="4">
        <v>68900</v>
      </c>
    </row>
    <row r="669" spans="1:9" x14ac:dyDescent="0.3">
      <c r="A669" s="2" t="s">
        <v>701</v>
      </c>
      <c r="B669" s="3">
        <v>45751</v>
      </c>
      <c r="C669" s="2" t="s">
        <v>25</v>
      </c>
      <c r="D669" s="2" t="s">
        <v>11</v>
      </c>
      <c r="E669" s="2" t="s">
        <v>22</v>
      </c>
      <c r="F669" s="2" t="s">
        <v>59</v>
      </c>
      <c r="G669" s="2" t="s">
        <v>14</v>
      </c>
      <c r="H669" s="4">
        <v>188324</v>
      </c>
      <c r="I669" s="4">
        <v>187500</v>
      </c>
    </row>
    <row r="670" spans="1:9" x14ac:dyDescent="0.3">
      <c r="A670" s="2" t="s">
        <v>702</v>
      </c>
      <c r="B670" s="3">
        <v>45751</v>
      </c>
      <c r="C670" s="2" t="s">
        <v>31</v>
      </c>
      <c r="D670" s="2" t="s">
        <v>11</v>
      </c>
      <c r="E670" s="2" t="s">
        <v>17</v>
      </c>
      <c r="F670" s="2" t="s">
        <v>59</v>
      </c>
      <c r="G670" s="2" t="s">
        <v>14</v>
      </c>
      <c r="H670" s="4">
        <v>109160</v>
      </c>
      <c r="I670" s="4">
        <v>115200</v>
      </c>
    </row>
    <row r="671" spans="1:9" x14ac:dyDescent="0.3">
      <c r="A671" s="2" t="s">
        <v>703</v>
      </c>
      <c r="B671" s="3">
        <v>45751</v>
      </c>
      <c r="C671" s="2" t="s">
        <v>31</v>
      </c>
      <c r="D671" s="2" t="s">
        <v>11</v>
      </c>
      <c r="E671" s="2" t="s">
        <v>17</v>
      </c>
      <c r="F671" s="2" t="s">
        <v>59</v>
      </c>
      <c r="G671" s="2" t="s">
        <v>14</v>
      </c>
      <c r="H671" s="4">
        <v>111579</v>
      </c>
      <c r="I671" s="4">
        <v>107400</v>
      </c>
    </row>
    <row r="672" spans="1:9" x14ac:dyDescent="0.3">
      <c r="A672" s="2" t="s">
        <v>704</v>
      </c>
      <c r="B672" s="3">
        <v>45751</v>
      </c>
      <c r="C672" s="2" t="s">
        <v>55</v>
      </c>
      <c r="D672" s="2" t="s">
        <v>11</v>
      </c>
      <c r="E672" s="2" t="s">
        <v>37</v>
      </c>
      <c r="F672" s="2" t="s">
        <v>18</v>
      </c>
      <c r="G672" s="2" t="s">
        <v>19</v>
      </c>
      <c r="H672" s="4">
        <v>70361</v>
      </c>
      <c r="I672" s="4">
        <v>82900</v>
      </c>
    </row>
    <row r="673" spans="1:9" x14ac:dyDescent="0.3">
      <c r="A673" s="2" t="s">
        <v>705</v>
      </c>
      <c r="B673" s="3">
        <v>45752</v>
      </c>
      <c r="C673" s="2" t="s">
        <v>16</v>
      </c>
      <c r="D673" s="2" t="s">
        <v>11</v>
      </c>
      <c r="E673" s="2" t="s">
        <v>17</v>
      </c>
      <c r="F673" s="2" t="s">
        <v>18</v>
      </c>
      <c r="G673" s="2" t="s">
        <v>19</v>
      </c>
      <c r="H673" s="4">
        <v>45497</v>
      </c>
      <c r="I673" s="4">
        <v>40400</v>
      </c>
    </row>
    <row r="674" spans="1:9" x14ac:dyDescent="0.3">
      <c r="A674" s="2" t="s">
        <v>706</v>
      </c>
      <c r="B674" s="3">
        <v>45752</v>
      </c>
      <c r="C674" s="2" t="s">
        <v>36</v>
      </c>
      <c r="D674" s="2" t="s">
        <v>11</v>
      </c>
      <c r="E674" s="2" t="s">
        <v>37</v>
      </c>
      <c r="F674" s="2" t="s">
        <v>46</v>
      </c>
      <c r="G674" s="2" t="s">
        <v>19</v>
      </c>
      <c r="H674" s="4">
        <v>60829</v>
      </c>
      <c r="I674" s="4">
        <v>67000</v>
      </c>
    </row>
    <row r="675" spans="1:9" x14ac:dyDescent="0.3">
      <c r="A675" s="2" t="s">
        <v>707</v>
      </c>
      <c r="B675" s="3">
        <v>45752</v>
      </c>
      <c r="C675" s="2" t="s">
        <v>25</v>
      </c>
      <c r="D675" s="2" t="s">
        <v>11</v>
      </c>
      <c r="E675" s="2" t="s">
        <v>22</v>
      </c>
      <c r="F675" s="2" t="s">
        <v>56</v>
      </c>
      <c r="G675" s="2" t="s">
        <v>19</v>
      </c>
      <c r="H675" s="4">
        <v>33768</v>
      </c>
      <c r="I675" s="4">
        <v>35200</v>
      </c>
    </row>
    <row r="676" spans="1:9" x14ac:dyDescent="0.3">
      <c r="A676" s="2" t="s">
        <v>708</v>
      </c>
      <c r="B676" s="3">
        <v>45753</v>
      </c>
      <c r="C676" s="2" t="s">
        <v>21</v>
      </c>
      <c r="D676" s="2" t="s">
        <v>11</v>
      </c>
      <c r="E676" s="2" t="s">
        <v>22</v>
      </c>
      <c r="F676" s="2" t="s">
        <v>33</v>
      </c>
      <c r="G676" s="2" t="s">
        <v>19</v>
      </c>
      <c r="H676" s="4">
        <v>13195</v>
      </c>
      <c r="I676" s="4">
        <v>13500</v>
      </c>
    </row>
    <row r="677" spans="1:9" x14ac:dyDescent="0.3">
      <c r="A677" s="2" t="s">
        <v>709</v>
      </c>
      <c r="B677" s="3">
        <v>45753</v>
      </c>
      <c r="C677" s="2" t="s">
        <v>25</v>
      </c>
      <c r="D677" s="2" t="s">
        <v>11</v>
      </c>
      <c r="E677" s="2" t="s">
        <v>22</v>
      </c>
      <c r="F677" s="2" t="s">
        <v>18</v>
      </c>
      <c r="G677" s="2" t="s">
        <v>19</v>
      </c>
      <c r="H677" s="4">
        <v>46728</v>
      </c>
      <c r="I677" s="4">
        <v>49600</v>
      </c>
    </row>
    <row r="678" spans="1:9" x14ac:dyDescent="0.3">
      <c r="A678" s="2" t="s">
        <v>710</v>
      </c>
      <c r="B678" s="3">
        <v>45753</v>
      </c>
      <c r="C678" s="2" t="s">
        <v>31</v>
      </c>
      <c r="D678" s="2" t="s">
        <v>11</v>
      </c>
      <c r="E678" s="2" t="s">
        <v>17</v>
      </c>
      <c r="F678" s="2" t="s">
        <v>39</v>
      </c>
      <c r="G678" s="2" t="s">
        <v>19</v>
      </c>
      <c r="H678" s="4">
        <v>89123</v>
      </c>
      <c r="I678" s="4">
        <v>95000</v>
      </c>
    </row>
    <row r="679" spans="1:9" x14ac:dyDescent="0.3">
      <c r="A679" s="2" t="s">
        <v>711</v>
      </c>
      <c r="B679" s="3">
        <v>45753</v>
      </c>
      <c r="C679" s="2" t="s">
        <v>55</v>
      </c>
      <c r="D679" s="2" t="s">
        <v>11</v>
      </c>
      <c r="E679" s="2" t="s">
        <v>37</v>
      </c>
      <c r="F679" s="2" t="s">
        <v>59</v>
      </c>
      <c r="G679" s="2" t="s">
        <v>14</v>
      </c>
      <c r="H679" s="4">
        <v>145648</v>
      </c>
      <c r="I679" s="4">
        <v>160900</v>
      </c>
    </row>
    <row r="680" spans="1:9" x14ac:dyDescent="0.3">
      <c r="A680" s="2" t="s">
        <v>712</v>
      </c>
      <c r="B680" s="3">
        <v>45753</v>
      </c>
      <c r="C680" s="2" t="s">
        <v>55</v>
      </c>
      <c r="D680" s="2" t="s">
        <v>11</v>
      </c>
      <c r="E680" s="2" t="s">
        <v>37</v>
      </c>
      <c r="F680" s="2" t="s">
        <v>37</v>
      </c>
      <c r="G680" s="2" t="s">
        <v>14</v>
      </c>
      <c r="H680" s="4">
        <v>74761</v>
      </c>
      <c r="I680" s="4">
        <v>73900</v>
      </c>
    </row>
    <row r="681" spans="1:9" x14ac:dyDescent="0.3">
      <c r="A681" s="2" t="s">
        <v>713</v>
      </c>
      <c r="B681" s="3">
        <v>45754</v>
      </c>
      <c r="C681" s="2" t="s">
        <v>16</v>
      </c>
      <c r="D681" s="2" t="s">
        <v>11</v>
      </c>
      <c r="E681" s="2" t="s">
        <v>17</v>
      </c>
      <c r="F681" s="2" t="s">
        <v>56</v>
      </c>
      <c r="G681" s="2" t="s">
        <v>19</v>
      </c>
      <c r="H681" s="4">
        <v>60036</v>
      </c>
      <c r="I681" s="4">
        <v>75300</v>
      </c>
    </row>
    <row r="682" spans="1:9" x14ac:dyDescent="0.3">
      <c r="A682" s="2" t="s">
        <v>714</v>
      </c>
      <c r="B682" s="3">
        <v>45754</v>
      </c>
      <c r="C682" s="2" t="s">
        <v>16</v>
      </c>
      <c r="D682" s="2" t="s">
        <v>11</v>
      </c>
      <c r="E682" s="2" t="s">
        <v>17</v>
      </c>
      <c r="F682" s="2" t="s">
        <v>46</v>
      </c>
      <c r="G682" s="2" t="s">
        <v>19</v>
      </c>
      <c r="H682" s="4">
        <v>43998</v>
      </c>
      <c r="I682" s="4">
        <v>46500</v>
      </c>
    </row>
    <row r="683" spans="1:9" x14ac:dyDescent="0.3">
      <c r="A683" s="2" t="s">
        <v>715</v>
      </c>
      <c r="B683" s="3">
        <v>45754</v>
      </c>
      <c r="C683" s="2" t="s">
        <v>21</v>
      </c>
      <c r="D683" s="2" t="s">
        <v>11</v>
      </c>
      <c r="E683" s="2" t="s">
        <v>22</v>
      </c>
      <c r="F683" s="2" t="s">
        <v>56</v>
      </c>
      <c r="G683" s="2" t="s">
        <v>19</v>
      </c>
      <c r="H683" s="4">
        <v>94527</v>
      </c>
      <c r="I683" s="4">
        <v>85900</v>
      </c>
    </row>
    <row r="684" spans="1:9" x14ac:dyDescent="0.3">
      <c r="A684" s="2" t="s">
        <v>716</v>
      </c>
      <c r="B684" s="3">
        <v>45754</v>
      </c>
      <c r="C684" s="2" t="s">
        <v>25</v>
      </c>
      <c r="D684" s="2" t="s">
        <v>11</v>
      </c>
      <c r="E684" s="2" t="s">
        <v>22</v>
      </c>
      <c r="F684" s="2" t="s">
        <v>33</v>
      </c>
      <c r="G684" s="2" t="s">
        <v>19</v>
      </c>
      <c r="H684" s="4">
        <v>91411</v>
      </c>
      <c r="I684" s="4">
        <v>81800</v>
      </c>
    </row>
    <row r="685" spans="1:9" x14ac:dyDescent="0.3">
      <c r="A685" s="2" t="s">
        <v>717</v>
      </c>
      <c r="B685" s="3">
        <v>45754</v>
      </c>
      <c r="C685" s="2" t="s">
        <v>31</v>
      </c>
      <c r="D685" s="2" t="s">
        <v>11</v>
      </c>
      <c r="E685" s="2" t="s">
        <v>17</v>
      </c>
      <c r="F685" s="2" t="s">
        <v>56</v>
      </c>
      <c r="G685" s="2" t="s">
        <v>19</v>
      </c>
      <c r="H685" s="4">
        <v>94293</v>
      </c>
      <c r="I685" s="4">
        <v>85000</v>
      </c>
    </row>
    <row r="686" spans="1:9" x14ac:dyDescent="0.3">
      <c r="A686" s="2" t="s">
        <v>718</v>
      </c>
      <c r="B686" s="3">
        <v>45755</v>
      </c>
      <c r="C686" s="2" t="s">
        <v>21</v>
      </c>
      <c r="D686" s="2" t="s">
        <v>11</v>
      </c>
      <c r="E686" s="2" t="s">
        <v>22</v>
      </c>
      <c r="F686" s="2" t="s">
        <v>42</v>
      </c>
      <c r="G686" s="2" t="s">
        <v>19</v>
      </c>
      <c r="H686" s="4">
        <v>118820</v>
      </c>
      <c r="I686" s="4">
        <v>118500</v>
      </c>
    </row>
    <row r="687" spans="1:9" x14ac:dyDescent="0.3">
      <c r="A687" s="2" t="s">
        <v>719</v>
      </c>
      <c r="B687" s="3">
        <v>45755</v>
      </c>
      <c r="C687" s="2" t="s">
        <v>31</v>
      </c>
      <c r="D687" s="2" t="s">
        <v>11</v>
      </c>
      <c r="E687" s="2" t="s">
        <v>17</v>
      </c>
      <c r="F687" s="2" t="s">
        <v>37</v>
      </c>
      <c r="G687" s="2" t="s">
        <v>14</v>
      </c>
      <c r="H687" s="4">
        <v>112078</v>
      </c>
      <c r="I687" s="4">
        <v>107600</v>
      </c>
    </row>
    <row r="688" spans="1:9" x14ac:dyDescent="0.3">
      <c r="A688" s="2" t="s">
        <v>720</v>
      </c>
      <c r="B688" s="3">
        <v>45756</v>
      </c>
      <c r="C688" s="2" t="s">
        <v>16</v>
      </c>
      <c r="D688" s="2" t="s">
        <v>11</v>
      </c>
      <c r="E688" s="2" t="s">
        <v>17</v>
      </c>
      <c r="F688" s="2" t="s">
        <v>42</v>
      </c>
      <c r="G688" s="2" t="s">
        <v>19</v>
      </c>
      <c r="H688" s="4">
        <v>107251</v>
      </c>
      <c r="I688" s="4">
        <v>102200</v>
      </c>
    </row>
    <row r="689" spans="1:9" x14ac:dyDescent="0.3">
      <c r="A689" s="2" t="s">
        <v>721</v>
      </c>
      <c r="B689" s="3">
        <v>45756</v>
      </c>
      <c r="C689" s="2" t="s">
        <v>36</v>
      </c>
      <c r="D689" s="2" t="s">
        <v>11</v>
      </c>
      <c r="E689" s="2" t="s">
        <v>37</v>
      </c>
      <c r="F689" s="2" t="s">
        <v>56</v>
      </c>
      <c r="G689" s="2" t="s">
        <v>19</v>
      </c>
      <c r="H689" s="4">
        <v>90897</v>
      </c>
      <c r="I689" s="4">
        <v>95200</v>
      </c>
    </row>
    <row r="690" spans="1:9" x14ac:dyDescent="0.3">
      <c r="A690" s="2" t="s">
        <v>722</v>
      </c>
      <c r="B690" s="3">
        <v>45756</v>
      </c>
      <c r="C690" s="2" t="s">
        <v>36</v>
      </c>
      <c r="D690" s="2" t="s">
        <v>11</v>
      </c>
      <c r="E690" s="2" t="s">
        <v>37</v>
      </c>
      <c r="F690" s="2" t="s">
        <v>23</v>
      </c>
      <c r="G690" s="2" t="s">
        <v>14</v>
      </c>
      <c r="H690" s="4">
        <v>152336</v>
      </c>
      <c r="I690" s="4">
        <v>168300</v>
      </c>
    </row>
    <row r="691" spans="1:9" x14ac:dyDescent="0.3">
      <c r="A691" s="2" t="s">
        <v>723</v>
      </c>
      <c r="B691" s="3">
        <v>45756</v>
      </c>
      <c r="C691" s="2" t="s">
        <v>21</v>
      </c>
      <c r="D691" s="2" t="s">
        <v>11</v>
      </c>
      <c r="E691" s="2" t="s">
        <v>22</v>
      </c>
      <c r="F691" s="2" t="s">
        <v>12</v>
      </c>
      <c r="G691" s="2" t="s">
        <v>14</v>
      </c>
      <c r="H691" s="4">
        <v>114356</v>
      </c>
      <c r="I691" s="4">
        <v>112200</v>
      </c>
    </row>
    <row r="692" spans="1:9" x14ac:dyDescent="0.3">
      <c r="A692" s="2" t="s">
        <v>724</v>
      </c>
      <c r="B692" s="3">
        <v>45756</v>
      </c>
      <c r="C692" s="2" t="s">
        <v>25</v>
      </c>
      <c r="D692" s="2" t="s">
        <v>11</v>
      </c>
      <c r="E692" s="2" t="s">
        <v>22</v>
      </c>
      <c r="F692" s="2" t="s">
        <v>59</v>
      </c>
      <c r="G692" s="2" t="s">
        <v>14</v>
      </c>
      <c r="H692" s="4">
        <v>186721</v>
      </c>
      <c r="I692" s="4">
        <v>178300</v>
      </c>
    </row>
    <row r="693" spans="1:9" x14ac:dyDescent="0.3">
      <c r="A693" s="2" t="s">
        <v>725</v>
      </c>
      <c r="B693" s="3">
        <v>45756</v>
      </c>
      <c r="C693" s="2" t="s">
        <v>55</v>
      </c>
      <c r="D693" s="2" t="s">
        <v>11</v>
      </c>
      <c r="E693" s="2" t="s">
        <v>37</v>
      </c>
      <c r="F693" s="2" t="s">
        <v>59</v>
      </c>
      <c r="G693" s="2" t="s">
        <v>14</v>
      </c>
      <c r="H693" s="4">
        <v>115729</v>
      </c>
      <c r="I693" s="4">
        <v>100100</v>
      </c>
    </row>
    <row r="694" spans="1:9" x14ac:dyDescent="0.3">
      <c r="A694" s="2" t="s">
        <v>726</v>
      </c>
      <c r="B694" s="3">
        <v>45757</v>
      </c>
      <c r="C694" s="2" t="s">
        <v>62</v>
      </c>
      <c r="D694" s="2" t="s">
        <v>11</v>
      </c>
      <c r="E694" s="2" t="s">
        <v>22</v>
      </c>
      <c r="F694" s="2" t="s">
        <v>12</v>
      </c>
      <c r="G694" s="2" t="s">
        <v>14</v>
      </c>
      <c r="H694" s="4">
        <v>188216</v>
      </c>
      <c r="I694" s="4">
        <v>177200</v>
      </c>
    </row>
    <row r="695" spans="1:9" x14ac:dyDescent="0.3">
      <c r="A695" s="2" t="s">
        <v>727</v>
      </c>
      <c r="B695" s="3">
        <v>45757</v>
      </c>
      <c r="C695" s="2" t="s">
        <v>10</v>
      </c>
      <c r="D695" s="2" t="s">
        <v>11</v>
      </c>
      <c r="E695" s="2" t="s">
        <v>12</v>
      </c>
      <c r="F695" s="2" t="s">
        <v>13</v>
      </c>
      <c r="G695" s="2" t="s">
        <v>14</v>
      </c>
      <c r="H695" s="4">
        <v>194821</v>
      </c>
      <c r="I695" s="4">
        <v>186900</v>
      </c>
    </row>
    <row r="696" spans="1:9" x14ac:dyDescent="0.3">
      <c r="A696" s="2" t="s">
        <v>728</v>
      </c>
      <c r="B696" s="3">
        <v>45757</v>
      </c>
      <c r="C696" s="2" t="s">
        <v>16</v>
      </c>
      <c r="D696" s="2" t="s">
        <v>11</v>
      </c>
      <c r="E696" s="2" t="s">
        <v>17</v>
      </c>
      <c r="F696" s="2" t="s">
        <v>23</v>
      </c>
      <c r="G696" s="2" t="s">
        <v>14</v>
      </c>
      <c r="H696" s="4">
        <v>143576</v>
      </c>
      <c r="I696" s="4">
        <v>145700</v>
      </c>
    </row>
    <row r="697" spans="1:9" x14ac:dyDescent="0.3">
      <c r="A697" s="2" t="s">
        <v>729</v>
      </c>
      <c r="B697" s="3">
        <v>45757</v>
      </c>
      <c r="C697" s="2" t="s">
        <v>36</v>
      </c>
      <c r="D697" s="2" t="s">
        <v>11</v>
      </c>
      <c r="E697" s="2" t="s">
        <v>37</v>
      </c>
      <c r="F697" s="2" t="s">
        <v>46</v>
      </c>
      <c r="G697" s="2" t="s">
        <v>19</v>
      </c>
      <c r="H697" s="4">
        <v>72828</v>
      </c>
      <c r="I697" s="4">
        <v>69600</v>
      </c>
    </row>
    <row r="698" spans="1:9" x14ac:dyDescent="0.3">
      <c r="A698" s="2" t="s">
        <v>730</v>
      </c>
      <c r="B698" s="3">
        <v>45757</v>
      </c>
      <c r="C698" s="2" t="s">
        <v>25</v>
      </c>
      <c r="D698" s="2" t="s">
        <v>11</v>
      </c>
      <c r="E698" s="2" t="s">
        <v>22</v>
      </c>
      <c r="F698" s="2" t="s">
        <v>13</v>
      </c>
      <c r="G698" s="2" t="s">
        <v>14</v>
      </c>
      <c r="H698" s="4">
        <v>174569</v>
      </c>
      <c r="I698" s="4">
        <v>180000</v>
      </c>
    </row>
    <row r="699" spans="1:9" x14ac:dyDescent="0.3">
      <c r="A699" s="2" t="s">
        <v>731</v>
      </c>
      <c r="B699" s="3">
        <v>45757</v>
      </c>
      <c r="C699" s="2" t="s">
        <v>31</v>
      </c>
      <c r="D699" s="2" t="s">
        <v>11</v>
      </c>
      <c r="E699" s="2" t="s">
        <v>17</v>
      </c>
      <c r="F699" s="2" t="s">
        <v>39</v>
      </c>
      <c r="G699" s="2" t="s">
        <v>19</v>
      </c>
      <c r="H699" s="4">
        <v>97833</v>
      </c>
      <c r="I699" s="4">
        <v>89700</v>
      </c>
    </row>
    <row r="700" spans="1:9" x14ac:dyDescent="0.3">
      <c r="A700" s="2" t="s">
        <v>732</v>
      </c>
      <c r="B700" s="3">
        <v>45757</v>
      </c>
      <c r="C700" s="2" t="s">
        <v>31</v>
      </c>
      <c r="D700" s="2" t="s">
        <v>11</v>
      </c>
      <c r="E700" s="2" t="s">
        <v>17</v>
      </c>
      <c r="F700" s="2" t="s">
        <v>56</v>
      </c>
      <c r="G700" s="2" t="s">
        <v>19</v>
      </c>
      <c r="H700" s="4">
        <v>56897</v>
      </c>
      <c r="I700" s="4">
        <v>54500</v>
      </c>
    </row>
    <row r="701" spans="1:9" x14ac:dyDescent="0.3">
      <c r="A701" s="2" t="s">
        <v>733</v>
      </c>
      <c r="B701" s="3">
        <v>45757</v>
      </c>
      <c r="C701" s="2" t="s">
        <v>55</v>
      </c>
      <c r="D701" s="2" t="s">
        <v>11</v>
      </c>
      <c r="E701" s="2" t="s">
        <v>37</v>
      </c>
      <c r="F701" s="2" t="s">
        <v>18</v>
      </c>
      <c r="G701" s="2" t="s">
        <v>19</v>
      </c>
      <c r="H701" s="4">
        <v>100920</v>
      </c>
      <c r="I701" s="4">
        <v>106900</v>
      </c>
    </row>
    <row r="702" spans="1:9" x14ac:dyDescent="0.3">
      <c r="A702" s="2" t="s">
        <v>734</v>
      </c>
      <c r="B702" s="3">
        <v>45758</v>
      </c>
      <c r="C702" s="2" t="s">
        <v>16</v>
      </c>
      <c r="D702" s="2" t="s">
        <v>11</v>
      </c>
      <c r="E702" s="2" t="s">
        <v>17</v>
      </c>
      <c r="F702" s="2" t="s">
        <v>42</v>
      </c>
      <c r="G702" s="2" t="s">
        <v>19</v>
      </c>
      <c r="H702" s="4">
        <v>99266</v>
      </c>
      <c r="I702" s="4">
        <v>84100</v>
      </c>
    </row>
    <row r="703" spans="1:9" x14ac:dyDescent="0.3">
      <c r="A703" s="2" t="s">
        <v>735</v>
      </c>
      <c r="B703" s="3">
        <v>45758</v>
      </c>
      <c r="C703" s="2" t="s">
        <v>36</v>
      </c>
      <c r="D703" s="2" t="s">
        <v>11</v>
      </c>
      <c r="E703" s="2" t="s">
        <v>37</v>
      </c>
      <c r="F703" s="2" t="s">
        <v>59</v>
      </c>
      <c r="G703" s="2" t="s">
        <v>14</v>
      </c>
      <c r="H703" s="4">
        <v>117991</v>
      </c>
      <c r="I703" s="4">
        <v>124100</v>
      </c>
    </row>
    <row r="704" spans="1:9" x14ac:dyDescent="0.3">
      <c r="A704" s="2" t="s">
        <v>736</v>
      </c>
      <c r="B704" s="3">
        <v>45758</v>
      </c>
      <c r="C704" s="2" t="s">
        <v>21</v>
      </c>
      <c r="D704" s="2" t="s">
        <v>11</v>
      </c>
      <c r="E704" s="2" t="s">
        <v>22</v>
      </c>
      <c r="F704" s="2" t="s">
        <v>59</v>
      </c>
      <c r="G704" s="2" t="s">
        <v>14</v>
      </c>
      <c r="H704" s="4">
        <v>168965</v>
      </c>
      <c r="I704" s="4">
        <v>193900</v>
      </c>
    </row>
    <row r="705" spans="1:9" x14ac:dyDescent="0.3">
      <c r="A705" s="2" t="s">
        <v>737</v>
      </c>
      <c r="B705" s="3">
        <v>45758</v>
      </c>
      <c r="C705" s="2" t="s">
        <v>31</v>
      </c>
      <c r="D705" s="2" t="s">
        <v>11</v>
      </c>
      <c r="E705" s="2" t="s">
        <v>17</v>
      </c>
      <c r="F705" s="2" t="s">
        <v>12</v>
      </c>
      <c r="G705" s="2" t="s">
        <v>14</v>
      </c>
      <c r="H705" s="4">
        <v>170849</v>
      </c>
      <c r="I705" s="4">
        <v>187000</v>
      </c>
    </row>
    <row r="706" spans="1:9" x14ac:dyDescent="0.3">
      <c r="A706" s="2" t="s">
        <v>738</v>
      </c>
      <c r="B706" s="3">
        <v>45758</v>
      </c>
      <c r="C706" s="2" t="s">
        <v>31</v>
      </c>
      <c r="D706" s="2" t="s">
        <v>11</v>
      </c>
      <c r="E706" s="2" t="s">
        <v>17</v>
      </c>
      <c r="F706" s="2" t="s">
        <v>13</v>
      </c>
      <c r="G706" s="2" t="s">
        <v>14</v>
      </c>
      <c r="H706" s="4">
        <v>113502</v>
      </c>
      <c r="I706" s="4">
        <v>119700</v>
      </c>
    </row>
    <row r="707" spans="1:9" x14ac:dyDescent="0.3">
      <c r="A707" s="2" t="s">
        <v>739</v>
      </c>
      <c r="B707" s="3">
        <v>45758</v>
      </c>
      <c r="C707" s="2" t="s">
        <v>31</v>
      </c>
      <c r="D707" s="2" t="s">
        <v>11</v>
      </c>
      <c r="E707" s="2" t="s">
        <v>17</v>
      </c>
      <c r="F707" s="2" t="s">
        <v>13</v>
      </c>
      <c r="G707" s="2" t="s">
        <v>14</v>
      </c>
      <c r="H707" s="4">
        <v>89031</v>
      </c>
      <c r="I707" s="4">
        <v>84300</v>
      </c>
    </row>
    <row r="708" spans="1:9" x14ac:dyDescent="0.3">
      <c r="A708" s="2" t="s">
        <v>740</v>
      </c>
      <c r="B708" s="3">
        <v>45758</v>
      </c>
      <c r="C708" s="2" t="s">
        <v>55</v>
      </c>
      <c r="D708" s="2" t="s">
        <v>11</v>
      </c>
      <c r="E708" s="2" t="s">
        <v>37</v>
      </c>
      <c r="F708" s="2" t="s">
        <v>42</v>
      </c>
      <c r="G708" s="2" t="s">
        <v>19</v>
      </c>
      <c r="H708" s="4">
        <v>65846</v>
      </c>
      <c r="I708" s="4">
        <v>62200</v>
      </c>
    </row>
    <row r="709" spans="1:9" x14ac:dyDescent="0.3">
      <c r="A709" s="2" t="s">
        <v>741</v>
      </c>
      <c r="B709" s="3">
        <v>45758</v>
      </c>
      <c r="C709" s="2" t="s">
        <v>55</v>
      </c>
      <c r="D709" s="2" t="s">
        <v>11</v>
      </c>
      <c r="E709" s="2" t="s">
        <v>37</v>
      </c>
      <c r="F709" s="2" t="s">
        <v>26</v>
      </c>
      <c r="G709" s="2" t="s">
        <v>14</v>
      </c>
      <c r="H709" s="4">
        <v>94880</v>
      </c>
      <c r="I709" s="4">
        <v>102700</v>
      </c>
    </row>
    <row r="710" spans="1:9" x14ac:dyDescent="0.3">
      <c r="A710" s="2" t="s">
        <v>742</v>
      </c>
      <c r="B710" s="3">
        <v>45758</v>
      </c>
      <c r="C710" s="2" t="s">
        <v>55</v>
      </c>
      <c r="D710" s="2" t="s">
        <v>11</v>
      </c>
      <c r="E710" s="2" t="s">
        <v>37</v>
      </c>
      <c r="F710" s="2" t="s">
        <v>26</v>
      </c>
      <c r="G710" s="2" t="s">
        <v>14</v>
      </c>
      <c r="H710" s="4">
        <v>194319</v>
      </c>
      <c r="I710" s="4">
        <v>211900</v>
      </c>
    </row>
    <row r="711" spans="1:9" x14ac:dyDescent="0.3">
      <c r="A711" s="2" t="s">
        <v>743</v>
      </c>
      <c r="B711" s="3">
        <v>45759</v>
      </c>
      <c r="C711" s="2" t="s">
        <v>62</v>
      </c>
      <c r="D711" s="2" t="s">
        <v>11</v>
      </c>
      <c r="E711" s="2" t="s">
        <v>22</v>
      </c>
      <c r="F711" s="2" t="s">
        <v>56</v>
      </c>
      <c r="G711" s="2" t="s">
        <v>19</v>
      </c>
      <c r="H711" s="4">
        <v>95829</v>
      </c>
      <c r="I711" s="4">
        <v>103500</v>
      </c>
    </row>
    <row r="712" spans="1:9" x14ac:dyDescent="0.3">
      <c r="A712" s="2" t="s">
        <v>744</v>
      </c>
      <c r="B712" s="3">
        <v>45759</v>
      </c>
      <c r="C712" s="2" t="s">
        <v>10</v>
      </c>
      <c r="D712" s="2" t="s">
        <v>11</v>
      </c>
      <c r="E712" s="2" t="s">
        <v>12</v>
      </c>
      <c r="F712" s="2" t="s">
        <v>12</v>
      </c>
      <c r="G712" s="2" t="s">
        <v>14</v>
      </c>
      <c r="H712" s="4">
        <v>226642</v>
      </c>
      <c r="I712" s="4">
        <v>223000</v>
      </c>
    </row>
    <row r="713" spans="1:9" x14ac:dyDescent="0.3">
      <c r="A713" s="2" t="s">
        <v>745</v>
      </c>
      <c r="B713" s="3">
        <v>45759</v>
      </c>
      <c r="C713" s="2" t="s">
        <v>10</v>
      </c>
      <c r="D713" s="2" t="s">
        <v>11</v>
      </c>
      <c r="E713" s="2" t="s">
        <v>12</v>
      </c>
      <c r="F713" s="2" t="s">
        <v>59</v>
      </c>
      <c r="G713" s="2" t="s">
        <v>14</v>
      </c>
      <c r="H713" s="4">
        <v>160236</v>
      </c>
      <c r="I713" s="4">
        <v>186800</v>
      </c>
    </row>
    <row r="714" spans="1:9" x14ac:dyDescent="0.3">
      <c r="A714" s="2" t="s">
        <v>746</v>
      </c>
      <c r="B714" s="3">
        <v>45759</v>
      </c>
      <c r="C714" s="2" t="s">
        <v>16</v>
      </c>
      <c r="D714" s="2" t="s">
        <v>11</v>
      </c>
      <c r="E714" s="2" t="s">
        <v>17</v>
      </c>
      <c r="F714" s="2" t="s">
        <v>59</v>
      </c>
      <c r="G714" s="2" t="s">
        <v>14</v>
      </c>
      <c r="H714" s="4">
        <v>95271</v>
      </c>
      <c r="I714" s="4">
        <v>97600</v>
      </c>
    </row>
    <row r="715" spans="1:9" x14ac:dyDescent="0.3">
      <c r="A715" s="2" t="s">
        <v>747</v>
      </c>
      <c r="B715" s="3">
        <v>45759</v>
      </c>
      <c r="C715" s="2" t="s">
        <v>36</v>
      </c>
      <c r="D715" s="2" t="s">
        <v>11</v>
      </c>
      <c r="E715" s="2" t="s">
        <v>37</v>
      </c>
      <c r="F715" s="2" t="s">
        <v>33</v>
      </c>
      <c r="G715" s="2" t="s">
        <v>19</v>
      </c>
      <c r="H715" s="4">
        <v>80550</v>
      </c>
      <c r="I715" s="4">
        <v>76900</v>
      </c>
    </row>
    <row r="716" spans="1:9" x14ac:dyDescent="0.3">
      <c r="A716" s="2" t="s">
        <v>748</v>
      </c>
      <c r="B716" s="3">
        <v>45759</v>
      </c>
      <c r="C716" s="2" t="s">
        <v>21</v>
      </c>
      <c r="D716" s="2" t="s">
        <v>11</v>
      </c>
      <c r="E716" s="2" t="s">
        <v>22</v>
      </c>
      <c r="F716" s="2" t="s">
        <v>39</v>
      </c>
      <c r="G716" s="2" t="s">
        <v>19</v>
      </c>
      <c r="H716" s="4">
        <v>92803</v>
      </c>
      <c r="I716" s="4">
        <v>96700</v>
      </c>
    </row>
    <row r="717" spans="1:9" x14ac:dyDescent="0.3">
      <c r="A717" s="2" t="s">
        <v>749</v>
      </c>
      <c r="B717" s="3">
        <v>45759</v>
      </c>
      <c r="C717" s="2" t="s">
        <v>21</v>
      </c>
      <c r="D717" s="2" t="s">
        <v>11</v>
      </c>
      <c r="E717" s="2" t="s">
        <v>22</v>
      </c>
      <c r="F717" s="2" t="s">
        <v>59</v>
      </c>
      <c r="G717" s="2" t="s">
        <v>14</v>
      </c>
      <c r="H717" s="4">
        <v>144819</v>
      </c>
      <c r="I717" s="4">
        <v>157100</v>
      </c>
    </row>
    <row r="718" spans="1:9" x14ac:dyDescent="0.3">
      <c r="A718" s="2" t="s">
        <v>750</v>
      </c>
      <c r="B718" s="3">
        <v>45759</v>
      </c>
      <c r="C718" s="2" t="s">
        <v>55</v>
      </c>
      <c r="D718" s="2" t="s">
        <v>11</v>
      </c>
      <c r="E718" s="2" t="s">
        <v>37</v>
      </c>
      <c r="F718" s="2" t="s">
        <v>59</v>
      </c>
      <c r="G718" s="2" t="s">
        <v>14</v>
      </c>
      <c r="H718" s="4">
        <v>178696</v>
      </c>
      <c r="I718" s="4">
        <v>175000</v>
      </c>
    </row>
    <row r="719" spans="1:9" x14ac:dyDescent="0.3">
      <c r="A719" s="2" t="s">
        <v>751</v>
      </c>
      <c r="B719" s="3">
        <v>45759</v>
      </c>
      <c r="C719" s="2" t="s">
        <v>55</v>
      </c>
      <c r="D719" s="2" t="s">
        <v>11</v>
      </c>
      <c r="E719" s="2" t="s">
        <v>37</v>
      </c>
      <c r="F719" s="2" t="s">
        <v>13</v>
      </c>
      <c r="G719" s="2" t="s">
        <v>14</v>
      </c>
      <c r="H719" s="4">
        <v>25508</v>
      </c>
      <c r="I719" s="4">
        <v>24400</v>
      </c>
    </row>
    <row r="720" spans="1:9" x14ac:dyDescent="0.3">
      <c r="A720" s="2" t="s">
        <v>752</v>
      </c>
      <c r="B720" s="3">
        <v>45759</v>
      </c>
      <c r="C720" s="2" t="s">
        <v>55</v>
      </c>
      <c r="D720" s="2" t="s">
        <v>11</v>
      </c>
      <c r="E720" s="2" t="s">
        <v>37</v>
      </c>
      <c r="F720" s="2" t="s">
        <v>23</v>
      </c>
      <c r="G720" s="2" t="s">
        <v>14</v>
      </c>
      <c r="H720" s="4">
        <v>218539</v>
      </c>
      <c r="I720" s="4">
        <v>234600</v>
      </c>
    </row>
    <row r="721" spans="1:9" x14ac:dyDescent="0.3">
      <c r="A721" s="2" t="s">
        <v>753</v>
      </c>
      <c r="B721" s="3">
        <v>45760</v>
      </c>
      <c r="C721" s="2" t="s">
        <v>62</v>
      </c>
      <c r="D721" s="2" t="s">
        <v>11</v>
      </c>
      <c r="E721" s="2" t="s">
        <v>22</v>
      </c>
      <c r="F721" s="2" t="s">
        <v>39</v>
      </c>
      <c r="G721" s="2" t="s">
        <v>19</v>
      </c>
      <c r="H721" s="4">
        <v>39517</v>
      </c>
      <c r="I721" s="4">
        <v>39700</v>
      </c>
    </row>
    <row r="722" spans="1:9" x14ac:dyDescent="0.3">
      <c r="A722" s="2" t="s">
        <v>754</v>
      </c>
      <c r="B722" s="3">
        <v>45760</v>
      </c>
      <c r="C722" s="2" t="s">
        <v>16</v>
      </c>
      <c r="D722" s="2" t="s">
        <v>11</v>
      </c>
      <c r="E722" s="2" t="s">
        <v>17</v>
      </c>
      <c r="F722" s="2" t="s">
        <v>56</v>
      </c>
      <c r="G722" s="2" t="s">
        <v>19</v>
      </c>
      <c r="H722" s="4">
        <v>56757</v>
      </c>
      <c r="I722" s="4">
        <v>63000</v>
      </c>
    </row>
    <row r="723" spans="1:9" x14ac:dyDescent="0.3">
      <c r="A723" s="2" t="s">
        <v>755</v>
      </c>
      <c r="B723" s="3">
        <v>45760</v>
      </c>
      <c r="C723" s="2" t="s">
        <v>16</v>
      </c>
      <c r="D723" s="2" t="s">
        <v>11</v>
      </c>
      <c r="E723" s="2" t="s">
        <v>17</v>
      </c>
      <c r="F723" s="2" t="s">
        <v>42</v>
      </c>
      <c r="G723" s="2" t="s">
        <v>19</v>
      </c>
      <c r="H723" s="4">
        <v>59653</v>
      </c>
      <c r="I723" s="4">
        <v>63500</v>
      </c>
    </row>
    <row r="724" spans="1:9" x14ac:dyDescent="0.3">
      <c r="A724" s="2" t="s">
        <v>756</v>
      </c>
      <c r="B724" s="3">
        <v>45760</v>
      </c>
      <c r="C724" s="2" t="s">
        <v>16</v>
      </c>
      <c r="D724" s="2" t="s">
        <v>11</v>
      </c>
      <c r="E724" s="2" t="s">
        <v>17</v>
      </c>
      <c r="F724" s="2" t="s">
        <v>13</v>
      </c>
      <c r="G724" s="2" t="s">
        <v>14</v>
      </c>
      <c r="H724" s="4">
        <v>150326</v>
      </c>
      <c r="I724" s="4">
        <v>162800</v>
      </c>
    </row>
    <row r="725" spans="1:9" x14ac:dyDescent="0.3">
      <c r="A725" s="2" t="s">
        <v>757</v>
      </c>
      <c r="B725" s="3">
        <v>45760</v>
      </c>
      <c r="C725" s="2" t="s">
        <v>16</v>
      </c>
      <c r="D725" s="2" t="s">
        <v>11</v>
      </c>
      <c r="E725" s="2" t="s">
        <v>17</v>
      </c>
      <c r="F725" s="2" t="s">
        <v>37</v>
      </c>
      <c r="G725" s="2" t="s">
        <v>14</v>
      </c>
      <c r="H725" s="4">
        <v>74903</v>
      </c>
      <c r="I725" s="4">
        <v>72400</v>
      </c>
    </row>
    <row r="726" spans="1:9" x14ac:dyDescent="0.3">
      <c r="A726" s="2" t="s">
        <v>758</v>
      </c>
      <c r="B726" s="3">
        <v>45760</v>
      </c>
      <c r="C726" s="2" t="s">
        <v>31</v>
      </c>
      <c r="D726" s="2" t="s">
        <v>11</v>
      </c>
      <c r="E726" s="2" t="s">
        <v>17</v>
      </c>
      <c r="F726" s="2" t="s">
        <v>56</v>
      </c>
      <c r="G726" s="2" t="s">
        <v>19</v>
      </c>
      <c r="H726" s="4">
        <v>55239</v>
      </c>
      <c r="I726" s="4">
        <v>58200</v>
      </c>
    </row>
    <row r="727" spans="1:9" x14ac:dyDescent="0.3">
      <c r="A727" s="2" t="s">
        <v>759</v>
      </c>
      <c r="B727" s="3">
        <v>45760</v>
      </c>
      <c r="C727" s="2" t="s">
        <v>31</v>
      </c>
      <c r="D727" s="2" t="s">
        <v>11</v>
      </c>
      <c r="E727" s="2" t="s">
        <v>17</v>
      </c>
      <c r="F727" s="2" t="s">
        <v>12</v>
      </c>
      <c r="G727" s="2" t="s">
        <v>14</v>
      </c>
      <c r="H727" s="4">
        <v>202700</v>
      </c>
      <c r="I727" s="4">
        <v>184900</v>
      </c>
    </row>
    <row r="728" spans="1:9" x14ac:dyDescent="0.3">
      <c r="A728" s="2" t="s">
        <v>760</v>
      </c>
      <c r="B728" s="3">
        <v>45761</v>
      </c>
      <c r="C728" s="2" t="s">
        <v>62</v>
      </c>
      <c r="D728" s="2" t="s">
        <v>11</v>
      </c>
      <c r="E728" s="2" t="s">
        <v>22</v>
      </c>
      <c r="F728" s="2" t="s">
        <v>39</v>
      </c>
      <c r="G728" s="2" t="s">
        <v>19</v>
      </c>
      <c r="H728" s="4">
        <v>59603</v>
      </c>
      <c r="I728" s="4">
        <v>57500</v>
      </c>
    </row>
    <row r="729" spans="1:9" x14ac:dyDescent="0.3">
      <c r="A729" s="2" t="s">
        <v>761</v>
      </c>
      <c r="B729" s="3">
        <v>45761</v>
      </c>
      <c r="C729" s="2" t="s">
        <v>62</v>
      </c>
      <c r="D729" s="2" t="s">
        <v>11</v>
      </c>
      <c r="E729" s="2" t="s">
        <v>22</v>
      </c>
      <c r="F729" s="2" t="s">
        <v>26</v>
      </c>
      <c r="G729" s="2" t="s">
        <v>14</v>
      </c>
      <c r="H729" s="4">
        <v>74139</v>
      </c>
      <c r="I729" s="4">
        <v>72000</v>
      </c>
    </row>
    <row r="730" spans="1:9" x14ac:dyDescent="0.3">
      <c r="A730" s="2" t="s">
        <v>762</v>
      </c>
      <c r="B730" s="3">
        <v>45761</v>
      </c>
      <c r="C730" s="2" t="s">
        <v>10</v>
      </c>
      <c r="D730" s="2" t="s">
        <v>11</v>
      </c>
      <c r="E730" s="2" t="s">
        <v>12</v>
      </c>
      <c r="F730" s="2" t="s">
        <v>59</v>
      </c>
      <c r="G730" s="2" t="s">
        <v>14</v>
      </c>
      <c r="H730" s="4">
        <v>221166</v>
      </c>
      <c r="I730" s="4">
        <v>249700</v>
      </c>
    </row>
    <row r="731" spans="1:9" x14ac:dyDescent="0.3">
      <c r="A731" s="2" t="s">
        <v>763</v>
      </c>
      <c r="B731" s="3">
        <v>45761</v>
      </c>
      <c r="C731" s="2" t="s">
        <v>36</v>
      </c>
      <c r="D731" s="2" t="s">
        <v>11</v>
      </c>
      <c r="E731" s="2" t="s">
        <v>37</v>
      </c>
      <c r="F731" s="2" t="s">
        <v>18</v>
      </c>
      <c r="G731" s="2" t="s">
        <v>19</v>
      </c>
      <c r="H731" s="4">
        <v>23261</v>
      </c>
      <c r="I731" s="4">
        <v>24700</v>
      </c>
    </row>
    <row r="732" spans="1:9" x14ac:dyDescent="0.3">
      <c r="A732" s="2" t="s">
        <v>764</v>
      </c>
      <c r="B732" s="3">
        <v>45761</v>
      </c>
      <c r="C732" s="2" t="s">
        <v>21</v>
      </c>
      <c r="D732" s="2" t="s">
        <v>11</v>
      </c>
      <c r="E732" s="2" t="s">
        <v>22</v>
      </c>
      <c r="F732" s="2" t="s">
        <v>33</v>
      </c>
      <c r="G732" s="2" t="s">
        <v>19</v>
      </c>
      <c r="H732" s="4">
        <v>76506</v>
      </c>
      <c r="I732" s="4">
        <v>69800</v>
      </c>
    </row>
    <row r="733" spans="1:9" x14ac:dyDescent="0.3">
      <c r="A733" s="2" t="s">
        <v>765</v>
      </c>
      <c r="B733" s="3">
        <v>45761</v>
      </c>
      <c r="C733" s="2" t="s">
        <v>25</v>
      </c>
      <c r="D733" s="2" t="s">
        <v>11</v>
      </c>
      <c r="E733" s="2" t="s">
        <v>22</v>
      </c>
      <c r="F733" s="2" t="s">
        <v>59</v>
      </c>
      <c r="G733" s="2" t="s">
        <v>14</v>
      </c>
      <c r="H733" s="4">
        <v>215903</v>
      </c>
      <c r="I733" s="4">
        <v>231000</v>
      </c>
    </row>
    <row r="734" spans="1:9" x14ac:dyDescent="0.3">
      <c r="A734" s="2" t="s">
        <v>766</v>
      </c>
      <c r="B734" s="3">
        <v>45761</v>
      </c>
      <c r="C734" s="2" t="s">
        <v>31</v>
      </c>
      <c r="D734" s="2" t="s">
        <v>11</v>
      </c>
      <c r="E734" s="2" t="s">
        <v>17</v>
      </c>
      <c r="F734" s="2" t="s">
        <v>39</v>
      </c>
      <c r="G734" s="2" t="s">
        <v>19</v>
      </c>
      <c r="H734" s="4">
        <v>68165</v>
      </c>
      <c r="I734" s="4">
        <v>67000</v>
      </c>
    </row>
    <row r="735" spans="1:9" x14ac:dyDescent="0.3">
      <c r="A735" s="2" t="s">
        <v>767</v>
      </c>
      <c r="B735" s="3">
        <v>45761</v>
      </c>
      <c r="C735" s="2" t="s">
        <v>31</v>
      </c>
      <c r="D735" s="2" t="s">
        <v>11</v>
      </c>
      <c r="E735" s="2" t="s">
        <v>17</v>
      </c>
      <c r="F735" s="2" t="s">
        <v>12</v>
      </c>
      <c r="G735" s="2" t="s">
        <v>14</v>
      </c>
      <c r="H735" s="4">
        <v>149670</v>
      </c>
      <c r="I735" s="4">
        <v>165700</v>
      </c>
    </row>
    <row r="736" spans="1:9" x14ac:dyDescent="0.3">
      <c r="A736" s="2" t="s">
        <v>768</v>
      </c>
      <c r="B736" s="3">
        <v>45761</v>
      </c>
      <c r="C736" s="2" t="s">
        <v>31</v>
      </c>
      <c r="D736" s="2" t="s">
        <v>11</v>
      </c>
      <c r="E736" s="2" t="s">
        <v>17</v>
      </c>
      <c r="F736" s="2" t="s">
        <v>13</v>
      </c>
      <c r="G736" s="2" t="s">
        <v>14</v>
      </c>
      <c r="H736" s="4">
        <v>76989</v>
      </c>
      <c r="I736" s="4">
        <v>73900</v>
      </c>
    </row>
    <row r="737" spans="1:9" x14ac:dyDescent="0.3">
      <c r="A737" s="2" t="s">
        <v>769</v>
      </c>
      <c r="B737" s="3">
        <v>45762</v>
      </c>
      <c r="C737" s="2" t="s">
        <v>62</v>
      </c>
      <c r="D737" s="2" t="s">
        <v>11</v>
      </c>
      <c r="E737" s="2" t="s">
        <v>22</v>
      </c>
      <c r="F737" s="2" t="s">
        <v>42</v>
      </c>
      <c r="G737" s="2" t="s">
        <v>19</v>
      </c>
      <c r="H737" s="4">
        <v>85772</v>
      </c>
      <c r="I737" s="4">
        <v>76200</v>
      </c>
    </row>
    <row r="738" spans="1:9" x14ac:dyDescent="0.3">
      <c r="A738" s="2" t="s">
        <v>770</v>
      </c>
      <c r="B738" s="3">
        <v>45762</v>
      </c>
      <c r="C738" s="2" t="s">
        <v>16</v>
      </c>
      <c r="D738" s="2" t="s">
        <v>11</v>
      </c>
      <c r="E738" s="2" t="s">
        <v>17</v>
      </c>
      <c r="F738" s="2" t="s">
        <v>37</v>
      </c>
      <c r="G738" s="2" t="s">
        <v>14</v>
      </c>
      <c r="H738" s="4">
        <v>136756</v>
      </c>
      <c r="I738" s="4">
        <v>146500</v>
      </c>
    </row>
    <row r="739" spans="1:9" x14ac:dyDescent="0.3">
      <c r="A739" s="2" t="s">
        <v>771</v>
      </c>
      <c r="B739" s="3">
        <v>45762</v>
      </c>
      <c r="C739" s="2" t="s">
        <v>36</v>
      </c>
      <c r="D739" s="2" t="s">
        <v>11</v>
      </c>
      <c r="E739" s="2" t="s">
        <v>37</v>
      </c>
      <c r="F739" s="2" t="s">
        <v>23</v>
      </c>
      <c r="G739" s="2" t="s">
        <v>14</v>
      </c>
      <c r="H739" s="4">
        <v>178754</v>
      </c>
      <c r="I739" s="4">
        <v>175300</v>
      </c>
    </row>
    <row r="740" spans="1:9" x14ac:dyDescent="0.3">
      <c r="A740" s="2" t="s">
        <v>772</v>
      </c>
      <c r="B740" s="3">
        <v>45762</v>
      </c>
      <c r="C740" s="2" t="s">
        <v>21</v>
      </c>
      <c r="D740" s="2" t="s">
        <v>11</v>
      </c>
      <c r="E740" s="2" t="s">
        <v>22</v>
      </c>
      <c r="F740" s="2" t="s">
        <v>42</v>
      </c>
      <c r="G740" s="2" t="s">
        <v>19</v>
      </c>
      <c r="H740" s="4">
        <v>98310</v>
      </c>
      <c r="I740" s="4">
        <v>113900</v>
      </c>
    </row>
    <row r="741" spans="1:9" x14ac:dyDescent="0.3">
      <c r="A741" s="2" t="s">
        <v>773</v>
      </c>
      <c r="B741" s="3">
        <v>45762</v>
      </c>
      <c r="C741" s="2" t="s">
        <v>25</v>
      </c>
      <c r="D741" s="2" t="s">
        <v>11</v>
      </c>
      <c r="E741" s="2" t="s">
        <v>22</v>
      </c>
      <c r="F741" s="2" t="s">
        <v>13</v>
      </c>
      <c r="G741" s="2" t="s">
        <v>14</v>
      </c>
      <c r="H741" s="4">
        <v>161846</v>
      </c>
      <c r="I741" s="4">
        <v>137500</v>
      </c>
    </row>
    <row r="742" spans="1:9" x14ac:dyDescent="0.3">
      <c r="A742" s="2" t="s">
        <v>774</v>
      </c>
      <c r="B742" s="3">
        <v>45762</v>
      </c>
      <c r="C742" s="2" t="s">
        <v>31</v>
      </c>
      <c r="D742" s="2" t="s">
        <v>11</v>
      </c>
      <c r="E742" s="2" t="s">
        <v>17</v>
      </c>
      <c r="F742" s="2" t="s">
        <v>56</v>
      </c>
      <c r="G742" s="2" t="s">
        <v>19</v>
      </c>
      <c r="H742" s="4">
        <v>14570</v>
      </c>
      <c r="I742" s="4">
        <v>15200</v>
      </c>
    </row>
    <row r="743" spans="1:9" x14ac:dyDescent="0.3">
      <c r="A743" s="2" t="s">
        <v>775</v>
      </c>
      <c r="B743" s="3">
        <v>45762</v>
      </c>
      <c r="C743" s="2" t="s">
        <v>31</v>
      </c>
      <c r="D743" s="2" t="s">
        <v>11</v>
      </c>
      <c r="E743" s="2" t="s">
        <v>17</v>
      </c>
      <c r="F743" s="2" t="s">
        <v>39</v>
      </c>
      <c r="G743" s="2" t="s">
        <v>19</v>
      </c>
      <c r="H743" s="4">
        <v>69925</v>
      </c>
      <c r="I743" s="4">
        <v>70200</v>
      </c>
    </row>
    <row r="744" spans="1:9" x14ac:dyDescent="0.3">
      <c r="A744" s="2" t="s">
        <v>776</v>
      </c>
      <c r="B744" s="3">
        <v>45763</v>
      </c>
      <c r="C744" s="2" t="s">
        <v>10</v>
      </c>
      <c r="D744" s="2" t="s">
        <v>11</v>
      </c>
      <c r="E744" s="2" t="s">
        <v>12</v>
      </c>
      <c r="F744" s="2" t="s">
        <v>13</v>
      </c>
      <c r="G744" s="2" t="s">
        <v>14</v>
      </c>
      <c r="H744" s="4">
        <v>205377</v>
      </c>
      <c r="I744" s="4">
        <v>215900</v>
      </c>
    </row>
    <row r="745" spans="1:9" x14ac:dyDescent="0.3">
      <c r="A745" s="2" t="s">
        <v>777</v>
      </c>
      <c r="B745" s="3">
        <v>45763</v>
      </c>
      <c r="C745" s="2" t="s">
        <v>16</v>
      </c>
      <c r="D745" s="2" t="s">
        <v>11</v>
      </c>
      <c r="E745" s="2" t="s">
        <v>17</v>
      </c>
      <c r="F745" s="2" t="s">
        <v>56</v>
      </c>
      <c r="G745" s="2" t="s">
        <v>19</v>
      </c>
      <c r="H745" s="4">
        <v>103118</v>
      </c>
      <c r="I745" s="4">
        <v>108000</v>
      </c>
    </row>
    <row r="746" spans="1:9" x14ac:dyDescent="0.3">
      <c r="A746" s="2" t="s">
        <v>778</v>
      </c>
      <c r="B746" s="3">
        <v>45763</v>
      </c>
      <c r="C746" s="2" t="s">
        <v>36</v>
      </c>
      <c r="D746" s="2" t="s">
        <v>11</v>
      </c>
      <c r="E746" s="2" t="s">
        <v>37</v>
      </c>
      <c r="F746" s="2" t="s">
        <v>42</v>
      </c>
      <c r="G746" s="2" t="s">
        <v>19</v>
      </c>
      <c r="H746" s="4">
        <v>82007</v>
      </c>
      <c r="I746" s="4">
        <v>75400</v>
      </c>
    </row>
    <row r="747" spans="1:9" x14ac:dyDescent="0.3">
      <c r="A747" s="2" t="s">
        <v>779</v>
      </c>
      <c r="B747" s="3">
        <v>45763</v>
      </c>
      <c r="C747" s="2" t="s">
        <v>21</v>
      </c>
      <c r="D747" s="2" t="s">
        <v>11</v>
      </c>
      <c r="E747" s="2" t="s">
        <v>22</v>
      </c>
      <c r="F747" s="2" t="s">
        <v>13</v>
      </c>
      <c r="G747" s="2" t="s">
        <v>14</v>
      </c>
      <c r="H747" s="4">
        <v>36010</v>
      </c>
      <c r="I747" s="4">
        <v>38700</v>
      </c>
    </row>
    <row r="748" spans="1:9" x14ac:dyDescent="0.3">
      <c r="A748" s="2" t="s">
        <v>780</v>
      </c>
      <c r="B748" s="3">
        <v>45763</v>
      </c>
      <c r="C748" s="2" t="s">
        <v>31</v>
      </c>
      <c r="D748" s="2" t="s">
        <v>11</v>
      </c>
      <c r="E748" s="2" t="s">
        <v>17</v>
      </c>
      <c r="F748" s="2" t="s">
        <v>18</v>
      </c>
      <c r="G748" s="2" t="s">
        <v>19</v>
      </c>
      <c r="H748" s="4">
        <v>23616</v>
      </c>
      <c r="I748" s="4">
        <v>24500</v>
      </c>
    </row>
    <row r="749" spans="1:9" x14ac:dyDescent="0.3">
      <c r="A749" s="2" t="s">
        <v>781</v>
      </c>
      <c r="B749" s="3">
        <v>45764</v>
      </c>
      <c r="C749" s="2" t="s">
        <v>62</v>
      </c>
      <c r="D749" s="2" t="s">
        <v>11</v>
      </c>
      <c r="E749" s="2" t="s">
        <v>22</v>
      </c>
      <c r="F749" s="2" t="s">
        <v>18</v>
      </c>
      <c r="G749" s="2" t="s">
        <v>19</v>
      </c>
      <c r="H749" s="4">
        <v>80840</v>
      </c>
      <c r="I749" s="4">
        <v>73800</v>
      </c>
    </row>
    <row r="750" spans="1:9" x14ac:dyDescent="0.3">
      <c r="A750" s="2" t="s">
        <v>782</v>
      </c>
      <c r="B750" s="3">
        <v>45764</v>
      </c>
      <c r="C750" s="2" t="s">
        <v>36</v>
      </c>
      <c r="D750" s="2" t="s">
        <v>11</v>
      </c>
      <c r="E750" s="2" t="s">
        <v>37</v>
      </c>
      <c r="F750" s="2" t="s">
        <v>12</v>
      </c>
      <c r="G750" s="2" t="s">
        <v>14</v>
      </c>
      <c r="H750" s="4">
        <v>181204</v>
      </c>
      <c r="I750" s="4">
        <v>204500</v>
      </c>
    </row>
    <row r="751" spans="1:9" x14ac:dyDescent="0.3">
      <c r="A751" s="2" t="s">
        <v>783</v>
      </c>
      <c r="B751" s="3">
        <v>45764</v>
      </c>
      <c r="C751" s="2" t="s">
        <v>36</v>
      </c>
      <c r="D751" s="2" t="s">
        <v>11</v>
      </c>
      <c r="E751" s="2" t="s">
        <v>37</v>
      </c>
      <c r="F751" s="2" t="s">
        <v>37</v>
      </c>
      <c r="G751" s="2" t="s">
        <v>14</v>
      </c>
      <c r="H751" s="4">
        <v>71062</v>
      </c>
      <c r="I751" s="4">
        <v>66100</v>
      </c>
    </row>
    <row r="752" spans="1:9" x14ac:dyDescent="0.3">
      <c r="A752" s="2" t="s">
        <v>784</v>
      </c>
      <c r="B752" s="3">
        <v>45764</v>
      </c>
      <c r="C752" s="2" t="s">
        <v>36</v>
      </c>
      <c r="D752" s="2" t="s">
        <v>11</v>
      </c>
      <c r="E752" s="2" t="s">
        <v>37</v>
      </c>
      <c r="F752" s="2" t="s">
        <v>13</v>
      </c>
      <c r="G752" s="2" t="s">
        <v>14</v>
      </c>
      <c r="H752" s="4">
        <v>115060</v>
      </c>
      <c r="I752" s="4">
        <v>115100</v>
      </c>
    </row>
    <row r="753" spans="1:9" x14ac:dyDescent="0.3">
      <c r="A753" s="2" t="s">
        <v>785</v>
      </c>
      <c r="B753" s="3">
        <v>45764</v>
      </c>
      <c r="C753" s="2" t="s">
        <v>25</v>
      </c>
      <c r="D753" s="2" t="s">
        <v>11</v>
      </c>
      <c r="E753" s="2" t="s">
        <v>22</v>
      </c>
      <c r="F753" s="2" t="s">
        <v>13</v>
      </c>
      <c r="G753" s="2" t="s">
        <v>14</v>
      </c>
      <c r="H753" s="4">
        <v>75838</v>
      </c>
      <c r="I753" s="4">
        <v>80800</v>
      </c>
    </row>
    <row r="754" spans="1:9" x14ac:dyDescent="0.3">
      <c r="A754" s="2" t="s">
        <v>786</v>
      </c>
      <c r="B754" s="3">
        <v>45764</v>
      </c>
      <c r="C754" s="2" t="s">
        <v>25</v>
      </c>
      <c r="D754" s="2" t="s">
        <v>11</v>
      </c>
      <c r="E754" s="2" t="s">
        <v>22</v>
      </c>
      <c r="F754" s="2" t="s">
        <v>13</v>
      </c>
      <c r="G754" s="2" t="s">
        <v>14</v>
      </c>
      <c r="H754" s="4">
        <v>67602</v>
      </c>
      <c r="I754" s="4">
        <v>72900</v>
      </c>
    </row>
    <row r="755" spans="1:9" x14ac:dyDescent="0.3">
      <c r="A755" s="2" t="s">
        <v>787</v>
      </c>
      <c r="B755" s="3">
        <v>45764</v>
      </c>
      <c r="C755" s="2" t="s">
        <v>25</v>
      </c>
      <c r="D755" s="2" t="s">
        <v>11</v>
      </c>
      <c r="E755" s="2" t="s">
        <v>22</v>
      </c>
      <c r="F755" s="2" t="s">
        <v>12</v>
      </c>
      <c r="G755" s="2" t="s">
        <v>14</v>
      </c>
      <c r="H755" s="4">
        <v>203150</v>
      </c>
      <c r="I755" s="4">
        <v>198400</v>
      </c>
    </row>
    <row r="756" spans="1:9" x14ac:dyDescent="0.3">
      <c r="A756" s="2" t="s">
        <v>788</v>
      </c>
      <c r="B756" s="3">
        <v>45764</v>
      </c>
      <c r="C756" s="2" t="s">
        <v>31</v>
      </c>
      <c r="D756" s="2" t="s">
        <v>11</v>
      </c>
      <c r="E756" s="2" t="s">
        <v>17</v>
      </c>
      <c r="F756" s="2" t="s">
        <v>39</v>
      </c>
      <c r="G756" s="2" t="s">
        <v>19</v>
      </c>
      <c r="H756" s="4">
        <v>43565</v>
      </c>
      <c r="I756" s="4">
        <v>43900</v>
      </c>
    </row>
    <row r="757" spans="1:9" x14ac:dyDescent="0.3">
      <c r="A757" s="2" t="s">
        <v>789</v>
      </c>
      <c r="B757" s="3">
        <v>45764</v>
      </c>
      <c r="C757" s="2" t="s">
        <v>31</v>
      </c>
      <c r="D757" s="2" t="s">
        <v>11</v>
      </c>
      <c r="E757" s="2" t="s">
        <v>17</v>
      </c>
      <c r="F757" s="2" t="s">
        <v>39</v>
      </c>
      <c r="G757" s="2" t="s">
        <v>19</v>
      </c>
      <c r="H757" s="4">
        <v>116321</v>
      </c>
      <c r="I757" s="4">
        <v>113600</v>
      </c>
    </row>
    <row r="758" spans="1:9" x14ac:dyDescent="0.3">
      <c r="A758" s="2" t="s">
        <v>790</v>
      </c>
      <c r="B758" s="3">
        <v>45765</v>
      </c>
      <c r="C758" s="2" t="s">
        <v>62</v>
      </c>
      <c r="D758" s="2" t="s">
        <v>11</v>
      </c>
      <c r="E758" s="2" t="s">
        <v>22</v>
      </c>
      <c r="F758" s="2" t="s">
        <v>42</v>
      </c>
      <c r="G758" s="2" t="s">
        <v>19</v>
      </c>
      <c r="H758" s="4">
        <v>99184</v>
      </c>
      <c r="I758" s="4">
        <v>93500</v>
      </c>
    </row>
    <row r="759" spans="1:9" x14ac:dyDescent="0.3">
      <c r="A759" s="2" t="s">
        <v>791</v>
      </c>
      <c r="B759" s="3">
        <v>45765</v>
      </c>
      <c r="C759" s="2" t="s">
        <v>62</v>
      </c>
      <c r="D759" s="2" t="s">
        <v>11</v>
      </c>
      <c r="E759" s="2" t="s">
        <v>22</v>
      </c>
      <c r="F759" s="2" t="s">
        <v>13</v>
      </c>
      <c r="G759" s="2" t="s">
        <v>14</v>
      </c>
      <c r="H759" s="4">
        <v>163645</v>
      </c>
      <c r="I759" s="4">
        <v>161500</v>
      </c>
    </row>
    <row r="760" spans="1:9" x14ac:dyDescent="0.3">
      <c r="A760" s="2" t="s">
        <v>792</v>
      </c>
      <c r="B760" s="3">
        <v>45765</v>
      </c>
      <c r="C760" s="2" t="s">
        <v>62</v>
      </c>
      <c r="D760" s="2" t="s">
        <v>11</v>
      </c>
      <c r="E760" s="2" t="s">
        <v>22</v>
      </c>
      <c r="F760" s="2" t="s">
        <v>26</v>
      </c>
      <c r="G760" s="2" t="s">
        <v>14</v>
      </c>
      <c r="H760" s="4">
        <v>29949</v>
      </c>
      <c r="I760" s="4">
        <v>30400</v>
      </c>
    </row>
    <row r="761" spans="1:9" x14ac:dyDescent="0.3">
      <c r="A761" s="2" t="s">
        <v>793</v>
      </c>
      <c r="B761" s="3">
        <v>45765</v>
      </c>
      <c r="C761" s="2" t="s">
        <v>16</v>
      </c>
      <c r="D761" s="2" t="s">
        <v>11</v>
      </c>
      <c r="E761" s="2" t="s">
        <v>17</v>
      </c>
      <c r="F761" s="2" t="s">
        <v>56</v>
      </c>
      <c r="G761" s="2" t="s">
        <v>19</v>
      </c>
      <c r="H761" s="4">
        <v>46093</v>
      </c>
      <c r="I761" s="4">
        <v>49900</v>
      </c>
    </row>
    <row r="762" spans="1:9" x14ac:dyDescent="0.3">
      <c r="A762" s="2" t="s">
        <v>794</v>
      </c>
      <c r="B762" s="3">
        <v>45765</v>
      </c>
      <c r="C762" s="2" t="s">
        <v>25</v>
      </c>
      <c r="D762" s="2" t="s">
        <v>11</v>
      </c>
      <c r="E762" s="2" t="s">
        <v>22</v>
      </c>
      <c r="F762" s="2" t="s">
        <v>18</v>
      </c>
      <c r="G762" s="2" t="s">
        <v>19</v>
      </c>
      <c r="H762" s="4">
        <v>12774</v>
      </c>
      <c r="I762" s="4">
        <v>10700</v>
      </c>
    </row>
    <row r="763" spans="1:9" x14ac:dyDescent="0.3">
      <c r="A763" s="2" t="s">
        <v>795</v>
      </c>
      <c r="B763" s="3">
        <v>45765</v>
      </c>
      <c r="C763" s="2" t="s">
        <v>25</v>
      </c>
      <c r="D763" s="2" t="s">
        <v>11</v>
      </c>
      <c r="E763" s="2" t="s">
        <v>22</v>
      </c>
      <c r="F763" s="2" t="s">
        <v>18</v>
      </c>
      <c r="G763" s="2" t="s">
        <v>19</v>
      </c>
      <c r="H763" s="4">
        <v>48782</v>
      </c>
      <c r="I763" s="4">
        <v>50800</v>
      </c>
    </row>
    <row r="764" spans="1:9" x14ac:dyDescent="0.3">
      <c r="A764" s="2" t="s">
        <v>796</v>
      </c>
      <c r="B764" s="3">
        <v>45765</v>
      </c>
      <c r="C764" s="2" t="s">
        <v>55</v>
      </c>
      <c r="D764" s="2" t="s">
        <v>11</v>
      </c>
      <c r="E764" s="2" t="s">
        <v>37</v>
      </c>
      <c r="F764" s="2" t="s">
        <v>13</v>
      </c>
      <c r="G764" s="2" t="s">
        <v>14</v>
      </c>
      <c r="H764" s="4">
        <v>149211</v>
      </c>
      <c r="I764" s="4">
        <v>132100</v>
      </c>
    </row>
    <row r="765" spans="1:9" x14ac:dyDescent="0.3">
      <c r="A765" s="2" t="s">
        <v>797</v>
      </c>
      <c r="B765" s="3">
        <v>45766</v>
      </c>
      <c r="C765" s="2" t="s">
        <v>10</v>
      </c>
      <c r="D765" s="2" t="s">
        <v>11</v>
      </c>
      <c r="E765" s="2" t="s">
        <v>12</v>
      </c>
      <c r="F765" s="2" t="s">
        <v>46</v>
      </c>
      <c r="G765" s="2" t="s">
        <v>19</v>
      </c>
      <c r="H765" s="4">
        <v>100074</v>
      </c>
      <c r="I765" s="4">
        <v>98200</v>
      </c>
    </row>
    <row r="766" spans="1:9" x14ac:dyDescent="0.3">
      <c r="A766" s="2" t="s">
        <v>798</v>
      </c>
      <c r="B766" s="3">
        <v>45766</v>
      </c>
      <c r="C766" s="2" t="s">
        <v>16</v>
      </c>
      <c r="D766" s="2" t="s">
        <v>11</v>
      </c>
      <c r="E766" s="2" t="s">
        <v>17</v>
      </c>
      <c r="F766" s="2" t="s">
        <v>56</v>
      </c>
      <c r="G766" s="2" t="s">
        <v>19</v>
      </c>
      <c r="H766" s="4">
        <v>46811</v>
      </c>
      <c r="I766" s="4">
        <v>42100</v>
      </c>
    </row>
    <row r="767" spans="1:9" x14ac:dyDescent="0.3">
      <c r="A767" s="2" t="s">
        <v>799</v>
      </c>
      <c r="B767" s="3">
        <v>45766</v>
      </c>
      <c r="C767" s="2" t="s">
        <v>36</v>
      </c>
      <c r="D767" s="2" t="s">
        <v>11</v>
      </c>
      <c r="E767" s="2" t="s">
        <v>37</v>
      </c>
      <c r="F767" s="2" t="s">
        <v>33</v>
      </c>
      <c r="G767" s="2" t="s">
        <v>19</v>
      </c>
      <c r="H767" s="4">
        <v>53957</v>
      </c>
      <c r="I767" s="4">
        <v>47400</v>
      </c>
    </row>
    <row r="768" spans="1:9" x14ac:dyDescent="0.3">
      <c r="A768" s="2" t="s">
        <v>800</v>
      </c>
      <c r="B768" s="3">
        <v>45766</v>
      </c>
      <c r="C768" s="2" t="s">
        <v>21</v>
      </c>
      <c r="D768" s="2" t="s">
        <v>11</v>
      </c>
      <c r="E768" s="2" t="s">
        <v>22</v>
      </c>
      <c r="F768" s="2" t="s">
        <v>56</v>
      </c>
      <c r="G768" s="2" t="s">
        <v>19</v>
      </c>
      <c r="H768" s="4">
        <v>108764</v>
      </c>
      <c r="I768" s="4">
        <v>91900</v>
      </c>
    </row>
    <row r="769" spans="1:9" x14ac:dyDescent="0.3">
      <c r="A769" s="2" t="s">
        <v>801</v>
      </c>
      <c r="B769" s="3">
        <v>45766</v>
      </c>
      <c r="C769" s="2" t="s">
        <v>25</v>
      </c>
      <c r="D769" s="2" t="s">
        <v>11</v>
      </c>
      <c r="E769" s="2" t="s">
        <v>22</v>
      </c>
      <c r="F769" s="2" t="s">
        <v>18</v>
      </c>
      <c r="G769" s="2" t="s">
        <v>19</v>
      </c>
      <c r="H769" s="4">
        <v>64201</v>
      </c>
      <c r="I769" s="4">
        <v>58100</v>
      </c>
    </row>
    <row r="770" spans="1:9" x14ac:dyDescent="0.3">
      <c r="A770" s="2" t="s">
        <v>802</v>
      </c>
      <c r="B770" s="3">
        <v>45766</v>
      </c>
      <c r="C770" s="2" t="s">
        <v>25</v>
      </c>
      <c r="D770" s="2" t="s">
        <v>11</v>
      </c>
      <c r="E770" s="2" t="s">
        <v>22</v>
      </c>
      <c r="F770" s="2" t="s">
        <v>13</v>
      </c>
      <c r="G770" s="2" t="s">
        <v>14</v>
      </c>
      <c r="H770" s="4">
        <v>246737</v>
      </c>
      <c r="I770" s="4">
        <v>277600</v>
      </c>
    </row>
    <row r="771" spans="1:9" x14ac:dyDescent="0.3">
      <c r="A771" s="2" t="s">
        <v>803</v>
      </c>
      <c r="B771" s="3">
        <v>45766</v>
      </c>
      <c r="C771" s="2" t="s">
        <v>31</v>
      </c>
      <c r="D771" s="2" t="s">
        <v>11</v>
      </c>
      <c r="E771" s="2" t="s">
        <v>17</v>
      </c>
      <c r="F771" s="2" t="s">
        <v>56</v>
      </c>
      <c r="G771" s="2" t="s">
        <v>19</v>
      </c>
      <c r="H771" s="4">
        <v>93018</v>
      </c>
      <c r="I771" s="4">
        <v>94300</v>
      </c>
    </row>
    <row r="772" spans="1:9" x14ac:dyDescent="0.3">
      <c r="A772" s="2" t="s">
        <v>804</v>
      </c>
      <c r="B772" s="3">
        <v>45766</v>
      </c>
      <c r="C772" s="2" t="s">
        <v>31</v>
      </c>
      <c r="D772" s="2" t="s">
        <v>11</v>
      </c>
      <c r="E772" s="2" t="s">
        <v>17</v>
      </c>
      <c r="F772" s="2" t="s">
        <v>12</v>
      </c>
      <c r="G772" s="2" t="s">
        <v>14</v>
      </c>
      <c r="H772" s="4">
        <v>212959</v>
      </c>
      <c r="I772" s="4">
        <v>222000</v>
      </c>
    </row>
    <row r="773" spans="1:9" x14ac:dyDescent="0.3">
      <c r="A773" s="2" t="s">
        <v>805</v>
      </c>
      <c r="B773" s="3">
        <v>45766</v>
      </c>
      <c r="C773" s="2" t="s">
        <v>55</v>
      </c>
      <c r="D773" s="2" t="s">
        <v>11</v>
      </c>
      <c r="E773" s="2" t="s">
        <v>37</v>
      </c>
      <c r="F773" s="2" t="s">
        <v>46</v>
      </c>
      <c r="G773" s="2" t="s">
        <v>19</v>
      </c>
      <c r="H773" s="4">
        <v>80481</v>
      </c>
      <c r="I773" s="4">
        <v>84100</v>
      </c>
    </row>
    <row r="774" spans="1:9" x14ac:dyDescent="0.3">
      <c r="A774" s="2" t="s">
        <v>806</v>
      </c>
      <c r="B774" s="3">
        <v>45767</v>
      </c>
      <c r="C774" s="2" t="s">
        <v>62</v>
      </c>
      <c r="D774" s="2" t="s">
        <v>11</v>
      </c>
      <c r="E774" s="2" t="s">
        <v>22</v>
      </c>
      <c r="F774" s="2" t="s">
        <v>46</v>
      </c>
      <c r="G774" s="2" t="s">
        <v>19</v>
      </c>
      <c r="H774" s="4">
        <v>38667</v>
      </c>
      <c r="I774" s="4">
        <v>36700</v>
      </c>
    </row>
    <row r="775" spans="1:9" x14ac:dyDescent="0.3">
      <c r="A775" s="2" t="s">
        <v>807</v>
      </c>
      <c r="B775" s="3">
        <v>45767</v>
      </c>
      <c r="C775" s="2" t="s">
        <v>62</v>
      </c>
      <c r="D775" s="2" t="s">
        <v>11</v>
      </c>
      <c r="E775" s="2" t="s">
        <v>22</v>
      </c>
      <c r="F775" s="2" t="s">
        <v>37</v>
      </c>
      <c r="G775" s="2" t="s">
        <v>14</v>
      </c>
      <c r="H775" s="4">
        <v>123586</v>
      </c>
      <c r="I775" s="4">
        <v>116500</v>
      </c>
    </row>
    <row r="776" spans="1:9" x14ac:dyDescent="0.3">
      <c r="A776" s="2" t="s">
        <v>808</v>
      </c>
      <c r="B776" s="3">
        <v>45767</v>
      </c>
      <c r="C776" s="2" t="s">
        <v>62</v>
      </c>
      <c r="D776" s="2" t="s">
        <v>11</v>
      </c>
      <c r="E776" s="2" t="s">
        <v>22</v>
      </c>
      <c r="F776" s="2" t="s">
        <v>12</v>
      </c>
      <c r="G776" s="2" t="s">
        <v>14</v>
      </c>
      <c r="H776" s="4">
        <v>107023</v>
      </c>
      <c r="I776" s="4">
        <v>112800</v>
      </c>
    </row>
    <row r="777" spans="1:9" x14ac:dyDescent="0.3">
      <c r="A777" s="2" t="s">
        <v>809</v>
      </c>
      <c r="B777" s="3">
        <v>45767</v>
      </c>
      <c r="C777" s="2" t="s">
        <v>62</v>
      </c>
      <c r="D777" s="2" t="s">
        <v>11</v>
      </c>
      <c r="E777" s="2" t="s">
        <v>22</v>
      </c>
      <c r="F777" s="2" t="s">
        <v>26</v>
      </c>
      <c r="G777" s="2" t="s">
        <v>14</v>
      </c>
      <c r="H777" s="4">
        <v>138205</v>
      </c>
      <c r="I777" s="4">
        <v>150200</v>
      </c>
    </row>
    <row r="778" spans="1:9" x14ac:dyDescent="0.3">
      <c r="A778" s="2" t="s">
        <v>810</v>
      </c>
      <c r="B778" s="3">
        <v>45767</v>
      </c>
      <c r="C778" s="2" t="s">
        <v>16</v>
      </c>
      <c r="D778" s="2" t="s">
        <v>11</v>
      </c>
      <c r="E778" s="2" t="s">
        <v>17</v>
      </c>
      <c r="F778" s="2" t="s">
        <v>56</v>
      </c>
      <c r="G778" s="2" t="s">
        <v>19</v>
      </c>
      <c r="H778" s="4">
        <v>48754</v>
      </c>
      <c r="I778" s="4">
        <v>51500</v>
      </c>
    </row>
    <row r="779" spans="1:9" x14ac:dyDescent="0.3">
      <c r="A779" s="2" t="s">
        <v>811</v>
      </c>
      <c r="B779" s="3">
        <v>45767</v>
      </c>
      <c r="C779" s="2" t="s">
        <v>16</v>
      </c>
      <c r="D779" s="2" t="s">
        <v>11</v>
      </c>
      <c r="E779" s="2" t="s">
        <v>17</v>
      </c>
      <c r="F779" s="2" t="s">
        <v>12</v>
      </c>
      <c r="G779" s="2" t="s">
        <v>14</v>
      </c>
      <c r="H779" s="4">
        <v>58687</v>
      </c>
      <c r="I779" s="4">
        <v>56000</v>
      </c>
    </row>
    <row r="780" spans="1:9" x14ac:dyDescent="0.3">
      <c r="A780" s="2" t="s">
        <v>812</v>
      </c>
      <c r="B780" s="3">
        <v>45767</v>
      </c>
      <c r="C780" s="2" t="s">
        <v>36</v>
      </c>
      <c r="D780" s="2" t="s">
        <v>11</v>
      </c>
      <c r="E780" s="2" t="s">
        <v>37</v>
      </c>
      <c r="F780" s="2" t="s">
        <v>46</v>
      </c>
      <c r="G780" s="2" t="s">
        <v>19</v>
      </c>
      <c r="H780" s="4">
        <v>90669</v>
      </c>
      <c r="I780" s="4">
        <v>93600</v>
      </c>
    </row>
    <row r="781" spans="1:9" x14ac:dyDescent="0.3">
      <c r="A781" s="2" t="s">
        <v>813</v>
      </c>
      <c r="B781" s="3">
        <v>45767</v>
      </c>
      <c r="C781" s="2" t="s">
        <v>36</v>
      </c>
      <c r="D781" s="2" t="s">
        <v>11</v>
      </c>
      <c r="E781" s="2" t="s">
        <v>37</v>
      </c>
      <c r="F781" s="2" t="s">
        <v>42</v>
      </c>
      <c r="G781" s="2" t="s">
        <v>19</v>
      </c>
      <c r="H781" s="4">
        <v>86065</v>
      </c>
      <c r="I781" s="4">
        <v>78100</v>
      </c>
    </row>
    <row r="782" spans="1:9" x14ac:dyDescent="0.3">
      <c r="A782" s="2" t="s">
        <v>814</v>
      </c>
      <c r="B782" s="3">
        <v>45767</v>
      </c>
      <c r="C782" s="2" t="s">
        <v>36</v>
      </c>
      <c r="D782" s="2" t="s">
        <v>11</v>
      </c>
      <c r="E782" s="2" t="s">
        <v>37</v>
      </c>
      <c r="F782" s="2" t="s">
        <v>59</v>
      </c>
      <c r="G782" s="2" t="s">
        <v>14</v>
      </c>
      <c r="H782" s="4">
        <v>214606</v>
      </c>
      <c r="I782" s="4">
        <v>190100</v>
      </c>
    </row>
    <row r="783" spans="1:9" x14ac:dyDescent="0.3">
      <c r="A783" s="2" t="s">
        <v>815</v>
      </c>
      <c r="B783" s="3">
        <v>45767</v>
      </c>
      <c r="C783" s="2" t="s">
        <v>25</v>
      </c>
      <c r="D783" s="2" t="s">
        <v>11</v>
      </c>
      <c r="E783" s="2" t="s">
        <v>22</v>
      </c>
      <c r="F783" s="2" t="s">
        <v>39</v>
      </c>
      <c r="G783" s="2" t="s">
        <v>19</v>
      </c>
      <c r="H783" s="4">
        <v>52914</v>
      </c>
      <c r="I783" s="4">
        <v>51400</v>
      </c>
    </row>
    <row r="784" spans="1:9" x14ac:dyDescent="0.3">
      <c r="A784" s="2" t="s">
        <v>816</v>
      </c>
      <c r="B784" s="3">
        <v>45767</v>
      </c>
      <c r="C784" s="2" t="s">
        <v>55</v>
      </c>
      <c r="D784" s="2" t="s">
        <v>11</v>
      </c>
      <c r="E784" s="2" t="s">
        <v>37</v>
      </c>
      <c r="F784" s="2" t="s">
        <v>33</v>
      </c>
      <c r="G784" s="2" t="s">
        <v>19</v>
      </c>
      <c r="H784" s="4">
        <v>81294</v>
      </c>
      <c r="I784" s="4">
        <v>85500</v>
      </c>
    </row>
    <row r="785" spans="1:9" x14ac:dyDescent="0.3">
      <c r="A785" s="2" t="s">
        <v>817</v>
      </c>
      <c r="B785" s="3">
        <v>45767</v>
      </c>
      <c r="C785" s="2" t="s">
        <v>55</v>
      </c>
      <c r="D785" s="2" t="s">
        <v>11</v>
      </c>
      <c r="E785" s="2" t="s">
        <v>37</v>
      </c>
      <c r="F785" s="2" t="s">
        <v>18</v>
      </c>
      <c r="G785" s="2" t="s">
        <v>19</v>
      </c>
      <c r="H785" s="4">
        <v>21591</v>
      </c>
      <c r="I785" s="4">
        <v>20400</v>
      </c>
    </row>
    <row r="786" spans="1:9" x14ac:dyDescent="0.3">
      <c r="A786" s="2" t="s">
        <v>818</v>
      </c>
      <c r="B786" s="3">
        <v>45768</v>
      </c>
      <c r="C786" s="2" t="s">
        <v>62</v>
      </c>
      <c r="D786" s="2" t="s">
        <v>11</v>
      </c>
      <c r="E786" s="2" t="s">
        <v>22</v>
      </c>
      <c r="F786" s="2" t="s">
        <v>23</v>
      </c>
      <c r="G786" s="2" t="s">
        <v>14</v>
      </c>
      <c r="H786" s="4">
        <v>144673</v>
      </c>
      <c r="I786" s="4">
        <v>151100</v>
      </c>
    </row>
    <row r="787" spans="1:9" x14ac:dyDescent="0.3">
      <c r="A787" s="2" t="s">
        <v>819</v>
      </c>
      <c r="B787" s="3">
        <v>45768</v>
      </c>
      <c r="C787" s="2" t="s">
        <v>62</v>
      </c>
      <c r="D787" s="2" t="s">
        <v>11</v>
      </c>
      <c r="E787" s="2" t="s">
        <v>22</v>
      </c>
      <c r="F787" s="2" t="s">
        <v>13</v>
      </c>
      <c r="G787" s="2" t="s">
        <v>14</v>
      </c>
      <c r="H787" s="4">
        <v>91581</v>
      </c>
      <c r="I787" s="4">
        <v>81500</v>
      </c>
    </row>
    <row r="788" spans="1:9" x14ac:dyDescent="0.3">
      <c r="A788" s="2" t="s">
        <v>820</v>
      </c>
      <c r="B788" s="3">
        <v>45768</v>
      </c>
      <c r="C788" s="2" t="s">
        <v>62</v>
      </c>
      <c r="D788" s="2" t="s">
        <v>11</v>
      </c>
      <c r="E788" s="2" t="s">
        <v>22</v>
      </c>
      <c r="F788" s="2" t="s">
        <v>12</v>
      </c>
      <c r="G788" s="2" t="s">
        <v>14</v>
      </c>
      <c r="H788" s="4">
        <v>33365</v>
      </c>
      <c r="I788" s="4">
        <v>34900</v>
      </c>
    </row>
    <row r="789" spans="1:9" x14ac:dyDescent="0.3">
      <c r="A789" s="2" t="s">
        <v>821</v>
      </c>
      <c r="B789" s="3">
        <v>45768</v>
      </c>
      <c r="C789" s="2" t="s">
        <v>10</v>
      </c>
      <c r="D789" s="2" t="s">
        <v>11</v>
      </c>
      <c r="E789" s="2" t="s">
        <v>12</v>
      </c>
      <c r="F789" s="2" t="s">
        <v>12</v>
      </c>
      <c r="G789" s="2" t="s">
        <v>14</v>
      </c>
      <c r="H789" s="4">
        <v>121179</v>
      </c>
      <c r="I789" s="4">
        <v>136500</v>
      </c>
    </row>
    <row r="790" spans="1:9" x14ac:dyDescent="0.3">
      <c r="A790" s="2" t="s">
        <v>822</v>
      </c>
      <c r="B790" s="3">
        <v>45768</v>
      </c>
      <c r="C790" s="2" t="s">
        <v>36</v>
      </c>
      <c r="D790" s="2" t="s">
        <v>11</v>
      </c>
      <c r="E790" s="2" t="s">
        <v>37</v>
      </c>
      <c r="F790" s="2" t="s">
        <v>12</v>
      </c>
      <c r="G790" s="2" t="s">
        <v>14</v>
      </c>
      <c r="H790" s="4">
        <v>88584</v>
      </c>
      <c r="I790" s="4">
        <v>113000</v>
      </c>
    </row>
    <row r="791" spans="1:9" x14ac:dyDescent="0.3">
      <c r="A791" s="2" t="s">
        <v>823</v>
      </c>
      <c r="B791" s="3">
        <v>45768</v>
      </c>
      <c r="C791" s="2" t="s">
        <v>36</v>
      </c>
      <c r="D791" s="2" t="s">
        <v>11</v>
      </c>
      <c r="E791" s="2" t="s">
        <v>37</v>
      </c>
      <c r="F791" s="2" t="s">
        <v>13</v>
      </c>
      <c r="G791" s="2" t="s">
        <v>14</v>
      </c>
      <c r="H791" s="4">
        <v>82841</v>
      </c>
      <c r="I791" s="4">
        <v>89800</v>
      </c>
    </row>
    <row r="792" spans="1:9" x14ac:dyDescent="0.3">
      <c r="A792" s="2" t="s">
        <v>824</v>
      </c>
      <c r="B792" s="3">
        <v>45768</v>
      </c>
      <c r="C792" s="2" t="s">
        <v>21</v>
      </c>
      <c r="D792" s="2" t="s">
        <v>11</v>
      </c>
      <c r="E792" s="2" t="s">
        <v>22</v>
      </c>
      <c r="F792" s="2" t="s">
        <v>42</v>
      </c>
      <c r="G792" s="2" t="s">
        <v>19</v>
      </c>
      <c r="H792" s="4">
        <v>113566</v>
      </c>
      <c r="I792" s="4">
        <v>107900</v>
      </c>
    </row>
    <row r="793" spans="1:9" x14ac:dyDescent="0.3">
      <c r="A793" s="2" t="s">
        <v>825</v>
      </c>
      <c r="B793" s="3">
        <v>45768</v>
      </c>
      <c r="C793" s="2" t="s">
        <v>55</v>
      </c>
      <c r="D793" s="2" t="s">
        <v>11</v>
      </c>
      <c r="E793" s="2" t="s">
        <v>37</v>
      </c>
      <c r="F793" s="2" t="s">
        <v>56</v>
      </c>
      <c r="G793" s="2" t="s">
        <v>19</v>
      </c>
      <c r="H793" s="4">
        <v>96560</v>
      </c>
      <c r="I793" s="4">
        <v>101100</v>
      </c>
    </row>
    <row r="794" spans="1:9" x14ac:dyDescent="0.3">
      <c r="A794" s="2" t="s">
        <v>826</v>
      </c>
      <c r="B794" s="3">
        <v>45768</v>
      </c>
      <c r="C794" s="2" t="s">
        <v>55</v>
      </c>
      <c r="D794" s="2" t="s">
        <v>11</v>
      </c>
      <c r="E794" s="2" t="s">
        <v>37</v>
      </c>
      <c r="F794" s="2" t="s">
        <v>42</v>
      </c>
      <c r="G794" s="2" t="s">
        <v>19</v>
      </c>
      <c r="H794" s="4">
        <v>82007</v>
      </c>
      <c r="I794" s="4">
        <v>69600</v>
      </c>
    </row>
    <row r="795" spans="1:9" x14ac:dyDescent="0.3">
      <c r="A795" s="2" t="s">
        <v>827</v>
      </c>
      <c r="B795" s="3">
        <v>45769</v>
      </c>
      <c r="C795" s="2" t="s">
        <v>62</v>
      </c>
      <c r="D795" s="2" t="s">
        <v>11</v>
      </c>
      <c r="E795" s="2" t="s">
        <v>22</v>
      </c>
      <c r="F795" s="2" t="s">
        <v>46</v>
      </c>
      <c r="G795" s="2" t="s">
        <v>19</v>
      </c>
      <c r="H795" s="4">
        <v>97756</v>
      </c>
      <c r="I795" s="4">
        <v>104100</v>
      </c>
    </row>
    <row r="796" spans="1:9" x14ac:dyDescent="0.3">
      <c r="A796" s="2" t="s">
        <v>828</v>
      </c>
      <c r="B796" s="3">
        <v>45769</v>
      </c>
      <c r="C796" s="2" t="s">
        <v>10</v>
      </c>
      <c r="D796" s="2" t="s">
        <v>11</v>
      </c>
      <c r="E796" s="2" t="s">
        <v>12</v>
      </c>
      <c r="F796" s="2" t="s">
        <v>46</v>
      </c>
      <c r="G796" s="2" t="s">
        <v>19</v>
      </c>
      <c r="H796" s="4">
        <v>19697</v>
      </c>
      <c r="I796" s="4">
        <v>23500</v>
      </c>
    </row>
    <row r="797" spans="1:9" x14ac:dyDescent="0.3">
      <c r="A797" s="2" t="s">
        <v>829</v>
      </c>
      <c r="B797" s="3">
        <v>45769</v>
      </c>
      <c r="C797" s="2" t="s">
        <v>36</v>
      </c>
      <c r="D797" s="2" t="s">
        <v>11</v>
      </c>
      <c r="E797" s="2" t="s">
        <v>37</v>
      </c>
      <c r="F797" s="2" t="s">
        <v>12</v>
      </c>
      <c r="G797" s="2" t="s">
        <v>14</v>
      </c>
      <c r="H797" s="4">
        <v>198192</v>
      </c>
      <c r="I797" s="4">
        <v>177100</v>
      </c>
    </row>
    <row r="798" spans="1:9" x14ac:dyDescent="0.3">
      <c r="A798" s="2" t="s">
        <v>830</v>
      </c>
      <c r="B798" s="3">
        <v>45770</v>
      </c>
      <c r="C798" s="2" t="s">
        <v>62</v>
      </c>
      <c r="D798" s="2" t="s">
        <v>11</v>
      </c>
      <c r="E798" s="2" t="s">
        <v>22</v>
      </c>
      <c r="F798" s="2" t="s">
        <v>23</v>
      </c>
      <c r="G798" s="2" t="s">
        <v>14</v>
      </c>
      <c r="H798" s="4">
        <v>81137</v>
      </c>
      <c r="I798" s="4">
        <v>84000</v>
      </c>
    </row>
    <row r="799" spans="1:9" x14ac:dyDescent="0.3">
      <c r="A799" s="2" t="s">
        <v>831</v>
      </c>
      <c r="B799" s="3">
        <v>45770</v>
      </c>
      <c r="C799" s="2" t="s">
        <v>62</v>
      </c>
      <c r="D799" s="2" t="s">
        <v>11</v>
      </c>
      <c r="E799" s="2" t="s">
        <v>22</v>
      </c>
      <c r="F799" s="2" t="s">
        <v>13</v>
      </c>
      <c r="G799" s="2" t="s">
        <v>14</v>
      </c>
      <c r="H799" s="4">
        <v>245427</v>
      </c>
      <c r="I799" s="4">
        <v>273800</v>
      </c>
    </row>
    <row r="800" spans="1:9" x14ac:dyDescent="0.3">
      <c r="A800" s="2" t="s">
        <v>832</v>
      </c>
      <c r="B800" s="3">
        <v>45770</v>
      </c>
      <c r="C800" s="2" t="s">
        <v>10</v>
      </c>
      <c r="D800" s="2" t="s">
        <v>11</v>
      </c>
      <c r="E800" s="2" t="s">
        <v>12</v>
      </c>
      <c r="F800" s="2" t="s">
        <v>12</v>
      </c>
      <c r="G800" s="2" t="s">
        <v>14</v>
      </c>
      <c r="H800" s="4">
        <v>200218</v>
      </c>
      <c r="I800" s="4">
        <v>205800</v>
      </c>
    </row>
    <row r="801" spans="1:9" x14ac:dyDescent="0.3">
      <c r="A801" s="2" t="s">
        <v>833</v>
      </c>
      <c r="B801" s="3">
        <v>45770</v>
      </c>
      <c r="C801" s="2" t="s">
        <v>36</v>
      </c>
      <c r="D801" s="2" t="s">
        <v>11</v>
      </c>
      <c r="E801" s="2" t="s">
        <v>37</v>
      </c>
      <c r="F801" s="2" t="s">
        <v>33</v>
      </c>
      <c r="G801" s="2" t="s">
        <v>19</v>
      </c>
      <c r="H801" s="4">
        <v>98671</v>
      </c>
      <c r="I801" s="4">
        <v>93300</v>
      </c>
    </row>
    <row r="802" spans="1:9" x14ac:dyDescent="0.3">
      <c r="A802" s="2" t="s">
        <v>834</v>
      </c>
      <c r="B802" s="3">
        <v>45770</v>
      </c>
      <c r="C802" s="2" t="s">
        <v>25</v>
      </c>
      <c r="D802" s="2" t="s">
        <v>11</v>
      </c>
      <c r="E802" s="2" t="s">
        <v>22</v>
      </c>
      <c r="F802" s="2" t="s">
        <v>12</v>
      </c>
      <c r="G802" s="2" t="s">
        <v>14</v>
      </c>
      <c r="H802" s="4">
        <v>204208</v>
      </c>
      <c r="I802" s="4">
        <v>199100</v>
      </c>
    </row>
    <row r="803" spans="1:9" x14ac:dyDescent="0.3">
      <c r="A803" s="2" t="s">
        <v>835</v>
      </c>
      <c r="B803" s="3">
        <v>45770</v>
      </c>
      <c r="C803" s="2" t="s">
        <v>31</v>
      </c>
      <c r="D803" s="2" t="s">
        <v>11</v>
      </c>
      <c r="E803" s="2" t="s">
        <v>17</v>
      </c>
      <c r="F803" s="2" t="s">
        <v>12</v>
      </c>
      <c r="G803" s="2" t="s">
        <v>14</v>
      </c>
      <c r="H803" s="4">
        <v>190835</v>
      </c>
      <c r="I803" s="4">
        <v>192100</v>
      </c>
    </row>
    <row r="804" spans="1:9" x14ac:dyDescent="0.3">
      <c r="A804" s="2" t="s">
        <v>836</v>
      </c>
      <c r="B804" s="3">
        <v>45770</v>
      </c>
      <c r="C804" s="2" t="s">
        <v>55</v>
      </c>
      <c r="D804" s="2" t="s">
        <v>11</v>
      </c>
      <c r="E804" s="2" t="s">
        <v>37</v>
      </c>
      <c r="F804" s="2" t="s">
        <v>46</v>
      </c>
      <c r="G804" s="2" t="s">
        <v>19</v>
      </c>
      <c r="H804" s="4">
        <v>49639</v>
      </c>
      <c r="I804" s="4">
        <v>44100</v>
      </c>
    </row>
    <row r="805" spans="1:9" x14ac:dyDescent="0.3">
      <c r="A805" s="2" t="s">
        <v>837</v>
      </c>
      <c r="B805" s="3">
        <v>45770</v>
      </c>
      <c r="C805" s="2" t="s">
        <v>55</v>
      </c>
      <c r="D805" s="2" t="s">
        <v>11</v>
      </c>
      <c r="E805" s="2" t="s">
        <v>37</v>
      </c>
      <c r="F805" s="2" t="s">
        <v>39</v>
      </c>
      <c r="G805" s="2" t="s">
        <v>19</v>
      </c>
      <c r="H805" s="4">
        <v>22145</v>
      </c>
      <c r="I805" s="4">
        <v>19400</v>
      </c>
    </row>
    <row r="806" spans="1:9" x14ac:dyDescent="0.3">
      <c r="A806" s="2" t="s">
        <v>838</v>
      </c>
      <c r="B806" s="3">
        <v>45770</v>
      </c>
      <c r="C806" s="2" t="s">
        <v>55</v>
      </c>
      <c r="D806" s="2" t="s">
        <v>11</v>
      </c>
      <c r="E806" s="2" t="s">
        <v>37</v>
      </c>
      <c r="F806" s="2" t="s">
        <v>13</v>
      </c>
      <c r="G806" s="2" t="s">
        <v>14</v>
      </c>
      <c r="H806" s="4">
        <v>108865</v>
      </c>
      <c r="I806" s="4">
        <v>122900</v>
      </c>
    </row>
    <row r="807" spans="1:9" x14ac:dyDescent="0.3">
      <c r="A807" s="2" t="s">
        <v>839</v>
      </c>
      <c r="B807" s="3">
        <v>45771</v>
      </c>
      <c r="C807" s="2" t="s">
        <v>62</v>
      </c>
      <c r="D807" s="2" t="s">
        <v>11</v>
      </c>
      <c r="E807" s="2" t="s">
        <v>22</v>
      </c>
      <c r="F807" s="2" t="s">
        <v>37</v>
      </c>
      <c r="G807" s="2" t="s">
        <v>14</v>
      </c>
      <c r="H807" s="4">
        <v>110983</v>
      </c>
      <c r="I807" s="4">
        <v>106600</v>
      </c>
    </row>
    <row r="808" spans="1:9" x14ac:dyDescent="0.3">
      <c r="A808" s="2" t="s">
        <v>840</v>
      </c>
      <c r="B808" s="3">
        <v>45771</v>
      </c>
      <c r="C808" s="2" t="s">
        <v>62</v>
      </c>
      <c r="D808" s="2" t="s">
        <v>11</v>
      </c>
      <c r="E808" s="2" t="s">
        <v>22</v>
      </c>
      <c r="F808" s="2" t="s">
        <v>12</v>
      </c>
      <c r="G808" s="2" t="s">
        <v>14</v>
      </c>
      <c r="H808" s="4">
        <v>173213</v>
      </c>
      <c r="I808" s="4">
        <v>169700</v>
      </c>
    </row>
    <row r="809" spans="1:9" x14ac:dyDescent="0.3">
      <c r="A809" s="2" t="s">
        <v>841</v>
      </c>
      <c r="B809" s="3">
        <v>45771</v>
      </c>
      <c r="C809" s="2" t="s">
        <v>10</v>
      </c>
      <c r="D809" s="2" t="s">
        <v>11</v>
      </c>
      <c r="E809" s="2" t="s">
        <v>12</v>
      </c>
      <c r="F809" s="2" t="s">
        <v>42</v>
      </c>
      <c r="G809" s="2" t="s">
        <v>19</v>
      </c>
      <c r="H809" s="4">
        <v>58288</v>
      </c>
      <c r="I809" s="4">
        <v>60000</v>
      </c>
    </row>
    <row r="810" spans="1:9" x14ac:dyDescent="0.3">
      <c r="A810" s="2" t="s">
        <v>842</v>
      </c>
      <c r="B810" s="3">
        <v>45771</v>
      </c>
      <c r="C810" s="2" t="s">
        <v>16</v>
      </c>
      <c r="D810" s="2" t="s">
        <v>11</v>
      </c>
      <c r="E810" s="2" t="s">
        <v>17</v>
      </c>
      <c r="F810" s="2" t="s">
        <v>33</v>
      </c>
      <c r="G810" s="2" t="s">
        <v>19</v>
      </c>
      <c r="H810" s="4">
        <v>49235</v>
      </c>
      <c r="I810" s="4">
        <v>51500</v>
      </c>
    </row>
    <row r="811" spans="1:9" x14ac:dyDescent="0.3">
      <c r="A811" s="2" t="s">
        <v>843</v>
      </c>
      <c r="B811" s="3">
        <v>45771</v>
      </c>
      <c r="C811" s="2" t="s">
        <v>16</v>
      </c>
      <c r="D811" s="2" t="s">
        <v>11</v>
      </c>
      <c r="E811" s="2" t="s">
        <v>17</v>
      </c>
      <c r="F811" s="2" t="s">
        <v>23</v>
      </c>
      <c r="G811" s="2" t="s">
        <v>14</v>
      </c>
      <c r="H811" s="4">
        <v>174296</v>
      </c>
      <c r="I811" s="4">
        <v>171500</v>
      </c>
    </row>
    <row r="812" spans="1:9" x14ac:dyDescent="0.3">
      <c r="A812" s="2" t="s">
        <v>844</v>
      </c>
      <c r="B812" s="3">
        <v>45771</v>
      </c>
      <c r="C812" s="2" t="s">
        <v>16</v>
      </c>
      <c r="D812" s="2" t="s">
        <v>11</v>
      </c>
      <c r="E812" s="2" t="s">
        <v>17</v>
      </c>
      <c r="F812" s="2" t="s">
        <v>59</v>
      </c>
      <c r="G812" s="2" t="s">
        <v>14</v>
      </c>
      <c r="H812" s="4">
        <v>66754</v>
      </c>
      <c r="I812" s="4">
        <v>74500</v>
      </c>
    </row>
    <row r="813" spans="1:9" x14ac:dyDescent="0.3">
      <c r="A813" s="2" t="s">
        <v>845</v>
      </c>
      <c r="B813" s="3">
        <v>45771</v>
      </c>
      <c r="C813" s="2" t="s">
        <v>21</v>
      </c>
      <c r="D813" s="2" t="s">
        <v>11</v>
      </c>
      <c r="E813" s="2" t="s">
        <v>22</v>
      </c>
      <c r="F813" s="2" t="s">
        <v>46</v>
      </c>
      <c r="G813" s="2" t="s">
        <v>19</v>
      </c>
      <c r="H813" s="4">
        <v>68428</v>
      </c>
      <c r="I813" s="4">
        <v>70300</v>
      </c>
    </row>
    <row r="814" spans="1:9" x14ac:dyDescent="0.3">
      <c r="A814" s="2" t="s">
        <v>846</v>
      </c>
      <c r="B814" s="3">
        <v>45771</v>
      </c>
      <c r="C814" s="2" t="s">
        <v>31</v>
      </c>
      <c r="D814" s="2" t="s">
        <v>11</v>
      </c>
      <c r="E814" s="2" t="s">
        <v>17</v>
      </c>
      <c r="F814" s="2" t="s">
        <v>42</v>
      </c>
      <c r="G814" s="2" t="s">
        <v>19</v>
      </c>
      <c r="H814" s="4">
        <v>28389</v>
      </c>
      <c r="I814" s="4">
        <v>22900</v>
      </c>
    </row>
    <row r="815" spans="1:9" x14ac:dyDescent="0.3">
      <c r="A815" s="2" t="s">
        <v>847</v>
      </c>
      <c r="B815" s="3">
        <v>45772</v>
      </c>
      <c r="C815" s="2" t="s">
        <v>62</v>
      </c>
      <c r="D815" s="2" t="s">
        <v>11</v>
      </c>
      <c r="E815" s="2" t="s">
        <v>22</v>
      </c>
      <c r="F815" s="2" t="s">
        <v>56</v>
      </c>
      <c r="G815" s="2" t="s">
        <v>19</v>
      </c>
      <c r="H815" s="4">
        <v>23116</v>
      </c>
      <c r="I815" s="4">
        <v>22300</v>
      </c>
    </row>
    <row r="816" spans="1:9" x14ac:dyDescent="0.3">
      <c r="A816" s="2" t="s">
        <v>848</v>
      </c>
      <c r="B816" s="3">
        <v>45772</v>
      </c>
      <c r="C816" s="2" t="s">
        <v>10</v>
      </c>
      <c r="D816" s="2" t="s">
        <v>11</v>
      </c>
      <c r="E816" s="2" t="s">
        <v>12</v>
      </c>
      <c r="F816" s="2" t="s">
        <v>26</v>
      </c>
      <c r="G816" s="2" t="s">
        <v>14</v>
      </c>
      <c r="H816" s="4">
        <v>149573</v>
      </c>
      <c r="I816" s="4">
        <v>164800</v>
      </c>
    </row>
    <row r="817" spans="1:9" x14ac:dyDescent="0.3">
      <c r="A817" s="2" t="s">
        <v>849</v>
      </c>
      <c r="B817" s="3">
        <v>45772</v>
      </c>
      <c r="C817" s="2" t="s">
        <v>36</v>
      </c>
      <c r="D817" s="2" t="s">
        <v>11</v>
      </c>
      <c r="E817" s="2" t="s">
        <v>37</v>
      </c>
      <c r="F817" s="2" t="s">
        <v>12</v>
      </c>
      <c r="G817" s="2" t="s">
        <v>14</v>
      </c>
      <c r="H817" s="4">
        <v>82565</v>
      </c>
      <c r="I817" s="4">
        <v>86100</v>
      </c>
    </row>
    <row r="818" spans="1:9" x14ac:dyDescent="0.3">
      <c r="A818" s="2" t="s">
        <v>850</v>
      </c>
      <c r="B818" s="3">
        <v>45772</v>
      </c>
      <c r="C818" s="2" t="s">
        <v>36</v>
      </c>
      <c r="D818" s="2" t="s">
        <v>11</v>
      </c>
      <c r="E818" s="2" t="s">
        <v>37</v>
      </c>
      <c r="F818" s="2" t="s">
        <v>12</v>
      </c>
      <c r="G818" s="2" t="s">
        <v>14</v>
      </c>
      <c r="H818" s="4">
        <v>112037</v>
      </c>
      <c r="I818" s="4">
        <v>126000</v>
      </c>
    </row>
    <row r="819" spans="1:9" x14ac:dyDescent="0.3">
      <c r="A819" s="2" t="s">
        <v>851</v>
      </c>
      <c r="B819" s="3">
        <v>45772</v>
      </c>
      <c r="C819" s="2" t="s">
        <v>31</v>
      </c>
      <c r="D819" s="2" t="s">
        <v>11</v>
      </c>
      <c r="E819" s="2" t="s">
        <v>17</v>
      </c>
      <c r="F819" s="2" t="s">
        <v>33</v>
      </c>
      <c r="G819" s="2" t="s">
        <v>19</v>
      </c>
      <c r="H819" s="4">
        <v>96061</v>
      </c>
      <c r="I819" s="4">
        <v>113800</v>
      </c>
    </row>
    <row r="820" spans="1:9" x14ac:dyDescent="0.3">
      <c r="A820" s="2" t="s">
        <v>852</v>
      </c>
      <c r="B820" s="3">
        <v>45772</v>
      </c>
      <c r="C820" s="2" t="s">
        <v>31</v>
      </c>
      <c r="D820" s="2" t="s">
        <v>11</v>
      </c>
      <c r="E820" s="2" t="s">
        <v>17</v>
      </c>
      <c r="F820" s="2" t="s">
        <v>18</v>
      </c>
      <c r="G820" s="2" t="s">
        <v>19</v>
      </c>
      <c r="H820" s="4">
        <v>37262</v>
      </c>
      <c r="I820" s="4">
        <v>33500</v>
      </c>
    </row>
    <row r="821" spans="1:9" x14ac:dyDescent="0.3">
      <c r="A821" s="2" t="s">
        <v>853</v>
      </c>
      <c r="B821" s="3">
        <v>45772</v>
      </c>
      <c r="C821" s="2" t="s">
        <v>55</v>
      </c>
      <c r="D821" s="2" t="s">
        <v>11</v>
      </c>
      <c r="E821" s="2" t="s">
        <v>37</v>
      </c>
      <c r="F821" s="2" t="s">
        <v>12</v>
      </c>
      <c r="G821" s="2" t="s">
        <v>14</v>
      </c>
      <c r="H821" s="4">
        <v>80122</v>
      </c>
      <c r="I821" s="4">
        <v>79900</v>
      </c>
    </row>
    <row r="822" spans="1:9" x14ac:dyDescent="0.3">
      <c r="A822" s="2" t="s">
        <v>854</v>
      </c>
      <c r="B822" s="3">
        <v>45773</v>
      </c>
      <c r="C822" s="2" t="s">
        <v>62</v>
      </c>
      <c r="D822" s="2" t="s">
        <v>11</v>
      </c>
      <c r="E822" s="2" t="s">
        <v>22</v>
      </c>
      <c r="F822" s="2" t="s">
        <v>33</v>
      </c>
      <c r="G822" s="2" t="s">
        <v>19</v>
      </c>
      <c r="H822" s="4">
        <v>96145</v>
      </c>
      <c r="I822" s="4">
        <v>80000</v>
      </c>
    </row>
    <row r="823" spans="1:9" x14ac:dyDescent="0.3">
      <c r="A823" s="2" t="s">
        <v>855</v>
      </c>
      <c r="B823" s="3">
        <v>45773</v>
      </c>
      <c r="C823" s="2" t="s">
        <v>62</v>
      </c>
      <c r="D823" s="2" t="s">
        <v>11</v>
      </c>
      <c r="E823" s="2" t="s">
        <v>22</v>
      </c>
      <c r="F823" s="2" t="s">
        <v>46</v>
      </c>
      <c r="G823" s="2" t="s">
        <v>19</v>
      </c>
      <c r="H823" s="4">
        <v>72144</v>
      </c>
      <c r="I823" s="4">
        <v>58600</v>
      </c>
    </row>
    <row r="824" spans="1:9" x14ac:dyDescent="0.3">
      <c r="A824" s="2" t="s">
        <v>856</v>
      </c>
      <c r="B824" s="3">
        <v>45773</v>
      </c>
      <c r="C824" s="2" t="s">
        <v>10</v>
      </c>
      <c r="D824" s="2" t="s">
        <v>11</v>
      </c>
      <c r="E824" s="2" t="s">
        <v>12</v>
      </c>
      <c r="F824" s="2" t="s">
        <v>56</v>
      </c>
      <c r="G824" s="2" t="s">
        <v>19</v>
      </c>
      <c r="H824" s="4">
        <v>49132</v>
      </c>
      <c r="I824" s="4">
        <v>48000</v>
      </c>
    </row>
    <row r="825" spans="1:9" x14ac:dyDescent="0.3">
      <c r="A825" s="2" t="s">
        <v>857</v>
      </c>
      <c r="B825" s="3">
        <v>45773</v>
      </c>
      <c r="C825" s="2" t="s">
        <v>36</v>
      </c>
      <c r="D825" s="2" t="s">
        <v>11</v>
      </c>
      <c r="E825" s="2" t="s">
        <v>37</v>
      </c>
      <c r="F825" s="2" t="s">
        <v>42</v>
      </c>
      <c r="G825" s="2" t="s">
        <v>19</v>
      </c>
      <c r="H825" s="4">
        <v>42371</v>
      </c>
      <c r="I825" s="4">
        <v>32300</v>
      </c>
    </row>
    <row r="826" spans="1:9" x14ac:dyDescent="0.3">
      <c r="A826" s="2" t="s">
        <v>858</v>
      </c>
      <c r="B826" s="3">
        <v>45773</v>
      </c>
      <c r="C826" s="2" t="s">
        <v>21</v>
      </c>
      <c r="D826" s="2" t="s">
        <v>11</v>
      </c>
      <c r="E826" s="2" t="s">
        <v>22</v>
      </c>
      <c r="F826" s="2" t="s">
        <v>39</v>
      </c>
      <c r="G826" s="2" t="s">
        <v>19</v>
      </c>
      <c r="H826" s="4">
        <v>100416</v>
      </c>
      <c r="I826" s="4">
        <v>108000</v>
      </c>
    </row>
    <row r="827" spans="1:9" x14ac:dyDescent="0.3">
      <c r="A827" s="2" t="s">
        <v>859</v>
      </c>
      <c r="B827" s="3">
        <v>45773</v>
      </c>
      <c r="C827" s="2" t="s">
        <v>21</v>
      </c>
      <c r="D827" s="2" t="s">
        <v>11</v>
      </c>
      <c r="E827" s="2" t="s">
        <v>22</v>
      </c>
      <c r="F827" s="2" t="s">
        <v>37</v>
      </c>
      <c r="G827" s="2" t="s">
        <v>14</v>
      </c>
      <c r="H827" s="4">
        <v>31426</v>
      </c>
      <c r="I827" s="4">
        <v>29300</v>
      </c>
    </row>
    <row r="828" spans="1:9" x14ac:dyDescent="0.3">
      <c r="A828" s="2" t="s">
        <v>860</v>
      </c>
      <c r="B828" s="3">
        <v>45773</v>
      </c>
      <c r="C828" s="2" t="s">
        <v>31</v>
      </c>
      <c r="D828" s="2" t="s">
        <v>11</v>
      </c>
      <c r="E828" s="2" t="s">
        <v>17</v>
      </c>
      <c r="F828" s="2" t="s">
        <v>56</v>
      </c>
      <c r="G828" s="2" t="s">
        <v>19</v>
      </c>
      <c r="H828" s="4">
        <v>61852</v>
      </c>
      <c r="I828" s="4">
        <v>55700</v>
      </c>
    </row>
    <row r="829" spans="1:9" x14ac:dyDescent="0.3">
      <c r="A829" s="2" t="s">
        <v>861</v>
      </c>
      <c r="B829" s="3">
        <v>45773</v>
      </c>
      <c r="C829" s="2" t="s">
        <v>31</v>
      </c>
      <c r="D829" s="2" t="s">
        <v>11</v>
      </c>
      <c r="E829" s="2" t="s">
        <v>17</v>
      </c>
      <c r="F829" s="2" t="s">
        <v>33</v>
      </c>
      <c r="G829" s="2" t="s">
        <v>19</v>
      </c>
      <c r="H829" s="4">
        <v>89346</v>
      </c>
      <c r="I829" s="4">
        <v>80400</v>
      </c>
    </row>
    <row r="830" spans="1:9" x14ac:dyDescent="0.3">
      <c r="A830" s="2" t="s">
        <v>862</v>
      </c>
      <c r="B830" s="3">
        <v>45773</v>
      </c>
      <c r="C830" s="2" t="s">
        <v>55</v>
      </c>
      <c r="D830" s="2" t="s">
        <v>11</v>
      </c>
      <c r="E830" s="2" t="s">
        <v>37</v>
      </c>
      <c r="F830" s="2" t="s">
        <v>12</v>
      </c>
      <c r="G830" s="2" t="s">
        <v>14</v>
      </c>
      <c r="H830" s="4">
        <v>53633</v>
      </c>
      <c r="I830" s="4">
        <v>53400</v>
      </c>
    </row>
    <row r="831" spans="1:9" x14ac:dyDescent="0.3">
      <c r="A831" s="2" t="s">
        <v>863</v>
      </c>
      <c r="B831" s="3">
        <v>45774</v>
      </c>
      <c r="C831" s="2" t="s">
        <v>62</v>
      </c>
      <c r="D831" s="2" t="s">
        <v>11</v>
      </c>
      <c r="E831" s="2" t="s">
        <v>22</v>
      </c>
      <c r="F831" s="2" t="s">
        <v>59</v>
      </c>
      <c r="G831" s="2" t="s">
        <v>14</v>
      </c>
      <c r="H831" s="4">
        <v>63654</v>
      </c>
      <c r="I831" s="4">
        <v>62100</v>
      </c>
    </row>
    <row r="832" spans="1:9" x14ac:dyDescent="0.3">
      <c r="A832" s="2" t="s">
        <v>864</v>
      </c>
      <c r="B832" s="3">
        <v>45774</v>
      </c>
      <c r="C832" s="2" t="s">
        <v>31</v>
      </c>
      <c r="D832" s="2" t="s">
        <v>11</v>
      </c>
      <c r="E832" s="2" t="s">
        <v>17</v>
      </c>
      <c r="F832" s="2" t="s">
        <v>42</v>
      </c>
      <c r="G832" s="2" t="s">
        <v>19</v>
      </c>
      <c r="H832" s="4">
        <v>59587</v>
      </c>
      <c r="I832" s="4">
        <v>59600</v>
      </c>
    </row>
    <row r="833" spans="1:9" x14ac:dyDescent="0.3">
      <c r="A833" s="2" t="s">
        <v>865</v>
      </c>
      <c r="B833" s="3">
        <v>45774</v>
      </c>
      <c r="C833" s="2" t="s">
        <v>55</v>
      </c>
      <c r="D833" s="2" t="s">
        <v>11</v>
      </c>
      <c r="E833" s="2" t="s">
        <v>37</v>
      </c>
      <c r="F833" s="2" t="s">
        <v>42</v>
      </c>
      <c r="G833" s="2" t="s">
        <v>19</v>
      </c>
      <c r="H833" s="4">
        <v>67111</v>
      </c>
      <c r="I833" s="4">
        <v>64800</v>
      </c>
    </row>
    <row r="834" spans="1:9" x14ac:dyDescent="0.3">
      <c r="A834" s="2" t="s">
        <v>866</v>
      </c>
      <c r="B834" s="3">
        <v>45774</v>
      </c>
      <c r="C834" s="2" t="s">
        <v>55</v>
      </c>
      <c r="D834" s="2" t="s">
        <v>11</v>
      </c>
      <c r="E834" s="2" t="s">
        <v>37</v>
      </c>
      <c r="F834" s="2" t="s">
        <v>46</v>
      </c>
      <c r="G834" s="2" t="s">
        <v>19</v>
      </c>
      <c r="H834" s="4">
        <v>54456</v>
      </c>
      <c r="I834" s="4">
        <v>67300</v>
      </c>
    </row>
    <row r="835" spans="1:9" x14ac:dyDescent="0.3">
      <c r="A835" s="2" t="s">
        <v>867</v>
      </c>
      <c r="B835" s="3">
        <v>45774</v>
      </c>
      <c r="C835" s="2" t="s">
        <v>55</v>
      </c>
      <c r="D835" s="2" t="s">
        <v>11</v>
      </c>
      <c r="E835" s="2" t="s">
        <v>37</v>
      </c>
      <c r="F835" s="2" t="s">
        <v>13</v>
      </c>
      <c r="G835" s="2" t="s">
        <v>14</v>
      </c>
      <c r="H835" s="4">
        <v>50283</v>
      </c>
      <c r="I835" s="4">
        <v>58100</v>
      </c>
    </row>
    <row r="836" spans="1:9" x14ac:dyDescent="0.3">
      <c r="A836" s="2" t="s">
        <v>868</v>
      </c>
      <c r="B836" s="3">
        <v>45775</v>
      </c>
      <c r="C836" s="2" t="s">
        <v>62</v>
      </c>
      <c r="D836" s="2" t="s">
        <v>11</v>
      </c>
      <c r="E836" s="2" t="s">
        <v>22</v>
      </c>
      <c r="F836" s="2" t="s">
        <v>26</v>
      </c>
      <c r="G836" s="2" t="s">
        <v>14</v>
      </c>
      <c r="H836" s="4">
        <v>238933</v>
      </c>
      <c r="I836" s="4">
        <v>271600</v>
      </c>
    </row>
    <row r="837" spans="1:9" x14ac:dyDescent="0.3">
      <c r="A837" s="2" t="s">
        <v>869</v>
      </c>
      <c r="B837" s="3">
        <v>45775</v>
      </c>
      <c r="C837" s="2" t="s">
        <v>10</v>
      </c>
      <c r="D837" s="2" t="s">
        <v>11</v>
      </c>
      <c r="E837" s="2" t="s">
        <v>12</v>
      </c>
      <c r="F837" s="2" t="s">
        <v>59</v>
      </c>
      <c r="G837" s="2" t="s">
        <v>14</v>
      </c>
      <c r="H837" s="4">
        <v>73312</v>
      </c>
      <c r="I837" s="4">
        <v>71900</v>
      </c>
    </row>
    <row r="838" spans="1:9" x14ac:dyDescent="0.3">
      <c r="A838" s="2" t="s">
        <v>870</v>
      </c>
      <c r="B838" s="3">
        <v>45775</v>
      </c>
      <c r="C838" s="2" t="s">
        <v>16</v>
      </c>
      <c r="D838" s="2" t="s">
        <v>11</v>
      </c>
      <c r="E838" s="2" t="s">
        <v>17</v>
      </c>
      <c r="F838" s="2" t="s">
        <v>39</v>
      </c>
      <c r="G838" s="2" t="s">
        <v>19</v>
      </c>
      <c r="H838" s="4">
        <v>64212</v>
      </c>
      <c r="I838" s="4">
        <v>60900</v>
      </c>
    </row>
    <row r="839" spans="1:9" x14ac:dyDescent="0.3">
      <c r="A839" s="2" t="s">
        <v>871</v>
      </c>
      <c r="B839" s="3">
        <v>45775</v>
      </c>
      <c r="C839" s="2" t="s">
        <v>16</v>
      </c>
      <c r="D839" s="2" t="s">
        <v>11</v>
      </c>
      <c r="E839" s="2" t="s">
        <v>17</v>
      </c>
      <c r="F839" s="2" t="s">
        <v>39</v>
      </c>
      <c r="G839" s="2" t="s">
        <v>19</v>
      </c>
      <c r="H839" s="4">
        <v>102010</v>
      </c>
      <c r="I839" s="4">
        <v>97500</v>
      </c>
    </row>
    <row r="840" spans="1:9" x14ac:dyDescent="0.3">
      <c r="A840" s="2" t="s">
        <v>872</v>
      </c>
      <c r="B840" s="3">
        <v>45775</v>
      </c>
      <c r="C840" s="2" t="s">
        <v>16</v>
      </c>
      <c r="D840" s="2" t="s">
        <v>11</v>
      </c>
      <c r="E840" s="2" t="s">
        <v>17</v>
      </c>
      <c r="F840" s="2" t="s">
        <v>46</v>
      </c>
      <c r="G840" s="2" t="s">
        <v>19</v>
      </c>
      <c r="H840" s="4">
        <v>98250</v>
      </c>
      <c r="I840" s="4">
        <v>114100</v>
      </c>
    </row>
    <row r="841" spans="1:9" x14ac:dyDescent="0.3">
      <c r="A841" s="2" t="s">
        <v>873</v>
      </c>
      <c r="B841" s="3">
        <v>45775</v>
      </c>
      <c r="C841" s="2" t="s">
        <v>36</v>
      </c>
      <c r="D841" s="2" t="s">
        <v>11</v>
      </c>
      <c r="E841" s="2" t="s">
        <v>37</v>
      </c>
      <c r="F841" s="2" t="s">
        <v>46</v>
      </c>
      <c r="G841" s="2" t="s">
        <v>19</v>
      </c>
      <c r="H841" s="4">
        <v>22813</v>
      </c>
      <c r="I841" s="4">
        <v>22700</v>
      </c>
    </row>
    <row r="842" spans="1:9" x14ac:dyDescent="0.3">
      <c r="A842" s="2" t="s">
        <v>874</v>
      </c>
      <c r="B842" s="3">
        <v>45775</v>
      </c>
      <c r="C842" s="2" t="s">
        <v>36</v>
      </c>
      <c r="D842" s="2" t="s">
        <v>11</v>
      </c>
      <c r="E842" s="2" t="s">
        <v>37</v>
      </c>
      <c r="F842" s="2" t="s">
        <v>18</v>
      </c>
      <c r="G842" s="2" t="s">
        <v>19</v>
      </c>
      <c r="H842" s="4">
        <v>95963</v>
      </c>
      <c r="I842" s="4">
        <v>93700</v>
      </c>
    </row>
    <row r="843" spans="1:9" x14ac:dyDescent="0.3">
      <c r="A843" s="2" t="s">
        <v>875</v>
      </c>
      <c r="B843" s="3">
        <v>45775</v>
      </c>
      <c r="C843" s="2" t="s">
        <v>21</v>
      </c>
      <c r="D843" s="2" t="s">
        <v>11</v>
      </c>
      <c r="E843" s="2" t="s">
        <v>22</v>
      </c>
      <c r="F843" s="2" t="s">
        <v>23</v>
      </c>
      <c r="G843" s="2" t="s">
        <v>14</v>
      </c>
      <c r="H843" s="4">
        <v>108897</v>
      </c>
      <c r="I843" s="4">
        <v>103500</v>
      </c>
    </row>
    <row r="844" spans="1:9" x14ac:dyDescent="0.3">
      <c r="A844" s="2" t="s">
        <v>876</v>
      </c>
      <c r="B844" s="3">
        <v>45775</v>
      </c>
      <c r="C844" s="2" t="s">
        <v>25</v>
      </c>
      <c r="D844" s="2" t="s">
        <v>11</v>
      </c>
      <c r="E844" s="2" t="s">
        <v>22</v>
      </c>
      <c r="F844" s="2" t="s">
        <v>12</v>
      </c>
      <c r="G844" s="2" t="s">
        <v>14</v>
      </c>
      <c r="H844" s="4">
        <v>128478</v>
      </c>
      <c r="I844" s="4">
        <v>125600</v>
      </c>
    </row>
    <row r="845" spans="1:9" x14ac:dyDescent="0.3">
      <c r="A845" s="2" t="s">
        <v>877</v>
      </c>
      <c r="B845" s="3">
        <v>45775</v>
      </c>
      <c r="C845" s="2" t="s">
        <v>25</v>
      </c>
      <c r="D845" s="2" t="s">
        <v>11</v>
      </c>
      <c r="E845" s="2" t="s">
        <v>22</v>
      </c>
      <c r="F845" s="2" t="s">
        <v>59</v>
      </c>
      <c r="G845" s="2" t="s">
        <v>14</v>
      </c>
      <c r="H845" s="4">
        <v>65058</v>
      </c>
      <c r="I845" s="4">
        <v>68000</v>
      </c>
    </row>
    <row r="846" spans="1:9" x14ac:dyDescent="0.3">
      <c r="A846" s="2" t="s">
        <v>878</v>
      </c>
      <c r="B846" s="3">
        <v>45775</v>
      </c>
      <c r="C846" s="2" t="s">
        <v>55</v>
      </c>
      <c r="D846" s="2" t="s">
        <v>11</v>
      </c>
      <c r="E846" s="2" t="s">
        <v>37</v>
      </c>
      <c r="F846" s="2" t="s">
        <v>23</v>
      </c>
      <c r="G846" s="2" t="s">
        <v>14</v>
      </c>
      <c r="H846" s="4">
        <v>245807</v>
      </c>
      <c r="I846" s="4">
        <v>243200</v>
      </c>
    </row>
    <row r="847" spans="1:9" x14ac:dyDescent="0.3">
      <c r="A847" s="2" t="s">
        <v>879</v>
      </c>
      <c r="B847" s="3">
        <v>45776</v>
      </c>
      <c r="C847" s="2" t="s">
        <v>62</v>
      </c>
      <c r="D847" s="2" t="s">
        <v>11</v>
      </c>
      <c r="E847" s="2" t="s">
        <v>22</v>
      </c>
      <c r="F847" s="2" t="s">
        <v>37</v>
      </c>
      <c r="G847" s="2" t="s">
        <v>14</v>
      </c>
      <c r="H847" s="4">
        <v>234861</v>
      </c>
      <c r="I847" s="4">
        <v>226600</v>
      </c>
    </row>
    <row r="848" spans="1:9" x14ac:dyDescent="0.3">
      <c r="A848" s="2" t="s">
        <v>880</v>
      </c>
      <c r="B848" s="3">
        <v>45776</v>
      </c>
      <c r="C848" s="2" t="s">
        <v>36</v>
      </c>
      <c r="D848" s="2" t="s">
        <v>11</v>
      </c>
      <c r="E848" s="2" t="s">
        <v>37</v>
      </c>
      <c r="F848" s="2" t="s">
        <v>12</v>
      </c>
      <c r="G848" s="2" t="s">
        <v>14</v>
      </c>
      <c r="H848" s="4">
        <v>119307</v>
      </c>
      <c r="I848" s="4">
        <v>123600</v>
      </c>
    </row>
    <row r="849" spans="1:9" x14ac:dyDescent="0.3">
      <c r="A849" s="2" t="s">
        <v>881</v>
      </c>
      <c r="B849" s="3">
        <v>45776</v>
      </c>
      <c r="C849" s="2" t="s">
        <v>25</v>
      </c>
      <c r="D849" s="2" t="s">
        <v>11</v>
      </c>
      <c r="E849" s="2" t="s">
        <v>22</v>
      </c>
      <c r="F849" s="2" t="s">
        <v>39</v>
      </c>
      <c r="G849" s="2" t="s">
        <v>19</v>
      </c>
      <c r="H849" s="4">
        <v>100569</v>
      </c>
      <c r="I849" s="4">
        <v>116800</v>
      </c>
    </row>
    <row r="850" spans="1:9" x14ac:dyDescent="0.3">
      <c r="A850" s="2" t="s">
        <v>882</v>
      </c>
      <c r="B850" s="3">
        <v>45776</v>
      </c>
      <c r="C850" s="2" t="s">
        <v>25</v>
      </c>
      <c r="D850" s="2" t="s">
        <v>11</v>
      </c>
      <c r="E850" s="2" t="s">
        <v>22</v>
      </c>
      <c r="F850" s="2" t="s">
        <v>56</v>
      </c>
      <c r="G850" s="2" t="s">
        <v>19</v>
      </c>
      <c r="H850" s="4">
        <v>111976</v>
      </c>
      <c r="I850" s="4">
        <v>101600</v>
      </c>
    </row>
    <row r="851" spans="1:9" x14ac:dyDescent="0.3">
      <c r="A851" s="2" t="s">
        <v>883</v>
      </c>
      <c r="B851" s="3">
        <v>45776</v>
      </c>
      <c r="C851" s="2" t="s">
        <v>55</v>
      </c>
      <c r="D851" s="2" t="s">
        <v>11</v>
      </c>
      <c r="E851" s="2" t="s">
        <v>37</v>
      </c>
      <c r="F851" s="2" t="s">
        <v>37</v>
      </c>
      <c r="G851" s="2" t="s">
        <v>14</v>
      </c>
      <c r="H851" s="4">
        <v>167988</v>
      </c>
      <c r="I851" s="4">
        <v>168400</v>
      </c>
    </row>
    <row r="852" spans="1:9" x14ac:dyDescent="0.3">
      <c r="A852" s="2" t="s">
        <v>884</v>
      </c>
      <c r="B852" s="3">
        <v>45777</v>
      </c>
      <c r="C852" s="2" t="s">
        <v>62</v>
      </c>
      <c r="D852" s="2" t="s">
        <v>11</v>
      </c>
      <c r="E852" s="2" t="s">
        <v>22</v>
      </c>
      <c r="F852" s="2" t="s">
        <v>26</v>
      </c>
      <c r="G852" s="2" t="s">
        <v>14</v>
      </c>
      <c r="H852" s="4">
        <v>49843</v>
      </c>
      <c r="I852" s="4">
        <v>57500</v>
      </c>
    </row>
    <row r="853" spans="1:9" x14ac:dyDescent="0.3">
      <c r="A853" s="2" t="s">
        <v>885</v>
      </c>
      <c r="B853" s="3">
        <v>45777</v>
      </c>
      <c r="C853" s="2" t="s">
        <v>10</v>
      </c>
      <c r="D853" s="2" t="s">
        <v>11</v>
      </c>
      <c r="E853" s="2" t="s">
        <v>12</v>
      </c>
      <c r="F853" s="2" t="s">
        <v>26</v>
      </c>
      <c r="G853" s="2" t="s">
        <v>14</v>
      </c>
      <c r="H853" s="4">
        <v>189084</v>
      </c>
      <c r="I853" s="4">
        <v>204700</v>
      </c>
    </row>
    <row r="854" spans="1:9" x14ac:dyDescent="0.3">
      <c r="A854" s="2" t="s">
        <v>886</v>
      </c>
      <c r="B854" s="3">
        <v>45777</v>
      </c>
      <c r="C854" s="2" t="s">
        <v>16</v>
      </c>
      <c r="D854" s="2" t="s">
        <v>11</v>
      </c>
      <c r="E854" s="2" t="s">
        <v>17</v>
      </c>
      <c r="F854" s="2" t="s">
        <v>39</v>
      </c>
      <c r="G854" s="2" t="s">
        <v>19</v>
      </c>
      <c r="H854" s="4">
        <v>116832</v>
      </c>
      <c r="I854" s="4">
        <v>104400</v>
      </c>
    </row>
    <row r="855" spans="1:9" x14ac:dyDescent="0.3">
      <c r="A855" s="2" t="s">
        <v>887</v>
      </c>
      <c r="B855" s="3">
        <v>45777</v>
      </c>
      <c r="C855" s="2" t="s">
        <v>21</v>
      </c>
      <c r="D855" s="2" t="s">
        <v>11</v>
      </c>
      <c r="E855" s="2" t="s">
        <v>22</v>
      </c>
      <c r="F855" s="2" t="s">
        <v>13</v>
      </c>
      <c r="G855" s="2" t="s">
        <v>14</v>
      </c>
      <c r="H855" s="4">
        <v>34792</v>
      </c>
      <c r="I855" s="4">
        <v>34400</v>
      </c>
    </row>
    <row r="856" spans="1:9" x14ac:dyDescent="0.3">
      <c r="A856" s="2" t="s">
        <v>888</v>
      </c>
      <c r="B856" s="3">
        <v>45777</v>
      </c>
      <c r="C856" s="2" t="s">
        <v>55</v>
      </c>
      <c r="D856" s="2" t="s">
        <v>11</v>
      </c>
      <c r="E856" s="2" t="s">
        <v>37</v>
      </c>
      <c r="F856" s="2" t="s">
        <v>26</v>
      </c>
      <c r="G856" s="2" t="s">
        <v>14</v>
      </c>
      <c r="H856" s="4">
        <v>99480</v>
      </c>
      <c r="I856" s="4">
        <v>89800</v>
      </c>
    </row>
    <row r="857" spans="1:9" x14ac:dyDescent="0.3">
      <c r="A857" s="2" t="s">
        <v>889</v>
      </c>
      <c r="B857" s="3">
        <v>45778</v>
      </c>
      <c r="C857" s="2" t="s">
        <v>62</v>
      </c>
      <c r="D857" s="2" t="s">
        <v>11</v>
      </c>
      <c r="E857" s="2" t="s">
        <v>22</v>
      </c>
      <c r="F857" s="2" t="s">
        <v>37</v>
      </c>
      <c r="G857" s="2" t="s">
        <v>14</v>
      </c>
      <c r="H857" s="4">
        <v>172607</v>
      </c>
      <c r="I857" s="4">
        <v>184000</v>
      </c>
    </row>
    <row r="858" spans="1:9" x14ac:dyDescent="0.3">
      <c r="A858" s="2" t="s">
        <v>890</v>
      </c>
      <c r="B858" s="3">
        <v>45778</v>
      </c>
      <c r="C858" s="2" t="s">
        <v>62</v>
      </c>
      <c r="D858" s="2" t="s">
        <v>11</v>
      </c>
      <c r="E858" s="2" t="s">
        <v>22</v>
      </c>
      <c r="F858" s="2" t="s">
        <v>59</v>
      </c>
      <c r="G858" s="2" t="s">
        <v>14</v>
      </c>
      <c r="H858" s="4">
        <v>245815</v>
      </c>
      <c r="I858" s="4">
        <v>276200</v>
      </c>
    </row>
    <row r="859" spans="1:9" x14ac:dyDescent="0.3">
      <c r="A859" s="2" t="s">
        <v>891</v>
      </c>
      <c r="B859" s="3">
        <v>45778</v>
      </c>
      <c r="C859" s="2" t="s">
        <v>10</v>
      </c>
      <c r="D859" s="2" t="s">
        <v>11</v>
      </c>
      <c r="E859" s="2" t="s">
        <v>12</v>
      </c>
      <c r="F859" s="2" t="s">
        <v>18</v>
      </c>
      <c r="G859" s="2" t="s">
        <v>19</v>
      </c>
      <c r="H859" s="4">
        <v>96352</v>
      </c>
      <c r="I859" s="4">
        <v>110900</v>
      </c>
    </row>
    <row r="860" spans="1:9" x14ac:dyDescent="0.3">
      <c r="A860" s="2" t="s">
        <v>892</v>
      </c>
      <c r="B860" s="3">
        <v>45778</v>
      </c>
      <c r="C860" s="2" t="s">
        <v>10</v>
      </c>
      <c r="D860" s="2" t="s">
        <v>11</v>
      </c>
      <c r="E860" s="2" t="s">
        <v>12</v>
      </c>
      <c r="F860" s="2" t="s">
        <v>33</v>
      </c>
      <c r="G860" s="2" t="s">
        <v>19</v>
      </c>
      <c r="H860" s="4">
        <v>45131</v>
      </c>
      <c r="I860" s="4">
        <v>33300</v>
      </c>
    </row>
    <row r="861" spans="1:9" x14ac:dyDescent="0.3">
      <c r="A861" s="2" t="s">
        <v>893</v>
      </c>
      <c r="B861" s="3">
        <v>45778</v>
      </c>
      <c r="C861" s="2" t="s">
        <v>16</v>
      </c>
      <c r="D861" s="2" t="s">
        <v>11</v>
      </c>
      <c r="E861" s="2" t="s">
        <v>17</v>
      </c>
      <c r="F861" s="2" t="s">
        <v>56</v>
      </c>
      <c r="G861" s="2" t="s">
        <v>19</v>
      </c>
      <c r="H861" s="4">
        <v>99693</v>
      </c>
      <c r="I861" s="4">
        <v>99700</v>
      </c>
    </row>
    <row r="862" spans="1:9" x14ac:dyDescent="0.3">
      <c r="A862" s="2" t="s">
        <v>894</v>
      </c>
      <c r="B862" s="3">
        <v>45778</v>
      </c>
      <c r="C862" s="2" t="s">
        <v>16</v>
      </c>
      <c r="D862" s="2" t="s">
        <v>11</v>
      </c>
      <c r="E862" s="2" t="s">
        <v>17</v>
      </c>
      <c r="F862" s="2" t="s">
        <v>42</v>
      </c>
      <c r="G862" s="2" t="s">
        <v>19</v>
      </c>
      <c r="H862" s="4">
        <v>13302</v>
      </c>
      <c r="I862" s="4">
        <v>13200</v>
      </c>
    </row>
    <row r="863" spans="1:9" x14ac:dyDescent="0.3">
      <c r="A863" s="2" t="s">
        <v>895</v>
      </c>
      <c r="B863" s="3">
        <v>45778</v>
      </c>
      <c r="C863" s="2" t="s">
        <v>16</v>
      </c>
      <c r="D863" s="2" t="s">
        <v>11</v>
      </c>
      <c r="E863" s="2" t="s">
        <v>17</v>
      </c>
      <c r="F863" s="2" t="s">
        <v>46</v>
      </c>
      <c r="G863" s="2" t="s">
        <v>19</v>
      </c>
      <c r="H863" s="4">
        <v>57410</v>
      </c>
      <c r="I863" s="4">
        <v>55700</v>
      </c>
    </row>
    <row r="864" spans="1:9" x14ac:dyDescent="0.3">
      <c r="A864" s="2" t="s">
        <v>896</v>
      </c>
      <c r="B864" s="3">
        <v>45778</v>
      </c>
      <c r="C864" s="2" t="s">
        <v>16</v>
      </c>
      <c r="D864" s="2" t="s">
        <v>11</v>
      </c>
      <c r="E864" s="2" t="s">
        <v>17</v>
      </c>
      <c r="F864" s="2" t="s">
        <v>42</v>
      </c>
      <c r="G864" s="2" t="s">
        <v>19</v>
      </c>
      <c r="H864" s="4">
        <v>25891</v>
      </c>
      <c r="I864" s="4">
        <v>26000</v>
      </c>
    </row>
    <row r="865" spans="1:9" x14ac:dyDescent="0.3">
      <c r="A865" s="2" t="s">
        <v>897</v>
      </c>
      <c r="B865" s="3">
        <v>45778</v>
      </c>
      <c r="C865" s="2" t="s">
        <v>16</v>
      </c>
      <c r="D865" s="2" t="s">
        <v>11</v>
      </c>
      <c r="E865" s="2" t="s">
        <v>17</v>
      </c>
      <c r="F865" s="2" t="s">
        <v>23</v>
      </c>
      <c r="G865" s="2" t="s">
        <v>14</v>
      </c>
      <c r="H865" s="4">
        <v>69912</v>
      </c>
      <c r="I865" s="4">
        <v>67700</v>
      </c>
    </row>
    <row r="866" spans="1:9" x14ac:dyDescent="0.3">
      <c r="A866" s="2" t="s">
        <v>898</v>
      </c>
      <c r="B866" s="3">
        <v>45778</v>
      </c>
      <c r="C866" s="2" t="s">
        <v>21</v>
      </c>
      <c r="D866" s="2" t="s">
        <v>11</v>
      </c>
      <c r="E866" s="2" t="s">
        <v>22</v>
      </c>
      <c r="F866" s="2" t="s">
        <v>13</v>
      </c>
      <c r="G866" s="2" t="s">
        <v>14</v>
      </c>
      <c r="H866" s="4">
        <v>83491</v>
      </c>
      <c r="I866" s="4">
        <v>96500</v>
      </c>
    </row>
    <row r="867" spans="1:9" x14ac:dyDescent="0.3">
      <c r="A867" s="2" t="s">
        <v>899</v>
      </c>
      <c r="B867" s="3">
        <v>45778</v>
      </c>
      <c r="C867" s="2" t="s">
        <v>21</v>
      </c>
      <c r="D867" s="2" t="s">
        <v>11</v>
      </c>
      <c r="E867" s="2" t="s">
        <v>22</v>
      </c>
      <c r="F867" s="2" t="s">
        <v>37</v>
      </c>
      <c r="G867" s="2" t="s">
        <v>14</v>
      </c>
      <c r="H867" s="4">
        <v>184863</v>
      </c>
      <c r="I867" s="4">
        <v>194400</v>
      </c>
    </row>
    <row r="868" spans="1:9" x14ac:dyDescent="0.3">
      <c r="A868" s="2" t="s">
        <v>900</v>
      </c>
      <c r="B868" s="3">
        <v>45778</v>
      </c>
      <c r="C868" s="2" t="s">
        <v>21</v>
      </c>
      <c r="D868" s="2" t="s">
        <v>11</v>
      </c>
      <c r="E868" s="2" t="s">
        <v>22</v>
      </c>
      <c r="F868" s="2" t="s">
        <v>12</v>
      </c>
      <c r="G868" s="2" t="s">
        <v>14</v>
      </c>
      <c r="H868" s="4">
        <v>101928</v>
      </c>
      <c r="I868" s="4">
        <v>130600</v>
      </c>
    </row>
    <row r="869" spans="1:9" x14ac:dyDescent="0.3">
      <c r="A869" s="2" t="s">
        <v>901</v>
      </c>
      <c r="B869" s="3">
        <v>45778</v>
      </c>
      <c r="C869" s="2" t="s">
        <v>25</v>
      </c>
      <c r="D869" s="2" t="s">
        <v>11</v>
      </c>
      <c r="E869" s="2" t="s">
        <v>22</v>
      </c>
      <c r="F869" s="2" t="s">
        <v>13</v>
      </c>
      <c r="G869" s="2" t="s">
        <v>14</v>
      </c>
      <c r="H869" s="4">
        <v>49130</v>
      </c>
      <c r="I869" s="4">
        <v>53700</v>
      </c>
    </row>
    <row r="870" spans="1:9" x14ac:dyDescent="0.3">
      <c r="A870" s="2" t="s">
        <v>902</v>
      </c>
      <c r="B870" s="3">
        <v>45778</v>
      </c>
      <c r="C870" s="2" t="s">
        <v>25</v>
      </c>
      <c r="D870" s="2" t="s">
        <v>11</v>
      </c>
      <c r="E870" s="2" t="s">
        <v>22</v>
      </c>
      <c r="F870" s="2" t="s">
        <v>12</v>
      </c>
      <c r="G870" s="2" t="s">
        <v>14</v>
      </c>
      <c r="H870" s="4">
        <v>184408</v>
      </c>
      <c r="I870" s="4">
        <v>171100</v>
      </c>
    </row>
    <row r="871" spans="1:9" x14ac:dyDescent="0.3">
      <c r="A871" s="2" t="s">
        <v>903</v>
      </c>
      <c r="B871" s="3">
        <v>45778</v>
      </c>
      <c r="C871" s="2" t="s">
        <v>31</v>
      </c>
      <c r="D871" s="2" t="s">
        <v>11</v>
      </c>
      <c r="E871" s="2" t="s">
        <v>17</v>
      </c>
      <c r="F871" s="2" t="s">
        <v>37</v>
      </c>
      <c r="G871" s="2" t="s">
        <v>14</v>
      </c>
      <c r="H871" s="4">
        <v>33623</v>
      </c>
      <c r="I871" s="4">
        <v>33300</v>
      </c>
    </row>
    <row r="872" spans="1:9" x14ac:dyDescent="0.3">
      <c r="A872" s="2" t="s">
        <v>904</v>
      </c>
      <c r="B872" s="3">
        <v>45778</v>
      </c>
      <c r="C872" s="2" t="s">
        <v>55</v>
      </c>
      <c r="D872" s="2" t="s">
        <v>11</v>
      </c>
      <c r="E872" s="2" t="s">
        <v>37</v>
      </c>
      <c r="F872" s="2" t="s">
        <v>42</v>
      </c>
      <c r="G872" s="2" t="s">
        <v>19</v>
      </c>
      <c r="H872" s="4">
        <v>96562</v>
      </c>
      <c r="I872" s="4">
        <v>104200</v>
      </c>
    </row>
    <row r="873" spans="1:9" x14ac:dyDescent="0.3">
      <c r="A873" s="2" t="s">
        <v>905</v>
      </c>
      <c r="B873" s="3">
        <v>45779</v>
      </c>
      <c r="C873" s="2" t="s">
        <v>62</v>
      </c>
      <c r="D873" s="2" t="s">
        <v>11</v>
      </c>
      <c r="E873" s="2" t="s">
        <v>22</v>
      </c>
      <c r="F873" s="2" t="s">
        <v>42</v>
      </c>
      <c r="G873" s="2" t="s">
        <v>19</v>
      </c>
      <c r="H873" s="4">
        <v>38020</v>
      </c>
      <c r="I873" s="4">
        <v>34500</v>
      </c>
    </row>
    <row r="874" spans="1:9" x14ac:dyDescent="0.3">
      <c r="A874" s="2" t="s">
        <v>906</v>
      </c>
      <c r="B874" s="3">
        <v>45779</v>
      </c>
      <c r="C874" s="2" t="s">
        <v>62</v>
      </c>
      <c r="D874" s="2" t="s">
        <v>11</v>
      </c>
      <c r="E874" s="2" t="s">
        <v>22</v>
      </c>
      <c r="F874" s="2" t="s">
        <v>23</v>
      </c>
      <c r="G874" s="2" t="s">
        <v>14</v>
      </c>
      <c r="H874" s="4">
        <v>136187</v>
      </c>
      <c r="I874" s="4">
        <v>141500</v>
      </c>
    </row>
    <row r="875" spans="1:9" x14ac:dyDescent="0.3">
      <c r="A875" s="2" t="s">
        <v>907</v>
      </c>
      <c r="B875" s="3">
        <v>45779</v>
      </c>
      <c r="C875" s="2" t="s">
        <v>36</v>
      </c>
      <c r="D875" s="2" t="s">
        <v>11</v>
      </c>
      <c r="E875" s="2" t="s">
        <v>37</v>
      </c>
      <c r="F875" s="2" t="s">
        <v>46</v>
      </c>
      <c r="G875" s="2" t="s">
        <v>19</v>
      </c>
      <c r="H875" s="4">
        <v>44256</v>
      </c>
      <c r="I875" s="4">
        <v>44300</v>
      </c>
    </row>
    <row r="876" spans="1:9" x14ac:dyDescent="0.3">
      <c r="A876" s="2" t="s">
        <v>908</v>
      </c>
      <c r="B876" s="3">
        <v>45779</v>
      </c>
      <c r="C876" s="2" t="s">
        <v>21</v>
      </c>
      <c r="D876" s="2" t="s">
        <v>11</v>
      </c>
      <c r="E876" s="2" t="s">
        <v>22</v>
      </c>
      <c r="F876" s="2" t="s">
        <v>42</v>
      </c>
      <c r="G876" s="2" t="s">
        <v>19</v>
      </c>
      <c r="H876" s="4">
        <v>117153</v>
      </c>
      <c r="I876" s="4">
        <v>113500</v>
      </c>
    </row>
    <row r="877" spans="1:9" x14ac:dyDescent="0.3">
      <c r="A877" s="2" t="s">
        <v>909</v>
      </c>
      <c r="B877" s="3">
        <v>45779</v>
      </c>
      <c r="C877" s="2" t="s">
        <v>25</v>
      </c>
      <c r="D877" s="2" t="s">
        <v>11</v>
      </c>
      <c r="E877" s="2" t="s">
        <v>22</v>
      </c>
      <c r="F877" s="2" t="s">
        <v>12</v>
      </c>
      <c r="G877" s="2" t="s">
        <v>14</v>
      </c>
      <c r="H877" s="4">
        <v>155218</v>
      </c>
      <c r="I877" s="4">
        <v>158000</v>
      </c>
    </row>
    <row r="878" spans="1:9" x14ac:dyDescent="0.3">
      <c r="A878" s="2" t="s">
        <v>910</v>
      </c>
      <c r="B878" s="3">
        <v>45779</v>
      </c>
      <c r="C878" s="2" t="s">
        <v>55</v>
      </c>
      <c r="D878" s="2" t="s">
        <v>11</v>
      </c>
      <c r="E878" s="2" t="s">
        <v>37</v>
      </c>
      <c r="F878" s="2" t="s">
        <v>33</v>
      </c>
      <c r="G878" s="2" t="s">
        <v>19</v>
      </c>
      <c r="H878" s="4">
        <v>14821</v>
      </c>
      <c r="I878" s="4">
        <v>14900</v>
      </c>
    </row>
    <row r="879" spans="1:9" x14ac:dyDescent="0.3">
      <c r="A879" s="2" t="s">
        <v>911</v>
      </c>
      <c r="B879" s="3">
        <v>45779</v>
      </c>
      <c r="C879" s="2" t="s">
        <v>55</v>
      </c>
      <c r="D879" s="2" t="s">
        <v>11</v>
      </c>
      <c r="E879" s="2" t="s">
        <v>37</v>
      </c>
      <c r="F879" s="2" t="s">
        <v>46</v>
      </c>
      <c r="G879" s="2" t="s">
        <v>19</v>
      </c>
      <c r="H879" s="4">
        <v>55676</v>
      </c>
      <c r="I879" s="4">
        <v>56300</v>
      </c>
    </row>
    <row r="880" spans="1:9" x14ac:dyDescent="0.3">
      <c r="A880" s="2" t="s">
        <v>912</v>
      </c>
      <c r="B880" s="3">
        <v>45780</v>
      </c>
      <c r="C880" s="2" t="s">
        <v>10</v>
      </c>
      <c r="D880" s="2" t="s">
        <v>11</v>
      </c>
      <c r="E880" s="2" t="s">
        <v>12</v>
      </c>
      <c r="F880" s="2" t="s">
        <v>33</v>
      </c>
      <c r="G880" s="2" t="s">
        <v>19</v>
      </c>
      <c r="H880" s="4">
        <v>27737</v>
      </c>
      <c r="I880" s="4">
        <v>31300</v>
      </c>
    </row>
    <row r="881" spans="1:9" x14ac:dyDescent="0.3">
      <c r="A881" s="2" t="s">
        <v>913</v>
      </c>
      <c r="B881" s="3">
        <v>45780</v>
      </c>
      <c r="C881" s="2" t="s">
        <v>10</v>
      </c>
      <c r="D881" s="2" t="s">
        <v>11</v>
      </c>
      <c r="E881" s="2" t="s">
        <v>12</v>
      </c>
      <c r="F881" s="2" t="s">
        <v>33</v>
      </c>
      <c r="G881" s="2" t="s">
        <v>19</v>
      </c>
      <c r="H881" s="4">
        <v>85210</v>
      </c>
      <c r="I881" s="4">
        <v>90400</v>
      </c>
    </row>
    <row r="882" spans="1:9" x14ac:dyDescent="0.3">
      <c r="A882" s="2" t="s">
        <v>914</v>
      </c>
      <c r="B882" s="3">
        <v>45780</v>
      </c>
      <c r="C882" s="2" t="s">
        <v>16</v>
      </c>
      <c r="D882" s="2" t="s">
        <v>11</v>
      </c>
      <c r="E882" s="2" t="s">
        <v>17</v>
      </c>
      <c r="F882" s="2" t="s">
        <v>23</v>
      </c>
      <c r="G882" s="2" t="s">
        <v>14</v>
      </c>
      <c r="H882" s="4">
        <v>212489</v>
      </c>
      <c r="I882" s="4">
        <v>216600</v>
      </c>
    </row>
    <row r="883" spans="1:9" x14ac:dyDescent="0.3">
      <c r="A883" s="2" t="s">
        <v>915</v>
      </c>
      <c r="B883" s="3">
        <v>45780</v>
      </c>
      <c r="C883" s="2" t="s">
        <v>36</v>
      </c>
      <c r="D883" s="2" t="s">
        <v>11</v>
      </c>
      <c r="E883" s="2" t="s">
        <v>37</v>
      </c>
      <c r="F883" s="2" t="s">
        <v>18</v>
      </c>
      <c r="G883" s="2" t="s">
        <v>19</v>
      </c>
      <c r="H883" s="4">
        <v>14382</v>
      </c>
      <c r="I883" s="4">
        <v>13500</v>
      </c>
    </row>
    <row r="884" spans="1:9" x14ac:dyDescent="0.3">
      <c r="A884" s="2" t="s">
        <v>916</v>
      </c>
      <c r="B884" s="3">
        <v>45780</v>
      </c>
      <c r="C884" s="2" t="s">
        <v>21</v>
      </c>
      <c r="D884" s="2" t="s">
        <v>11</v>
      </c>
      <c r="E884" s="2" t="s">
        <v>22</v>
      </c>
      <c r="F884" s="2" t="s">
        <v>13</v>
      </c>
      <c r="G884" s="2" t="s">
        <v>14</v>
      </c>
      <c r="H884" s="4">
        <v>242678</v>
      </c>
      <c r="I884" s="4">
        <v>266300</v>
      </c>
    </row>
    <row r="885" spans="1:9" x14ac:dyDescent="0.3">
      <c r="A885" s="2" t="s">
        <v>917</v>
      </c>
      <c r="B885" s="3">
        <v>45780</v>
      </c>
      <c r="C885" s="2" t="s">
        <v>21</v>
      </c>
      <c r="D885" s="2" t="s">
        <v>11</v>
      </c>
      <c r="E885" s="2" t="s">
        <v>22</v>
      </c>
      <c r="F885" s="2" t="s">
        <v>37</v>
      </c>
      <c r="G885" s="2" t="s">
        <v>14</v>
      </c>
      <c r="H885" s="4">
        <v>159952</v>
      </c>
      <c r="I885" s="4">
        <v>149900</v>
      </c>
    </row>
    <row r="886" spans="1:9" x14ac:dyDescent="0.3">
      <c r="A886" s="2" t="s">
        <v>918</v>
      </c>
      <c r="B886" s="3">
        <v>45781</v>
      </c>
      <c r="C886" s="2" t="s">
        <v>62</v>
      </c>
      <c r="D886" s="2" t="s">
        <v>11</v>
      </c>
      <c r="E886" s="2" t="s">
        <v>22</v>
      </c>
      <c r="F886" s="2" t="s">
        <v>33</v>
      </c>
      <c r="G886" s="2" t="s">
        <v>19</v>
      </c>
      <c r="H886" s="4">
        <v>62678</v>
      </c>
      <c r="I886" s="4">
        <v>63400</v>
      </c>
    </row>
    <row r="887" spans="1:9" x14ac:dyDescent="0.3">
      <c r="A887" s="2" t="s">
        <v>919</v>
      </c>
      <c r="B887" s="3">
        <v>45781</v>
      </c>
      <c r="C887" s="2" t="s">
        <v>16</v>
      </c>
      <c r="D887" s="2" t="s">
        <v>11</v>
      </c>
      <c r="E887" s="2" t="s">
        <v>17</v>
      </c>
      <c r="F887" s="2" t="s">
        <v>33</v>
      </c>
      <c r="G887" s="2" t="s">
        <v>19</v>
      </c>
      <c r="H887" s="4">
        <v>57590</v>
      </c>
      <c r="I887" s="4">
        <v>54900</v>
      </c>
    </row>
    <row r="888" spans="1:9" x14ac:dyDescent="0.3">
      <c r="A888" s="2" t="s">
        <v>920</v>
      </c>
      <c r="B888" s="3">
        <v>45781</v>
      </c>
      <c r="C888" s="2" t="s">
        <v>36</v>
      </c>
      <c r="D888" s="2" t="s">
        <v>11</v>
      </c>
      <c r="E888" s="2" t="s">
        <v>37</v>
      </c>
      <c r="F888" s="2" t="s">
        <v>12</v>
      </c>
      <c r="G888" s="2" t="s">
        <v>14</v>
      </c>
      <c r="H888" s="4">
        <v>177466</v>
      </c>
      <c r="I888" s="4">
        <v>156600</v>
      </c>
    </row>
    <row r="889" spans="1:9" x14ac:dyDescent="0.3">
      <c r="A889" s="2" t="s">
        <v>921</v>
      </c>
      <c r="B889" s="3">
        <v>45781</v>
      </c>
      <c r="C889" s="2" t="s">
        <v>36</v>
      </c>
      <c r="D889" s="2" t="s">
        <v>11</v>
      </c>
      <c r="E889" s="2" t="s">
        <v>37</v>
      </c>
      <c r="F889" s="2" t="s">
        <v>23</v>
      </c>
      <c r="G889" s="2" t="s">
        <v>14</v>
      </c>
      <c r="H889" s="4">
        <v>26985</v>
      </c>
      <c r="I889" s="4">
        <v>29300</v>
      </c>
    </row>
    <row r="890" spans="1:9" x14ac:dyDescent="0.3">
      <c r="A890" s="2" t="s">
        <v>922</v>
      </c>
      <c r="B890" s="3">
        <v>45781</v>
      </c>
      <c r="C890" s="2" t="s">
        <v>31</v>
      </c>
      <c r="D890" s="2" t="s">
        <v>11</v>
      </c>
      <c r="E890" s="2" t="s">
        <v>17</v>
      </c>
      <c r="F890" s="2" t="s">
        <v>59</v>
      </c>
      <c r="G890" s="2" t="s">
        <v>14</v>
      </c>
      <c r="H890" s="4">
        <v>170892</v>
      </c>
      <c r="I890" s="4">
        <v>192400</v>
      </c>
    </row>
    <row r="891" spans="1:9" x14ac:dyDescent="0.3">
      <c r="A891" s="2" t="s">
        <v>923</v>
      </c>
      <c r="B891" s="3">
        <v>45781</v>
      </c>
      <c r="C891" s="2" t="s">
        <v>55</v>
      </c>
      <c r="D891" s="2" t="s">
        <v>11</v>
      </c>
      <c r="E891" s="2" t="s">
        <v>37</v>
      </c>
      <c r="F891" s="2" t="s">
        <v>13</v>
      </c>
      <c r="G891" s="2" t="s">
        <v>14</v>
      </c>
      <c r="H891" s="4">
        <v>174832</v>
      </c>
      <c r="I891" s="4">
        <v>147300</v>
      </c>
    </row>
    <row r="892" spans="1:9" x14ac:dyDescent="0.3">
      <c r="A892" s="2" t="s">
        <v>924</v>
      </c>
      <c r="B892" s="3">
        <v>45782</v>
      </c>
      <c r="C892" s="2" t="s">
        <v>62</v>
      </c>
      <c r="D892" s="2" t="s">
        <v>11</v>
      </c>
      <c r="E892" s="2" t="s">
        <v>22</v>
      </c>
      <c r="F892" s="2" t="s">
        <v>56</v>
      </c>
      <c r="G892" s="2" t="s">
        <v>19</v>
      </c>
      <c r="H892" s="4">
        <v>103027</v>
      </c>
      <c r="I892" s="4">
        <v>103800</v>
      </c>
    </row>
    <row r="893" spans="1:9" x14ac:dyDescent="0.3">
      <c r="A893" s="2" t="s">
        <v>925</v>
      </c>
      <c r="B893" s="3">
        <v>45782</v>
      </c>
      <c r="C893" s="2" t="s">
        <v>62</v>
      </c>
      <c r="D893" s="2" t="s">
        <v>11</v>
      </c>
      <c r="E893" s="2" t="s">
        <v>22</v>
      </c>
      <c r="F893" s="2" t="s">
        <v>23</v>
      </c>
      <c r="G893" s="2" t="s">
        <v>14</v>
      </c>
      <c r="H893" s="4">
        <v>73688</v>
      </c>
      <c r="I893" s="4">
        <v>70100</v>
      </c>
    </row>
    <row r="894" spans="1:9" x14ac:dyDescent="0.3">
      <c r="A894" s="2" t="s">
        <v>926</v>
      </c>
      <c r="B894" s="3">
        <v>45782</v>
      </c>
      <c r="C894" s="2" t="s">
        <v>10</v>
      </c>
      <c r="D894" s="2" t="s">
        <v>11</v>
      </c>
      <c r="E894" s="2" t="s">
        <v>12</v>
      </c>
      <c r="F894" s="2" t="s">
        <v>39</v>
      </c>
      <c r="G894" s="2" t="s">
        <v>19</v>
      </c>
      <c r="H894" s="4">
        <v>101750</v>
      </c>
      <c r="I894" s="4">
        <v>103500</v>
      </c>
    </row>
    <row r="895" spans="1:9" x14ac:dyDescent="0.3">
      <c r="A895" s="2" t="s">
        <v>927</v>
      </c>
      <c r="B895" s="3">
        <v>45782</v>
      </c>
      <c r="C895" s="2" t="s">
        <v>16</v>
      </c>
      <c r="D895" s="2" t="s">
        <v>11</v>
      </c>
      <c r="E895" s="2" t="s">
        <v>17</v>
      </c>
      <c r="F895" s="2" t="s">
        <v>39</v>
      </c>
      <c r="G895" s="2" t="s">
        <v>19</v>
      </c>
      <c r="H895" s="4">
        <v>117074</v>
      </c>
      <c r="I895" s="4">
        <v>123000</v>
      </c>
    </row>
    <row r="896" spans="1:9" x14ac:dyDescent="0.3">
      <c r="A896" s="2" t="s">
        <v>928</v>
      </c>
      <c r="B896" s="3">
        <v>45782</v>
      </c>
      <c r="C896" s="2" t="s">
        <v>16</v>
      </c>
      <c r="D896" s="2" t="s">
        <v>11</v>
      </c>
      <c r="E896" s="2" t="s">
        <v>17</v>
      </c>
      <c r="F896" s="2" t="s">
        <v>46</v>
      </c>
      <c r="G896" s="2" t="s">
        <v>19</v>
      </c>
      <c r="H896" s="4">
        <v>116468</v>
      </c>
      <c r="I896" s="4">
        <v>122800</v>
      </c>
    </row>
    <row r="897" spans="1:9" x14ac:dyDescent="0.3">
      <c r="A897" s="2" t="s">
        <v>929</v>
      </c>
      <c r="B897" s="3">
        <v>45782</v>
      </c>
      <c r="C897" s="2" t="s">
        <v>21</v>
      </c>
      <c r="D897" s="2" t="s">
        <v>11</v>
      </c>
      <c r="E897" s="2" t="s">
        <v>22</v>
      </c>
      <c r="F897" s="2" t="s">
        <v>59</v>
      </c>
      <c r="G897" s="2" t="s">
        <v>14</v>
      </c>
      <c r="H897" s="4">
        <v>36211</v>
      </c>
      <c r="I897" s="4">
        <v>37000</v>
      </c>
    </row>
    <row r="898" spans="1:9" x14ac:dyDescent="0.3">
      <c r="A898" s="2" t="s">
        <v>930</v>
      </c>
      <c r="B898" s="3">
        <v>45782</v>
      </c>
      <c r="C898" s="2" t="s">
        <v>31</v>
      </c>
      <c r="D898" s="2" t="s">
        <v>11</v>
      </c>
      <c r="E898" s="2" t="s">
        <v>17</v>
      </c>
      <c r="F898" s="2" t="s">
        <v>33</v>
      </c>
      <c r="G898" s="2" t="s">
        <v>19</v>
      </c>
      <c r="H898" s="4">
        <v>29680</v>
      </c>
      <c r="I898" s="4">
        <v>30800</v>
      </c>
    </row>
    <row r="899" spans="1:9" x14ac:dyDescent="0.3">
      <c r="A899" s="2" t="s">
        <v>931</v>
      </c>
      <c r="B899" s="3">
        <v>45782</v>
      </c>
      <c r="C899" s="2" t="s">
        <v>31</v>
      </c>
      <c r="D899" s="2" t="s">
        <v>11</v>
      </c>
      <c r="E899" s="2" t="s">
        <v>17</v>
      </c>
      <c r="F899" s="2" t="s">
        <v>56</v>
      </c>
      <c r="G899" s="2" t="s">
        <v>19</v>
      </c>
      <c r="H899" s="4">
        <v>100584</v>
      </c>
      <c r="I899" s="4">
        <v>117400</v>
      </c>
    </row>
    <row r="900" spans="1:9" x14ac:dyDescent="0.3">
      <c r="A900" s="2" t="s">
        <v>932</v>
      </c>
      <c r="B900" s="3">
        <v>45782</v>
      </c>
      <c r="C900" s="2" t="s">
        <v>55</v>
      </c>
      <c r="D900" s="2" t="s">
        <v>11</v>
      </c>
      <c r="E900" s="2" t="s">
        <v>37</v>
      </c>
      <c r="F900" s="2" t="s">
        <v>13</v>
      </c>
      <c r="G900" s="2" t="s">
        <v>14</v>
      </c>
      <c r="H900" s="4">
        <v>40876</v>
      </c>
      <c r="I900" s="4">
        <v>35500</v>
      </c>
    </row>
    <row r="901" spans="1:9" x14ac:dyDescent="0.3">
      <c r="A901" s="2" t="s">
        <v>933</v>
      </c>
      <c r="B901" s="3">
        <v>45783</v>
      </c>
      <c r="C901" s="2" t="s">
        <v>36</v>
      </c>
      <c r="D901" s="2" t="s">
        <v>11</v>
      </c>
      <c r="E901" s="2" t="s">
        <v>37</v>
      </c>
      <c r="F901" s="2" t="s">
        <v>56</v>
      </c>
      <c r="G901" s="2" t="s">
        <v>19</v>
      </c>
      <c r="H901" s="4">
        <v>83353</v>
      </c>
      <c r="I901" s="4">
        <v>71700</v>
      </c>
    </row>
    <row r="902" spans="1:9" x14ac:dyDescent="0.3">
      <c r="A902" s="2" t="s">
        <v>934</v>
      </c>
      <c r="B902" s="3">
        <v>45783</v>
      </c>
      <c r="C902" s="2" t="s">
        <v>36</v>
      </c>
      <c r="D902" s="2" t="s">
        <v>11</v>
      </c>
      <c r="E902" s="2" t="s">
        <v>37</v>
      </c>
      <c r="F902" s="2" t="s">
        <v>18</v>
      </c>
      <c r="G902" s="2" t="s">
        <v>19</v>
      </c>
      <c r="H902" s="4">
        <v>98310</v>
      </c>
      <c r="I902" s="4">
        <v>83500</v>
      </c>
    </row>
    <row r="903" spans="1:9" x14ac:dyDescent="0.3">
      <c r="A903" s="2" t="s">
        <v>935</v>
      </c>
      <c r="B903" s="3">
        <v>45783</v>
      </c>
      <c r="C903" s="2" t="s">
        <v>21</v>
      </c>
      <c r="D903" s="2" t="s">
        <v>11</v>
      </c>
      <c r="E903" s="2" t="s">
        <v>22</v>
      </c>
      <c r="F903" s="2" t="s">
        <v>18</v>
      </c>
      <c r="G903" s="2" t="s">
        <v>19</v>
      </c>
      <c r="H903" s="4">
        <v>109405</v>
      </c>
      <c r="I903" s="4">
        <v>106000</v>
      </c>
    </row>
    <row r="904" spans="1:9" x14ac:dyDescent="0.3">
      <c r="A904" s="2" t="s">
        <v>936</v>
      </c>
      <c r="B904" s="3">
        <v>45784</v>
      </c>
      <c r="C904" s="2" t="s">
        <v>62</v>
      </c>
      <c r="D904" s="2" t="s">
        <v>11</v>
      </c>
      <c r="E904" s="2" t="s">
        <v>22</v>
      </c>
      <c r="F904" s="2" t="s">
        <v>39</v>
      </c>
      <c r="G904" s="2" t="s">
        <v>19</v>
      </c>
      <c r="H904" s="4">
        <v>59065</v>
      </c>
      <c r="I904" s="4">
        <v>51200</v>
      </c>
    </row>
    <row r="905" spans="1:9" x14ac:dyDescent="0.3">
      <c r="A905" s="2" t="s">
        <v>937</v>
      </c>
      <c r="B905" s="3">
        <v>45784</v>
      </c>
      <c r="C905" s="2" t="s">
        <v>16</v>
      </c>
      <c r="D905" s="2" t="s">
        <v>11</v>
      </c>
      <c r="E905" s="2" t="s">
        <v>17</v>
      </c>
      <c r="F905" s="2" t="s">
        <v>33</v>
      </c>
      <c r="G905" s="2" t="s">
        <v>19</v>
      </c>
      <c r="H905" s="4">
        <v>31686</v>
      </c>
      <c r="I905" s="4">
        <v>31400</v>
      </c>
    </row>
    <row r="906" spans="1:9" x14ac:dyDescent="0.3">
      <c r="A906" s="2" t="s">
        <v>938</v>
      </c>
      <c r="B906" s="3">
        <v>45784</v>
      </c>
      <c r="C906" s="2" t="s">
        <v>16</v>
      </c>
      <c r="D906" s="2" t="s">
        <v>11</v>
      </c>
      <c r="E906" s="2" t="s">
        <v>17</v>
      </c>
      <c r="F906" s="2" t="s">
        <v>26</v>
      </c>
      <c r="G906" s="2" t="s">
        <v>14</v>
      </c>
      <c r="H906" s="4">
        <v>145851</v>
      </c>
      <c r="I906" s="4">
        <v>151800</v>
      </c>
    </row>
    <row r="907" spans="1:9" x14ac:dyDescent="0.3">
      <c r="A907" s="2" t="s">
        <v>939</v>
      </c>
      <c r="B907" s="3">
        <v>45784</v>
      </c>
      <c r="C907" s="2" t="s">
        <v>16</v>
      </c>
      <c r="D907" s="2" t="s">
        <v>11</v>
      </c>
      <c r="E907" s="2" t="s">
        <v>17</v>
      </c>
      <c r="F907" s="2" t="s">
        <v>59</v>
      </c>
      <c r="G907" s="2" t="s">
        <v>14</v>
      </c>
      <c r="H907" s="4">
        <v>58149</v>
      </c>
      <c r="I907" s="4">
        <v>61100</v>
      </c>
    </row>
    <row r="908" spans="1:9" x14ac:dyDescent="0.3">
      <c r="A908" s="2" t="s">
        <v>940</v>
      </c>
      <c r="B908" s="3">
        <v>45784</v>
      </c>
      <c r="C908" s="2" t="s">
        <v>21</v>
      </c>
      <c r="D908" s="2" t="s">
        <v>11</v>
      </c>
      <c r="E908" s="2" t="s">
        <v>22</v>
      </c>
      <c r="F908" s="2" t="s">
        <v>56</v>
      </c>
      <c r="G908" s="2" t="s">
        <v>19</v>
      </c>
      <c r="H908" s="4">
        <v>109309</v>
      </c>
      <c r="I908" s="4">
        <v>113700</v>
      </c>
    </row>
    <row r="909" spans="1:9" x14ac:dyDescent="0.3">
      <c r="A909" s="2" t="s">
        <v>941</v>
      </c>
      <c r="B909" s="3">
        <v>45784</v>
      </c>
      <c r="C909" s="2" t="s">
        <v>25</v>
      </c>
      <c r="D909" s="2" t="s">
        <v>11</v>
      </c>
      <c r="E909" s="2" t="s">
        <v>22</v>
      </c>
      <c r="F909" s="2" t="s">
        <v>42</v>
      </c>
      <c r="G909" s="2" t="s">
        <v>19</v>
      </c>
      <c r="H909" s="4">
        <v>28706</v>
      </c>
      <c r="I909" s="4">
        <v>26900</v>
      </c>
    </row>
    <row r="910" spans="1:9" x14ac:dyDescent="0.3">
      <c r="A910" s="2" t="s">
        <v>942</v>
      </c>
      <c r="B910" s="3">
        <v>45785</v>
      </c>
      <c r="C910" s="2" t="s">
        <v>10</v>
      </c>
      <c r="D910" s="2" t="s">
        <v>11</v>
      </c>
      <c r="E910" s="2" t="s">
        <v>12</v>
      </c>
      <c r="F910" s="2" t="s">
        <v>37</v>
      </c>
      <c r="G910" s="2" t="s">
        <v>14</v>
      </c>
      <c r="H910" s="4">
        <v>179076</v>
      </c>
      <c r="I910" s="4">
        <v>191800</v>
      </c>
    </row>
    <row r="911" spans="1:9" x14ac:dyDescent="0.3">
      <c r="A911" s="2" t="s">
        <v>943</v>
      </c>
      <c r="B911" s="3">
        <v>45785</v>
      </c>
      <c r="C911" s="2" t="s">
        <v>16</v>
      </c>
      <c r="D911" s="2" t="s">
        <v>11</v>
      </c>
      <c r="E911" s="2" t="s">
        <v>17</v>
      </c>
      <c r="F911" s="2" t="s">
        <v>59</v>
      </c>
      <c r="G911" s="2" t="s">
        <v>14</v>
      </c>
      <c r="H911" s="4">
        <v>149623</v>
      </c>
      <c r="I911" s="4">
        <v>148300</v>
      </c>
    </row>
    <row r="912" spans="1:9" x14ac:dyDescent="0.3">
      <c r="A912" s="2" t="s">
        <v>944</v>
      </c>
      <c r="B912" s="3">
        <v>45785</v>
      </c>
      <c r="C912" s="2" t="s">
        <v>16</v>
      </c>
      <c r="D912" s="2" t="s">
        <v>11</v>
      </c>
      <c r="E912" s="2" t="s">
        <v>17</v>
      </c>
      <c r="F912" s="2" t="s">
        <v>37</v>
      </c>
      <c r="G912" s="2" t="s">
        <v>14</v>
      </c>
      <c r="H912" s="4">
        <v>45109</v>
      </c>
      <c r="I912" s="4">
        <v>43800</v>
      </c>
    </row>
    <row r="913" spans="1:9" x14ac:dyDescent="0.3">
      <c r="A913" s="2" t="s">
        <v>945</v>
      </c>
      <c r="B913" s="3">
        <v>45785</v>
      </c>
      <c r="C913" s="2" t="s">
        <v>25</v>
      </c>
      <c r="D913" s="2" t="s">
        <v>11</v>
      </c>
      <c r="E913" s="2" t="s">
        <v>22</v>
      </c>
      <c r="F913" s="2" t="s">
        <v>39</v>
      </c>
      <c r="G913" s="2" t="s">
        <v>19</v>
      </c>
      <c r="H913" s="4">
        <v>74598</v>
      </c>
      <c r="I913" s="4">
        <v>81800</v>
      </c>
    </row>
    <row r="914" spans="1:9" x14ac:dyDescent="0.3">
      <c r="A914" s="2" t="s">
        <v>946</v>
      </c>
      <c r="B914" s="3">
        <v>45785</v>
      </c>
      <c r="C914" s="2" t="s">
        <v>25</v>
      </c>
      <c r="D914" s="2" t="s">
        <v>11</v>
      </c>
      <c r="E914" s="2" t="s">
        <v>22</v>
      </c>
      <c r="F914" s="2" t="s">
        <v>23</v>
      </c>
      <c r="G914" s="2" t="s">
        <v>14</v>
      </c>
      <c r="H914" s="4">
        <v>200746</v>
      </c>
      <c r="I914" s="4">
        <v>222800</v>
      </c>
    </row>
    <row r="915" spans="1:9" x14ac:dyDescent="0.3">
      <c r="A915" s="2" t="s">
        <v>947</v>
      </c>
      <c r="B915" s="3">
        <v>45786</v>
      </c>
      <c r="C915" s="2" t="s">
        <v>62</v>
      </c>
      <c r="D915" s="2" t="s">
        <v>11</v>
      </c>
      <c r="E915" s="2" t="s">
        <v>22</v>
      </c>
      <c r="F915" s="2" t="s">
        <v>26</v>
      </c>
      <c r="G915" s="2" t="s">
        <v>14</v>
      </c>
      <c r="H915" s="4">
        <v>154180</v>
      </c>
      <c r="I915" s="4">
        <v>151300</v>
      </c>
    </row>
    <row r="916" spans="1:9" x14ac:dyDescent="0.3">
      <c r="A916" s="2" t="s">
        <v>948</v>
      </c>
      <c r="B916" s="3">
        <v>45786</v>
      </c>
      <c r="C916" s="2" t="s">
        <v>10</v>
      </c>
      <c r="D916" s="2" t="s">
        <v>11</v>
      </c>
      <c r="E916" s="2" t="s">
        <v>12</v>
      </c>
      <c r="F916" s="2" t="s">
        <v>33</v>
      </c>
      <c r="G916" s="2" t="s">
        <v>19</v>
      </c>
      <c r="H916" s="4">
        <v>71214</v>
      </c>
      <c r="I916" s="4">
        <v>69100</v>
      </c>
    </row>
    <row r="917" spans="1:9" x14ac:dyDescent="0.3">
      <c r="A917" s="2" t="s">
        <v>949</v>
      </c>
      <c r="B917" s="3">
        <v>45786</v>
      </c>
      <c r="C917" s="2" t="s">
        <v>10</v>
      </c>
      <c r="D917" s="2" t="s">
        <v>11</v>
      </c>
      <c r="E917" s="2" t="s">
        <v>12</v>
      </c>
      <c r="F917" s="2" t="s">
        <v>12</v>
      </c>
      <c r="G917" s="2" t="s">
        <v>14</v>
      </c>
      <c r="H917" s="4">
        <v>222100</v>
      </c>
      <c r="I917" s="4">
        <v>185100</v>
      </c>
    </row>
    <row r="918" spans="1:9" x14ac:dyDescent="0.3">
      <c r="A918" s="2" t="s">
        <v>950</v>
      </c>
      <c r="B918" s="3">
        <v>45786</v>
      </c>
      <c r="C918" s="2" t="s">
        <v>16</v>
      </c>
      <c r="D918" s="2" t="s">
        <v>11</v>
      </c>
      <c r="E918" s="2" t="s">
        <v>17</v>
      </c>
      <c r="F918" s="2" t="s">
        <v>33</v>
      </c>
      <c r="G918" s="2" t="s">
        <v>19</v>
      </c>
      <c r="H918" s="4">
        <v>58292</v>
      </c>
      <c r="I918" s="4">
        <v>57000</v>
      </c>
    </row>
    <row r="919" spans="1:9" x14ac:dyDescent="0.3">
      <c r="A919" s="2" t="s">
        <v>951</v>
      </c>
      <c r="B919" s="3">
        <v>45786</v>
      </c>
      <c r="C919" s="2" t="s">
        <v>16</v>
      </c>
      <c r="D919" s="2" t="s">
        <v>11</v>
      </c>
      <c r="E919" s="2" t="s">
        <v>17</v>
      </c>
      <c r="F919" s="2" t="s">
        <v>23</v>
      </c>
      <c r="G919" s="2" t="s">
        <v>14</v>
      </c>
      <c r="H919" s="4">
        <v>94386</v>
      </c>
      <c r="I919" s="4">
        <v>98900</v>
      </c>
    </row>
    <row r="920" spans="1:9" x14ac:dyDescent="0.3">
      <c r="A920" s="2" t="s">
        <v>952</v>
      </c>
      <c r="B920" s="3">
        <v>45786</v>
      </c>
      <c r="C920" s="2" t="s">
        <v>36</v>
      </c>
      <c r="D920" s="2" t="s">
        <v>11</v>
      </c>
      <c r="E920" s="2" t="s">
        <v>37</v>
      </c>
      <c r="F920" s="2" t="s">
        <v>23</v>
      </c>
      <c r="G920" s="2" t="s">
        <v>14</v>
      </c>
      <c r="H920" s="4">
        <v>75172</v>
      </c>
      <c r="I920" s="4">
        <v>80800</v>
      </c>
    </row>
    <row r="921" spans="1:9" x14ac:dyDescent="0.3">
      <c r="A921" s="2" t="s">
        <v>953</v>
      </c>
      <c r="B921" s="3">
        <v>45786</v>
      </c>
      <c r="C921" s="2" t="s">
        <v>21</v>
      </c>
      <c r="D921" s="2" t="s">
        <v>11</v>
      </c>
      <c r="E921" s="2" t="s">
        <v>22</v>
      </c>
      <c r="F921" s="2" t="s">
        <v>46</v>
      </c>
      <c r="G921" s="2" t="s">
        <v>19</v>
      </c>
      <c r="H921" s="4">
        <v>61124</v>
      </c>
      <c r="I921" s="4">
        <v>53600</v>
      </c>
    </row>
    <row r="922" spans="1:9" x14ac:dyDescent="0.3">
      <c r="A922" s="2" t="s">
        <v>954</v>
      </c>
      <c r="B922" s="3">
        <v>45786</v>
      </c>
      <c r="C922" s="2" t="s">
        <v>21</v>
      </c>
      <c r="D922" s="2" t="s">
        <v>11</v>
      </c>
      <c r="E922" s="2" t="s">
        <v>22</v>
      </c>
      <c r="F922" s="2" t="s">
        <v>26</v>
      </c>
      <c r="G922" s="2" t="s">
        <v>14</v>
      </c>
      <c r="H922" s="4">
        <v>224136</v>
      </c>
      <c r="I922" s="4">
        <v>221800</v>
      </c>
    </row>
    <row r="923" spans="1:9" x14ac:dyDescent="0.3">
      <c r="A923" s="2" t="s">
        <v>955</v>
      </c>
      <c r="B923" s="3">
        <v>45786</v>
      </c>
      <c r="C923" s="2" t="s">
        <v>21</v>
      </c>
      <c r="D923" s="2" t="s">
        <v>11</v>
      </c>
      <c r="E923" s="2" t="s">
        <v>22</v>
      </c>
      <c r="F923" s="2" t="s">
        <v>37</v>
      </c>
      <c r="G923" s="2" t="s">
        <v>14</v>
      </c>
      <c r="H923" s="4">
        <v>226727</v>
      </c>
      <c r="I923" s="4">
        <v>212700</v>
      </c>
    </row>
    <row r="924" spans="1:9" x14ac:dyDescent="0.3">
      <c r="A924" s="2" t="s">
        <v>956</v>
      </c>
      <c r="B924" s="3">
        <v>45786</v>
      </c>
      <c r="C924" s="2" t="s">
        <v>25</v>
      </c>
      <c r="D924" s="2" t="s">
        <v>11</v>
      </c>
      <c r="E924" s="2" t="s">
        <v>22</v>
      </c>
      <c r="F924" s="2" t="s">
        <v>26</v>
      </c>
      <c r="G924" s="2" t="s">
        <v>14</v>
      </c>
      <c r="H924" s="4">
        <v>123572</v>
      </c>
      <c r="I924" s="4">
        <v>107900</v>
      </c>
    </row>
    <row r="925" spans="1:9" x14ac:dyDescent="0.3">
      <c r="A925" s="2" t="s">
        <v>957</v>
      </c>
      <c r="B925" s="3">
        <v>45786</v>
      </c>
      <c r="C925" s="2" t="s">
        <v>31</v>
      </c>
      <c r="D925" s="2" t="s">
        <v>11</v>
      </c>
      <c r="E925" s="2" t="s">
        <v>17</v>
      </c>
      <c r="F925" s="2" t="s">
        <v>42</v>
      </c>
      <c r="G925" s="2" t="s">
        <v>19</v>
      </c>
      <c r="H925" s="4">
        <v>85973</v>
      </c>
      <c r="I925" s="4">
        <v>82200</v>
      </c>
    </row>
    <row r="926" spans="1:9" x14ac:dyDescent="0.3">
      <c r="A926" s="2" t="s">
        <v>958</v>
      </c>
      <c r="B926" s="3">
        <v>45786</v>
      </c>
      <c r="C926" s="2" t="s">
        <v>55</v>
      </c>
      <c r="D926" s="2" t="s">
        <v>11</v>
      </c>
      <c r="E926" s="2" t="s">
        <v>37</v>
      </c>
      <c r="F926" s="2" t="s">
        <v>18</v>
      </c>
      <c r="G926" s="2" t="s">
        <v>19</v>
      </c>
      <c r="H926" s="4">
        <v>53436</v>
      </c>
      <c r="I926" s="4">
        <v>55800</v>
      </c>
    </row>
    <row r="927" spans="1:9" x14ac:dyDescent="0.3">
      <c r="A927" s="2" t="s">
        <v>959</v>
      </c>
      <c r="B927" s="3">
        <v>45786</v>
      </c>
      <c r="C927" s="2" t="s">
        <v>55</v>
      </c>
      <c r="D927" s="2" t="s">
        <v>11</v>
      </c>
      <c r="E927" s="2" t="s">
        <v>37</v>
      </c>
      <c r="F927" s="2" t="s">
        <v>59</v>
      </c>
      <c r="G927" s="2" t="s">
        <v>14</v>
      </c>
      <c r="H927" s="4">
        <v>117221</v>
      </c>
      <c r="I927" s="4">
        <v>129600</v>
      </c>
    </row>
    <row r="928" spans="1:9" x14ac:dyDescent="0.3">
      <c r="A928" s="2" t="s">
        <v>960</v>
      </c>
      <c r="B928" s="3">
        <v>45786</v>
      </c>
      <c r="C928" s="2" t="s">
        <v>55</v>
      </c>
      <c r="D928" s="2" t="s">
        <v>11</v>
      </c>
      <c r="E928" s="2" t="s">
        <v>37</v>
      </c>
      <c r="F928" s="2" t="s">
        <v>12</v>
      </c>
      <c r="G928" s="2" t="s">
        <v>14</v>
      </c>
      <c r="H928" s="4">
        <v>192144</v>
      </c>
      <c r="I928" s="4">
        <v>169000</v>
      </c>
    </row>
    <row r="929" spans="1:9" x14ac:dyDescent="0.3">
      <c r="A929" s="2" t="s">
        <v>961</v>
      </c>
      <c r="B929" s="3">
        <v>45787</v>
      </c>
      <c r="C929" s="2" t="s">
        <v>62</v>
      </c>
      <c r="D929" s="2" t="s">
        <v>11</v>
      </c>
      <c r="E929" s="2" t="s">
        <v>22</v>
      </c>
      <c r="F929" s="2" t="s">
        <v>39</v>
      </c>
      <c r="G929" s="2" t="s">
        <v>19</v>
      </c>
      <c r="H929" s="4">
        <v>84190</v>
      </c>
      <c r="I929" s="4">
        <v>87400</v>
      </c>
    </row>
    <row r="930" spans="1:9" x14ac:dyDescent="0.3">
      <c r="A930" s="2" t="s">
        <v>962</v>
      </c>
      <c r="B930" s="3">
        <v>45787</v>
      </c>
      <c r="C930" s="2" t="s">
        <v>16</v>
      </c>
      <c r="D930" s="2" t="s">
        <v>11</v>
      </c>
      <c r="E930" s="2" t="s">
        <v>17</v>
      </c>
      <c r="F930" s="2" t="s">
        <v>18</v>
      </c>
      <c r="G930" s="2" t="s">
        <v>19</v>
      </c>
      <c r="H930" s="4">
        <v>18132</v>
      </c>
      <c r="I930" s="4">
        <v>16300</v>
      </c>
    </row>
    <row r="931" spans="1:9" x14ac:dyDescent="0.3">
      <c r="A931" s="2" t="s">
        <v>963</v>
      </c>
      <c r="B931" s="3">
        <v>45787</v>
      </c>
      <c r="C931" s="2" t="s">
        <v>25</v>
      </c>
      <c r="D931" s="2" t="s">
        <v>11</v>
      </c>
      <c r="E931" s="2" t="s">
        <v>22</v>
      </c>
      <c r="F931" s="2" t="s">
        <v>42</v>
      </c>
      <c r="G931" s="2" t="s">
        <v>19</v>
      </c>
      <c r="H931" s="4">
        <v>74007</v>
      </c>
      <c r="I931" s="4">
        <v>73900</v>
      </c>
    </row>
    <row r="932" spans="1:9" x14ac:dyDescent="0.3">
      <c r="A932" s="2" t="s">
        <v>964</v>
      </c>
      <c r="B932" s="3">
        <v>45787</v>
      </c>
      <c r="C932" s="2" t="s">
        <v>31</v>
      </c>
      <c r="D932" s="2" t="s">
        <v>11</v>
      </c>
      <c r="E932" s="2" t="s">
        <v>17</v>
      </c>
      <c r="F932" s="2" t="s">
        <v>46</v>
      </c>
      <c r="G932" s="2" t="s">
        <v>19</v>
      </c>
      <c r="H932" s="4">
        <v>73638</v>
      </c>
      <c r="I932" s="4">
        <v>70500</v>
      </c>
    </row>
    <row r="933" spans="1:9" x14ac:dyDescent="0.3">
      <c r="A933" s="2" t="s">
        <v>965</v>
      </c>
      <c r="B933" s="3">
        <v>45787</v>
      </c>
      <c r="C933" s="2" t="s">
        <v>55</v>
      </c>
      <c r="D933" s="2" t="s">
        <v>11</v>
      </c>
      <c r="E933" s="2" t="s">
        <v>37</v>
      </c>
      <c r="F933" s="2" t="s">
        <v>59</v>
      </c>
      <c r="G933" s="2" t="s">
        <v>14</v>
      </c>
      <c r="H933" s="4">
        <v>121211</v>
      </c>
      <c r="I933" s="4">
        <v>106300</v>
      </c>
    </row>
    <row r="934" spans="1:9" x14ac:dyDescent="0.3">
      <c r="A934" s="2" t="s">
        <v>966</v>
      </c>
      <c r="B934" s="3">
        <v>45787</v>
      </c>
      <c r="C934" s="2" t="s">
        <v>55</v>
      </c>
      <c r="D934" s="2" t="s">
        <v>11</v>
      </c>
      <c r="E934" s="2" t="s">
        <v>37</v>
      </c>
      <c r="F934" s="2" t="s">
        <v>12</v>
      </c>
      <c r="G934" s="2" t="s">
        <v>14</v>
      </c>
      <c r="H934" s="4">
        <v>216686</v>
      </c>
      <c r="I934" s="4">
        <v>203600</v>
      </c>
    </row>
    <row r="935" spans="1:9" x14ac:dyDescent="0.3">
      <c r="A935" s="2" t="s">
        <v>967</v>
      </c>
      <c r="B935" s="3">
        <v>45788</v>
      </c>
      <c r="C935" s="2" t="s">
        <v>62</v>
      </c>
      <c r="D935" s="2" t="s">
        <v>11</v>
      </c>
      <c r="E935" s="2" t="s">
        <v>22</v>
      </c>
      <c r="F935" s="2" t="s">
        <v>23</v>
      </c>
      <c r="G935" s="2" t="s">
        <v>14</v>
      </c>
      <c r="H935" s="4">
        <v>204127</v>
      </c>
      <c r="I935" s="4">
        <v>211100</v>
      </c>
    </row>
    <row r="936" spans="1:9" x14ac:dyDescent="0.3">
      <c r="A936" s="2" t="s">
        <v>968</v>
      </c>
      <c r="B936" s="3">
        <v>45788</v>
      </c>
      <c r="C936" s="2" t="s">
        <v>31</v>
      </c>
      <c r="D936" s="2" t="s">
        <v>11</v>
      </c>
      <c r="E936" s="2" t="s">
        <v>17</v>
      </c>
      <c r="F936" s="2" t="s">
        <v>12</v>
      </c>
      <c r="G936" s="2" t="s">
        <v>14</v>
      </c>
      <c r="H936" s="4">
        <v>81467</v>
      </c>
      <c r="I936" s="4">
        <v>85500</v>
      </c>
    </row>
    <row r="937" spans="1:9" x14ac:dyDescent="0.3">
      <c r="A937" s="2" t="s">
        <v>969</v>
      </c>
      <c r="B937" s="3">
        <v>45789</v>
      </c>
      <c r="C937" s="2" t="s">
        <v>62</v>
      </c>
      <c r="D937" s="2" t="s">
        <v>11</v>
      </c>
      <c r="E937" s="2" t="s">
        <v>22</v>
      </c>
      <c r="F937" s="2" t="s">
        <v>23</v>
      </c>
      <c r="G937" s="2" t="s">
        <v>14</v>
      </c>
      <c r="H937" s="4">
        <v>40072</v>
      </c>
      <c r="I937" s="4">
        <v>39200</v>
      </c>
    </row>
    <row r="938" spans="1:9" x14ac:dyDescent="0.3">
      <c r="A938" s="2" t="s">
        <v>970</v>
      </c>
      <c r="B938" s="3">
        <v>45789</v>
      </c>
      <c r="C938" s="2" t="s">
        <v>10</v>
      </c>
      <c r="D938" s="2" t="s">
        <v>11</v>
      </c>
      <c r="E938" s="2" t="s">
        <v>12</v>
      </c>
      <c r="F938" s="2" t="s">
        <v>13</v>
      </c>
      <c r="G938" s="2" t="s">
        <v>14</v>
      </c>
      <c r="H938" s="4">
        <v>35727</v>
      </c>
      <c r="I938" s="4">
        <v>29900</v>
      </c>
    </row>
    <row r="939" spans="1:9" x14ac:dyDescent="0.3">
      <c r="A939" s="2" t="s">
        <v>971</v>
      </c>
      <c r="B939" s="3">
        <v>45789</v>
      </c>
      <c r="C939" s="2" t="s">
        <v>10</v>
      </c>
      <c r="D939" s="2" t="s">
        <v>11</v>
      </c>
      <c r="E939" s="2" t="s">
        <v>12</v>
      </c>
      <c r="F939" s="2" t="s">
        <v>23</v>
      </c>
      <c r="G939" s="2" t="s">
        <v>14</v>
      </c>
      <c r="H939" s="4">
        <v>192431</v>
      </c>
      <c r="I939" s="4">
        <v>202300</v>
      </c>
    </row>
    <row r="940" spans="1:9" x14ac:dyDescent="0.3">
      <c r="A940" s="2" t="s">
        <v>972</v>
      </c>
      <c r="B940" s="3">
        <v>45789</v>
      </c>
      <c r="C940" s="2" t="s">
        <v>55</v>
      </c>
      <c r="D940" s="2" t="s">
        <v>11</v>
      </c>
      <c r="E940" s="2" t="s">
        <v>37</v>
      </c>
      <c r="F940" s="2" t="s">
        <v>18</v>
      </c>
      <c r="G940" s="2" t="s">
        <v>19</v>
      </c>
      <c r="H940" s="4">
        <v>96972</v>
      </c>
      <c r="I940" s="4">
        <v>107200</v>
      </c>
    </row>
    <row r="941" spans="1:9" x14ac:dyDescent="0.3">
      <c r="A941" s="2" t="s">
        <v>973</v>
      </c>
      <c r="B941" s="3">
        <v>45790</v>
      </c>
      <c r="C941" s="2" t="s">
        <v>62</v>
      </c>
      <c r="D941" s="2" t="s">
        <v>11</v>
      </c>
      <c r="E941" s="2" t="s">
        <v>22</v>
      </c>
      <c r="F941" s="2" t="s">
        <v>13</v>
      </c>
      <c r="G941" s="2" t="s">
        <v>14</v>
      </c>
      <c r="H941" s="4">
        <v>82319</v>
      </c>
      <c r="I941" s="4">
        <v>89700</v>
      </c>
    </row>
    <row r="942" spans="1:9" x14ac:dyDescent="0.3">
      <c r="A942" s="2" t="s">
        <v>974</v>
      </c>
      <c r="B942" s="3">
        <v>45790</v>
      </c>
      <c r="C942" s="2" t="s">
        <v>55</v>
      </c>
      <c r="D942" s="2" t="s">
        <v>11</v>
      </c>
      <c r="E942" s="2" t="s">
        <v>37</v>
      </c>
      <c r="F942" s="2" t="s">
        <v>37</v>
      </c>
      <c r="G942" s="2" t="s">
        <v>14</v>
      </c>
      <c r="H942" s="4">
        <v>117870</v>
      </c>
      <c r="I942" s="4">
        <v>117900</v>
      </c>
    </row>
    <row r="943" spans="1:9" x14ac:dyDescent="0.3">
      <c r="A943" s="2" t="s">
        <v>975</v>
      </c>
      <c r="B943" s="3">
        <v>45791</v>
      </c>
      <c r="C943" s="2" t="s">
        <v>21</v>
      </c>
      <c r="D943" s="2" t="s">
        <v>11</v>
      </c>
      <c r="E943" s="2" t="s">
        <v>22</v>
      </c>
      <c r="F943" s="2" t="s">
        <v>39</v>
      </c>
      <c r="G943" s="2" t="s">
        <v>19</v>
      </c>
      <c r="H943" s="4">
        <v>12513</v>
      </c>
      <c r="I943" s="4">
        <v>13500</v>
      </c>
    </row>
    <row r="944" spans="1:9" x14ac:dyDescent="0.3">
      <c r="A944" s="2" t="s">
        <v>976</v>
      </c>
      <c r="B944" s="3">
        <v>45791</v>
      </c>
      <c r="C944" s="2" t="s">
        <v>25</v>
      </c>
      <c r="D944" s="2" t="s">
        <v>11</v>
      </c>
      <c r="E944" s="2" t="s">
        <v>22</v>
      </c>
      <c r="F944" s="2" t="s">
        <v>56</v>
      </c>
      <c r="G944" s="2" t="s">
        <v>19</v>
      </c>
      <c r="H944" s="4">
        <v>34972</v>
      </c>
      <c r="I944" s="4">
        <v>36100</v>
      </c>
    </row>
    <row r="945" spans="1:9" x14ac:dyDescent="0.3">
      <c r="A945" s="2" t="s">
        <v>977</v>
      </c>
      <c r="B945" s="3">
        <v>45791</v>
      </c>
      <c r="C945" s="2" t="s">
        <v>25</v>
      </c>
      <c r="D945" s="2" t="s">
        <v>11</v>
      </c>
      <c r="E945" s="2" t="s">
        <v>22</v>
      </c>
      <c r="F945" s="2" t="s">
        <v>46</v>
      </c>
      <c r="G945" s="2" t="s">
        <v>19</v>
      </c>
      <c r="H945" s="4">
        <v>73681</v>
      </c>
      <c r="I945" s="4">
        <v>64800</v>
      </c>
    </row>
    <row r="946" spans="1:9" x14ac:dyDescent="0.3">
      <c r="A946" s="2" t="s">
        <v>978</v>
      </c>
      <c r="B946" s="3">
        <v>45791</v>
      </c>
      <c r="C946" s="2" t="s">
        <v>25</v>
      </c>
      <c r="D946" s="2" t="s">
        <v>11</v>
      </c>
      <c r="E946" s="2" t="s">
        <v>22</v>
      </c>
      <c r="F946" s="2" t="s">
        <v>37</v>
      </c>
      <c r="G946" s="2" t="s">
        <v>14</v>
      </c>
      <c r="H946" s="4">
        <v>93647</v>
      </c>
      <c r="I946" s="4">
        <v>100900</v>
      </c>
    </row>
    <row r="947" spans="1:9" x14ac:dyDescent="0.3">
      <c r="A947" s="2" t="s">
        <v>979</v>
      </c>
      <c r="B947" s="3">
        <v>45791</v>
      </c>
      <c r="C947" s="2" t="s">
        <v>31</v>
      </c>
      <c r="D947" s="2" t="s">
        <v>11</v>
      </c>
      <c r="E947" s="2" t="s">
        <v>17</v>
      </c>
      <c r="F947" s="2" t="s">
        <v>59</v>
      </c>
      <c r="G947" s="2" t="s">
        <v>14</v>
      </c>
      <c r="H947" s="4">
        <v>153625</v>
      </c>
      <c r="I947" s="4">
        <v>146000</v>
      </c>
    </row>
    <row r="948" spans="1:9" x14ac:dyDescent="0.3">
      <c r="A948" s="2" t="s">
        <v>980</v>
      </c>
      <c r="B948" s="3">
        <v>45792</v>
      </c>
      <c r="C948" s="2" t="s">
        <v>10</v>
      </c>
      <c r="D948" s="2" t="s">
        <v>11</v>
      </c>
      <c r="E948" s="2" t="s">
        <v>12</v>
      </c>
      <c r="F948" s="2" t="s">
        <v>18</v>
      </c>
      <c r="G948" s="2" t="s">
        <v>19</v>
      </c>
      <c r="H948" s="4">
        <v>44325</v>
      </c>
      <c r="I948" s="4">
        <v>48400</v>
      </c>
    </row>
    <row r="949" spans="1:9" x14ac:dyDescent="0.3">
      <c r="A949" s="2" t="s">
        <v>981</v>
      </c>
      <c r="B949" s="3">
        <v>45792</v>
      </c>
      <c r="C949" s="2" t="s">
        <v>10</v>
      </c>
      <c r="D949" s="2" t="s">
        <v>11</v>
      </c>
      <c r="E949" s="2" t="s">
        <v>12</v>
      </c>
      <c r="F949" s="2" t="s">
        <v>39</v>
      </c>
      <c r="G949" s="2" t="s">
        <v>19</v>
      </c>
      <c r="H949" s="4">
        <v>108904</v>
      </c>
      <c r="I949" s="4">
        <v>125800</v>
      </c>
    </row>
    <row r="950" spans="1:9" x14ac:dyDescent="0.3">
      <c r="A950" s="2" t="s">
        <v>982</v>
      </c>
      <c r="B950" s="3">
        <v>45792</v>
      </c>
      <c r="C950" s="2" t="s">
        <v>55</v>
      </c>
      <c r="D950" s="2" t="s">
        <v>11</v>
      </c>
      <c r="E950" s="2" t="s">
        <v>37</v>
      </c>
      <c r="F950" s="2" t="s">
        <v>56</v>
      </c>
      <c r="G950" s="2" t="s">
        <v>19</v>
      </c>
      <c r="H950" s="4">
        <v>61907</v>
      </c>
      <c r="I950" s="4">
        <v>49400</v>
      </c>
    </row>
    <row r="951" spans="1:9" x14ac:dyDescent="0.3">
      <c r="A951" s="2" t="s">
        <v>983</v>
      </c>
      <c r="B951" s="3">
        <v>45793</v>
      </c>
      <c r="C951" s="2" t="s">
        <v>62</v>
      </c>
      <c r="D951" s="2" t="s">
        <v>11</v>
      </c>
      <c r="E951" s="2" t="s">
        <v>22</v>
      </c>
      <c r="F951" s="2" t="s">
        <v>18</v>
      </c>
      <c r="G951" s="2" t="s">
        <v>19</v>
      </c>
      <c r="H951" s="4">
        <v>92067</v>
      </c>
      <c r="I951" s="4">
        <v>91800</v>
      </c>
    </row>
    <row r="952" spans="1:9" x14ac:dyDescent="0.3">
      <c r="A952" s="2" t="s">
        <v>984</v>
      </c>
      <c r="B952" s="3">
        <v>45793</v>
      </c>
      <c r="C952" s="2" t="s">
        <v>62</v>
      </c>
      <c r="D952" s="2" t="s">
        <v>11</v>
      </c>
      <c r="E952" s="2" t="s">
        <v>22</v>
      </c>
      <c r="F952" s="2" t="s">
        <v>12</v>
      </c>
      <c r="G952" s="2" t="s">
        <v>14</v>
      </c>
      <c r="H952" s="4">
        <v>27893</v>
      </c>
      <c r="I952" s="4">
        <v>27500</v>
      </c>
    </row>
    <row r="953" spans="1:9" x14ac:dyDescent="0.3">
      <c r="A953" s="2" t="s">
        <v>985</v>
      </c>
      <c r="B953" s="3">
        <v>45793</v>
      </c>
      <c r="C953" s="2" t="s">
        <v>62</v>
      </c>
      <c r="D953" s="2" t="s">
        <v>11</v>
      </c>
      <c r="E953" s="2" t="s">
        <v>22</v>
      </c>
      <c r="F953" s="2" t="s">
        <v>26</v>
      </c>
      <c r="G953" s="2" t="s">
        <v>14</v>
      </c>
      <c r="H953" s="4">
        <v>25674</v>
      </c>
      <c r="I953" s="4">
        <v>26800</v>
      </c>
    </row>
    <row r="954" spans="1:9" x14ac:dyDescent="0.3">
      <c r="A954" s="2" t="s">
        <v>986</v>
      </c>
      <c r="B954" s="3">
        <v>45793</v>
      </c>
      <c r="C954" s="2" t="s">
        <v>62</v>
      </c>
      <c r="D954" s="2" t="s">
        <v>11</v>
      </c>
      <c r="E954" s="2" t="s">
        <v>22</v>
      </c>
      <c r="F954" s="2" t="s">
        <v>37</v>
      </c>
      <c r="G954" s="2" t="s">
        <v>14</v>
      </c>
      <c r="H954" s="4">
        <v>198499</v>
      </c>
      <c r="I954" s="4">
        <v>182600</v>
      </c>
    </row>
    <row r="955" spans="1:9" x14ac:dyDescent="0.3">
      <c r="A955" s="2" t="s">
        <v>987</v>
      </c>
      <c r="B955" s="3">
        <v>45793</v>
      </c>
      <c r="C955" s="2" t="s">
        <v>36</v>
      </c>
      <c r="D955" s="2" t="s">
        <v>11</v>
      </c>
      <c r="E955" s="2" t="s">
        <v>37</v>
      </c>
      <c r="F955" s="2" t="s">
        <v>39</v>
      </c>
      <c r="G955" s="2" t="s">
        <v>19</v>
      </c>
      <c r="H955" s="4">
        <v>105206</v>
      </c>
      <c r="I955" s="4">
        <v>95700</v>
      </c>
    </row>
    <row r="956" spans="1:9" x14ac:dyDescent="0.3">
      <c r="A956" s="2" t="s">
        <v>988</v>
      </c>
      <c r="B956" s="3">
        <v>45793</v>
      </c>
      <c r="C956" s="2" t="s">
        <v>21</v>
      </c>
      <c r="D956" s="2" t="s">
        <v>11</v>
      </c>
      <c r="E956" s="2" t="s">
        <v>22</v>
      </c>
      <c r="F956" s="2" t="s">
        <v>37</v>
      </c>
      <c r="G956" s="2" t="s">
        <v>14</v>
      </c>
      <c r="H956" s="4">
        <v>142199</v>
      </c>
      <c r="I956" s="4">
        <v>135100</v>
      </c>
    </row>
    <row r="957" spans="1:9" x14ac:dyDescent="0.3">
      <c r="A957" s="2" t="s">
        <v>989</v>
      </c>
      <c r="B957" s="3">
        <v>45793</v>
      </c>
      <c r="C957" s="2" t="s">
        <v>31</v>
      </c>
      <c r="D957" s="2" t="s">
        <v>11</v>
      </c>
      <c r="E957" s="2" t="s">
        <v>17</v>
      </c>
      <c r="F957" s="2" t="s">
        <v>46</v>
      </c>
      <c r="G957" s="2" t="s">
        <v>19</v>
      </c>
      <c r="H957" s="4">
        <v>45608</v>
      </c>
      <c r="I957" s="4">
        <v>43200</v>
      </c>
    </row>
    <row r="958" spans="1:9" x14ac:dyDescent="0.3">
      <c r="A958" s="2" t="s">
        <v>990</v>
      </c>
      <c r="B958" s="3">
        <v>45793</v>
      </c>
      <c r="C958" s="2" t="s">
        <v>31</v>
      </c>
      <c r="D958" s="2" t="s">
        <v>11</v>
      </c>
      <c r="E958" s="2" t="s">
        <v>17</v>
      </c>
      <c r="F958" s="2" t="s">
        <v>12</v>
      </c>
      <c r="G958" s="2" t="s">
        <v>14</v>
      </c>
      <c r="H958" s="4">
        <v>57376</v>
      </c>
      <c r="I958" s="4">
        <v>65500</v>
      </c>
    </row>
    <row r="959" spans="1:9" x14ac:dyDescent="0.3">
      <c r="A959" s="2" t="s">
        <v>991</v>
      </c>
      <c r="B959" s="3">
        <v>45794</v>
      </c>
      <c r="C959" s="2" t="s">
        <v>16</v>
      </c>
      <c r="D959" s="2" t="s">
        <v>11</v>
      </c>
      <c r="E959" s="2" t="s">
        <v>17</v>
      </c>
      <c r="F959" s="2" t="s">
        <v>42</v>
      </c>
      <c r="G959" s="2" t="s">
        <v>19</v>
      </c>
      <c r="H959" s="4">
        <v>44977</v>
      </c>
      <c r="I959" s="4">
        <v>45900</v>
      </c>
    </row>
    <row r="960" spans="1:9" x14ac:dyDescent="0.3">
      <c r="A960" s="2" t="s">
        <v>992</v>
      </c>
      <c r="B960" s="3">
        <v>45794</v>
      </c>
      <c r="C960" s="2" t="s">
        <v>36</v>
      </c>
      <c r="D960" s="2" t="s">
        <v>11</v>
      </c>
      <c r="E960" s="2" t="s">
        <v>37</v>
      </c>
      <c r="F960" s="2" t="s">
        <v>12</v>
      </c>
      <c r="G960" s="2" t="s">
        <v>14</v>
      </c>
      <c r="H960" s="4">
        <v>59826</v>
      </c>
      <c r="I960" s="4">
        <v>53600</v>
      </c>
    </row>
    <row r="961" spans="1:9" x14ac:dyDescent="0.3">
      <c r="A961" s="2" t="s">
        <v>993</v>
      </c>
      <c r="B961" s="3">
        <v>45794</v>
      </c>
      <c r="C961" s="2" t="s">
        <v>36</v>
      </c>
      <c r="D961" s="2" t="s">
        <v>11</v>
      </c>
      <c r="E961" s="2" t="s">
        <v>37</v>
      </c>
      <c r="F961" s="2" t="s">
        <v>26</v>
      </c>
      <c r="G961" s="2" t="s">
        <v>14</v>
      </c>
      <c r="H961" s="4">
        <v>32994</v>
      </c>
      <c r="I961" s="4">
        <v>31200</v>
      </c>
    </row>
    <row r="962" spans="1:9" x14ac:dyDescent="0.3">
      <c r="A962" s="2" t="s">
        <v>994</v>
      </c>
      <c r="B962" s="3">
        <v>45794</v>
      </c>
      <c r="C962" s="2" t="s">
        <v>25</v>
      </c>
      <c r="D962" s="2" t="s">
        <v>11</v>
      </c>
      <c r="E962" s="2" t="s">
        <v>22</v>
      </c>
      <c r="F962" s="2" t="s">
        <v>56</v>
      </c>
      <c r="G962" s="2" t="s">
        <v>19</v>
      </c>
      <c r="H962" s="4">
        <v>113452</v>
      </c>
      <c r="I962" s="4">
        <v>143100</v>
      </c>
    </row>
    <row r="963" spans="1:9" x14ac:dyDescent="0.3">
      <c r="A963" s="2" t="s">
        <v>995</v>
      </c>
      <c r="B963" s="3">
        <v>45794</v>
      </c>
      <c r="C963" s="2" t="s">
        <v>55</v>
      </c>
      <c r="D963" s="2" t="s">
        <v>11</v>
      </c>
      <c r="E963" s="2" t="s">
        <v>37</v>
      </c>
      <c r="F963" s="2" t="s">
        <v>12</v>
      </c>
      <c r="G963" s="2" t="s">
        <v>14</v>
      </c>
      <c r="H963" s="4">
        <v>100188</v>
      </c>
      <c r="I963" s="4">
        <v>85400</v>
      </c>
    </row>
    <row r="964" spans="1:9" x14ac:dyDescent="0.3">
      <c r="A964" s="2" t="s">
        <v>996</v>
      </c>
      <c r="B964" s="3">
        <v>45795</v>
      </c>
      <c r="C964" s="2" t="s">
        <v>62</v>
      </c>
      <c r="D964" s="2" t="s">
        <v>11</v>
      </c>
      <c r="E964" s="2" t="s">
        <v>22</v>
      </c>
      <c r="F964" s="2" t="s">
        <v>56</v>
      </c>
      <c r="G964" s="2" t="s">
        <v>19</v>
      </c>
      <c r="H964" s="4">
        <v>46934</v>
      </c>
      <c r="I964" s="4">
        <v>47300</v>
      </c>
    </row>
    <row r="965" spans="1:9" x14ac:dyDescent="0.3">
      <c r="A965" s="2" t="s">
        <v>997</v>
      </c>
      <c r="B965" s="3">
        <v>45795</v>
      </c>
      <c r="C965" s="2" t="s">
        <v>62</v>
      </c>
      <c r="D965" s="2" t="s">
        <v>11</v>
      </c>
      <c r="E965" s="2" t="s">
        <v>22</v>
      </c>
      <c r="F965" s="2" t="s">
        <v>37</v>
      </c>
      <c r="G965" s="2" t="s">
        <v>14</v>
      </c>
      <c r="H965" s="4">
        <v>183217</v>
      </c>
      <c r="I965" s="4">
        <v>196000</v>
      </c>
    </row>
    <row r="966" spans="1:9" x14ac:dyDescent="0.3">
      <c r="A966" s="2" t="s">
        <v>998</v>
      </c>
      <c r="B966" s="3">
        <v>45795</v>
      </c>
      <c r="C966" s="2" t="s">
        <v>16</v>
      </c>
      <c r="D966" s="2" t="s">
        <v>11</v>
      </c>
      <c r="E966" s="2" t="s">
        <v>17</v>
      </c>
      <c r="F966" s="2" t="s">
        <v>42</v>
      </c>
      <c r="G966" s="2" t="s">
        <v>19</v>
      </c>
      <c r="H966" s="4">
        <v>75908</v>
      </c>
      <c r="I966" s="4">
        <v>76600</v>
      </c>
    </row>
    <row r="967" spans="1:9" x14ac:dyDescent="0.3">
      <c r="A967" s="2" t="s">
        <v>999</v>
      </c>
      <c r="B967" s="3">
        <v>45795</v>
      </c>
      <c r="C967" s="2" t="s">
        <v>16</v>
      </c>
      <c r="D967" s="2" t="s">
        <v>11</v>
      </c>
      <c r="E967" s="2" t="s">
        <v>17</v>
      </c>
      <c r="F967" s="2" t="s">
        <v>59</v>
      </c>
      <c r="G967" s="2" t="s">
        <v>14</v>
      </c>
      <c r="H967" s="4">
        <v>210095</v>
      </c>
      <c r="I967" s="4">
        <v>210400</v>
      </c>
    </row>
    <row r="968" spans="1:9" x14ac:dyDescent="0.3">
      <c r="A968" s="2" t="s">
        <v>1000</v>
      </c>
      <c r="B968" s="3">
        <v>45795</v>
      </c>
      <c r="C968" s="2" t="s">
        <v>16</v>
      </c>
      <c r="D968" s="2" t="s">
        <v>11</v>
      </c>
      <c r="E968" s="2" t="s">
        <v>17</v>
      </c>
      <c r="F968" s="2" t="s">
        <v>23</v>
      </c>
      <c r="G968" s="2" t="s">
        <v>14</v>
      </c>
      <c r="H968" s="4">
        <v>180440</v>
      </c>
      <c r="I968" s="4">
        <v>198500</v>
      </c>
    </row>
    <row r="969" spans="1:9" x14ac:dyDescent="0.3">
      <c r="A969" s="2" t="s">
        <v>1001</v>
      </c>
      <c r="B969" s="3">
        <v>45795</v>
      </c>
      <c r="C969" s="2" t="s">
        <v>16</v>
      </c>
      <c r="D969" s="2" t="s">
        <v>11</v>
      </c>
      <c r="E969" s="2" t="s">
        <v>17</v>
      </c>
      <c r="F969" s="2" t="s">
        <v>37</v>
      </c>
      <c r="G969" s="2" t="s">
        <v>14</v>
      </c>
      <c r="H969" s="4">
        <v>229153</v>
      </c>
      <c r="I969" s="4">
        <v>237700</v>
      </c>
    </row>
    <row r="970" spans="1:9" x14ac:dyDescent="0.3">
      <c r="A970" s="2" t="s">
        <v>1002</v>
      </c>
      <c r="B970" s="3">
        <v>45795</v>
      </c>
      <c r="C970" s="2" t="s">
        <v>21</v>
      </c>
      <c r="D970" s="2" t="s">
        <v>11</v>
      </c>
      <c r="E970" s="2" t="s">
        <v>22</v>
      </c>
      <c r="F970" s="2" t="s">
        <v>18</v>
      </c>
      <c r="G970" s="2" t="s">
        <v>19</v>
      </c>
      <c r="H970" s="4">
        <v>24309</v>
      </c>
      <c r="I970" s="4">
        <v>29300</v>
      </c>
    </row>
    <row r="971" spans="1:9" x14ac:dyDescent="0.3">
      <c r="A971" s="2" t="s">
        <v>1003</v>
      </c>
      <c r="B971" s="3">
        <v>45795</v>
      </c>
      <c r="C971" s="2" t="s">
        <v>25</v>
      </c>
      <c r="D971" s="2" t="s">
        <v>11</v>
      </c>
      <c r="E971" s="2" t="s">
        <v>22</v>
      </c>
      <c r="F971" s="2" t="s">
        <v>46</v>
      </c>
      <c r="G971" s="2" t="s">
        <v>19</v>
      </c>
      <c r="H971" s="4">
        <v>66985</v>
      </c>
      <c r="I971" s="4">
        <v>68800</v>
      </c>
    </row>
    <row r="972" spans="1:9" x14ac:dyDescent="0.3">
      <c r="A972" s="2" t="s">
        <v>1004</v>
      </c>
      <c r="B972" s="3">
        <v>45795</v>
      </c>
      <c r="C972" s="2" t="s">
        <v>31</v>
      </c>
      <c r="D972" s="2" t="s">
        <v>11</v>
      </c>
      <c r="E972" s="2" t="s">
        <v>17</v>
      </c>
      <c r="F972" s="2" t="s">
        <v>33</v>
      </c>
      <c r="G972" s="2" t="s">
        <v>19</v>
      </c>
      <c r="H972" s="4">
        <v>64636</v>
      </c>
      <c r="I972" s="4">
        <v>63000</v>
      </c>
    </row>
    <row r="973" spans="1:9" x14ac:dyDescent="0.3">
      <c r="A973" s="2" t="s">
        <v>1005</v>
      </c>
      <c r="B973" s="3">
        <v>45796</v>
      </c>
      <c r="C973" s="2" t="s">
        <v>10</v>
      </c>
      <c r="D973" s="2" t="s">
        <v>11</v>
      </c>
      <c r="E973" s="2" t="s">
        <v>12</v>
      </c>
      <c r="F973" s="2" t="s">
        <v>23</v>
      </c>
      <c r="G973" s="2" t="s">
        <v>14</v>
      </c>
      <c r="H973" s="4">
        <v>148075</v>
      </c>
      <c r="I973" s="4">
        <v>141600</v>
      </c>
    </row>
    <row r="974" spans="1:9" x14ac:dyDescent="0.3">
      <c r="A974" s="2" t="s">
        <v>1006</v>
      </c>
      <c r="B974" s="3">
        <v>45796</v>
      </c>
      <c r="C974" s="2" t="s">
        <v>36</v>
      </c>
      <c r="D974" s="2" t="s">
        <v>11</v>
      </c>
      <c r="E974" s="2" t="s">
        <v>37</v>
      </c>
      <c r="F974" s="2" t="s">
        <v>26</v>
      </c>
      <c r="G974" s="2" t="s">
        <v>14</v>
      </c>
      <c r="H974" s="4">
        <v>115158</v>
      </c>
      <c r="I974" s="4">
        <v>102600</v>
      </c>
    </row>
    <row r="975" spans="1:9" x14ac:dyDescent="0.3">
      <c r="A975" s="2" t="s">
        <v>1007</v>
      </c>
      <c r="B975" s="3">
        <v>45796</v>
      </c>
      <c r="C975" s="2" t="s">
        <v>21</v>
      </c>
      <c r="D975" s="2" t="s">
        <v>11</v>
      </c>
      <c r="E975" s="2" t="s">
        <v>22</v>
      </c>
      <c r="F975" s="2" t="s">
        <v>37</v>
      </c>
      <c r="G975" s="2" t="s">
        <v>14</v>
      </c>
      <c r="H975" s="4">
        <v>159316</v>
      </c>
      <c r="I975" s="4">
        <v>181600</v>
      </c>
    </row>
    <row r="976" spans="1:9" x14ac:dyDescent="0.3">
      <c r="A976" s="2" t="s">
        <v>1008</v>
      </c>
      <c r="B976" s="3">
        <v>45796</v>
      </c>
      <c r="C976" s="2" t="s">
        <v>25</v>
      </c>
      <c r="D976" s="2" t="s">
        <v>11</v>
      </c>
      <c r="E976" s="2" t="s">
        <v>22</v>
      </c>
      <c r="F976" s="2" t="s">
        <v>33</v>
      </c>
      <c r="G976" s="2" t="s">
        <v>19</v>
      </c>
      <c r="H976" s="4">
        <v>30396</v>
      </c>
      <c r="I976" s="4">
        <v>33000</v>
      </c>
    </row>
    <row r="977" spans="1:9" x14ac:dyDescent="0.3">
      <c r="A977" s="2" t="s">
        <v>1009</v>
      </c>
      <c r="B977" s="3">
        <v>45796</v>
      </c>
      <c r="C977" s="2" t="s">
        <v>55</v>
      </c>
      <c r="D977" s="2" t="s">
        <v>11</v>
      </c>
      <c r="E977" s="2" t="s">
        <v>37</v>
      </c>
      <c r="F977" s="2" t="s">
        <v>56</v>
      </c>
      <c r="G977" s="2" t="s">
        <v>19</v>
      </c>
      <c r="H977" s="4">
        <v>115116</v>
      </c>
      <c r="I977" s="4">
        <v>116600</v>
      </c>
    </row>
    <row r="978" spans="1:9" x14ac:dyDescent="0.3">
      <c r="A978" s="2" t="s">
        <v>1010</v>
      </c>
      <c r="B978" s="3">
        <v>45796</v>
      </c>
      <c r="C978" s="2" t="s">
        <v>55</v>
      </c>
      <c r="D978" s="2" t="s">
        <v>11</v>
      </c>
      <c r="E978" s="2" t="s">
        <v>37</v>
      </c>
      <c r="F978" s="2" t="s">
        <v>56</v>
      </c>
      <c r="G978" s="2" t="s">
        <v>19</v>
      </c>
      <c r="H978" s="4">
        <v>114772</v>
      </c>
      <c r="I978" s="4">
        <v>126100</v>
      </c>
    </row>
    <row r="979" spans="1:9" x14ac:dyDescent="0.3">
      <c r="A979" s="2" t="s">
        <v>1011</v>
      </c>
      <c r="B979" s="3">
        <v>45797</v>
      </c>
      <c r="C979" s="2" t="s">
        <v>62</v>
      </c>
      <c r="D979" s="2" t="s">
        <v>11</v>
      </c>
      <c r="E979" s="2" t="s">
        <v>22</v>
      </c>
      <c r="F979" s="2" t="s">
        <v>18</v>
      </c>
      <c r="G979" s="2" t="s">
        <v>19</v>
      </c>
      <c r="H979" s="4">
        <v>101123</v>
      </c>
      <c r="I979" s="4">
        <v>92100</v>
      </c>
    </row>
    <row r="980" spans="1:9" x14ac:dyDescent="0.3">
      <c r="A980" s="2" t="s">
        <v>1012</v>
      </c>
      <c r="B980" s="3">
        <v>45797</v>
      </c>
      <c r="C980" s="2" t="s">
        <v>10</v>
      </c>
      <c r="D980" s="2" t="s">
        <v>11</v>
      </c>
      <c r="E980" s="2" t="s">
        <v>12</v>
      </c>
      <c r="F980" s="2" t="s">
        <v>46</v>
      </c>
      <c r="G980" s="2" t="s">
        <v>19</v>
      </c>
      <c r="H980" s="4">
        <v>56864</v>
      </c>
      <c r="I980" s="4">
        <v>59400</v>
      </c>
    </row>
    <row r="981" spans="1:9" x14ac:dyDescent="0.3">
      <c r="A981" s="2" t="s">
        <v>1013</v>
      </c>
      <c r="B981" s="3">
        <v>45797</v>
      </c>
      <c r="C981" s="2" t="s">
        <v>16</v>
      </c>
      <c r="D981" s="2" t="s">
        <v>11</v>
      </c>
      <c r="E981" s="2" t="s">
        <v>17</v>
      </c>
      <c r="F981" s="2" t="s">
        <v>37</v>
      </c>
      <c r="G981" s="2" t="s">
        <v>14</v>
      </c>
      <c r="H981" s="4">
        <v>56783</v>
      </c>
      <c r="I981" s="4">
        <v>53700</v>
      </c>
    </row>
    <row r="982" spans="1:9" x14ac:dyDescent="0.3">
      <c r="A982" s="2" t="s">
        <v>1014</v>
      </c>
      <c r="B982" s="3">
        <v>45797</v>
      </c>
      <c r="C982" s="2" t="s">
        <v>16</v>
      </c>
      <c r="D982" s="2" t="s">
        <v>11</v>
      </c>
      <c r="E982" s="2" t="s">
        <v>17</v>
      </c>
      <c r="F982" s="2" t="s">
        <v>59</v>
      </c>
      <c r="G982" s="2" t="s">
        <v>14</v>
      </c>
      <c r="H982" s="4">
        <v>120353</v>
      </c>
      <c r="I982" s="4">
        <v>115100</v>
      </c>
    </row>
    <row r="983" spans="1:9" x14ac:dyDescent="0.3">
      <c r="A983" s="2" t="s">
        <v>1015</v>
      </c>
      <c r="B983" s="3">
        <v>45797</v>
      </c>
      <c r="C983" s="2" t="s">
        <v>36</v>
      </c>
      <c r="D983" s="2" t="s">
        <v>11</v>
      </c>
      <c r="E983" s="2" t="s">
        <v>37</v>
      </c>
      <c r="F983" s="2" t="s">
        <v>42</v>
      </c>
      <c r="G983" s="2" t="s">
        <v>19</v>
      </c>
      <c r="H983" s="4">
        <v>51922</v>
      </c>
      <c r="I983" s="4">
        <v>57500</v>
      </c>
    </row>
    <row r="984" spans="1:9" x14ac:dyDescent="0.3">
      <c r="A984" s="2" t="s">
        <v>1016</v>
      </c>
      <c r="B984" s="3">
        <v>45797</v>
      </c>
      <c r="C984" s="2" t="s">
        <v>21</v>
      </c>
      <c r="D984" s="2" t="s">
        <v>11</v>
      </c>
      <c r="E984" s="2" t="s">
        <v>22</v>
      </c>
      <c r="F984" s="2" t="s">
        <v>13</v>
      </c>
      <c r="G984" s="2" t="s">
        <v>14</v>
      </c>
      <c r="H984" s="4">
        <v>205341</v>
      </c>
      <c r="I984" s="4">
        <v>180800</v>
      </c>
    </row>
    <row r="985" spans="1:9" x14ac:dyDescent="0.3">
      <c r="A985" s="2" t="s">
        <v>1017</v>
      </c>
      <c r="B985" s="3">
        <v>45798</v>
      </c>
      <c r="C985" s="2" t="s">
        <v>62</v>
      </c>
      <c r="D985" s="2" t="s">
        <v>11</v>
      </c>
      <c r="E985" s="2" t="s">
        <v>22</v>
      </c>
      <c r="F985" s="2" t="s">
        <v>13</v>
      </c>
      <c r="G985" s="2" t="s">
        <v>14</v>
      </c>
      <c r="H985" s="4">
        <v>203579</v>
      </c>
      <c r="I985" s="4">
        <v>184500</v>
      </c>
    </row>
    <row r="986" spans="1:9" x14ac:dyDescent="0.3">
      <c r="A986" s="2" t="s">
        <v>1018</v>
      </c>
      <c r="B986" s="3">
        <v>45798</v>
      </c>
      <c r="C986" s="2" t="s">
        <v>10</v>
      </c>
      <c r="D986" s="2" t="s">
        <v>11</v>
      </c>
      <c r="E986" s="2" t="s">
        <v>12</v>
      </c>
      <c r="F986" s="2" t="s">
        <v>26</v>
      </c>
      <c r="G986" s="2" t="s">
        <v>14</v>
      </c>
      <c r="H986" s="4">
        <v>78784</v>
      </c>
      <c r="I986" s="4">
        <v>82100</v>
      </c>
    </row>
    <row r="987" spans="1:9" x14ac:dyDescent="0.3">
      <c r="A987" s="2" t="s">
        <v>1019</v>
      </c>
      <c r="B987" s="3">
        <v>45798</v>
      </c>
      <c r="C987" s="2" t="s">
        <v>55</v>
      </c>
      <c r="D987" s="2" t="s">
        <v>11</v>
      </c>
      <c r="E987" s="2" t="s">
        <v>37</v>
      </c>
      <c r="F987" s="2" t="s">
        <v>12</v>
      </c>
      <c r="G987" s="2" t="s">
        <v>14</v>
      </c>
      <c r="H987" s="4">
        <v>105769</v>
      </c>
      <c r="I987" s="4">
        <v>104300</v>
      </c>
    </row>
    <row r="988" spans="1:9" x14ac:dyDescent="0.3">
      <c r="A988" s="2" t="s">
        <v>1020</v>
      </c>
      <c r="B988" s="3">
        <v>45799</v>
      </c>
      <c r="C988" s="2" t="s">
        <v>62</v>
      </c>
      <c r="D988" s="2" t="s">
        <v>11</v>
      </c>
      <c r="E988" s="2" t="s">
        <v>22</v>
      </c>
      <c r="F988" s="2" t="s">
        <v>33</v>
      </c>
      <c r="G988" s="2" t="s">
        <v>19</v>
      </c>
      <c r="H988" s="4">
        <v>71675</v>
      </c>
      <c r="I988" s="4">
        <v>79100</v>
      </c>
    </row>
    <row r="989" spans="1:9" x14ac:dyDescent="0.3">
      <c r="A989" s="2" t="s">
        <v>1021</v>
      </c>
      <c r="B989" s="3">
        <v>45799</v>
      </c>
      <c r="C989" s="2" t="s">
        <v>62</v>
      </c>
      <c r="D989" s="2" t="s">
        <v>11</v>
      </c>
      <c r="E989" s="2" t="s">
        <v>22</v>
      </c>
      <c r="F989" s="2" t="s">
        <v>37</v>
      </c>
      <c r="G989" s="2" t="s">
        <v>14</v>
      </c>
      <c r="H989" s="4">
        <v>143029</v>
      </c>
      <c r="I989" s="4">
        <v>155800</v>
      </c>
    </row>
    <row r="990" spans="1:9" x14ac:dyDescent="0.3">
      <c r="A990" s="2" t="s">
        <v>1022</v>
      </c>
      <c r="B990" s="3">
        <v>45799</v>
      </c>
      <c r="C990" s="2" t="s">
        <v>16</v>
      </c>
      <c r="D990" s="2" t="s">
        <v>11</v>
      </c>
      <c r="E990" s="2" t="s">
        <v>17</v>
      </c>
      <c r="F990" s="2" t="s">
        <v>42</v>
      </c>
      <c r="G990" s="2" t="s">
        <v>19</v>
      </c>
      <c r="H990" s="4">
        <v>68068</v>
      </c>
      <c r="I990" s="4">
        <v>69200</v>
      </c>
    </row>
    <row r="991" spans="1:9" x14ac:dyDescent="0.3">
      <c r="A991" s="2" t="s">
        <v>1023</v>
      </c>
      <c r="B991" s="3">
        <v>45799</v>
      </c>
      <c r="C991" s="2" t="s">
        <v>36</v>
      </c>
      <c r="D991" s="2" t="s">
        <v>11</v>
      </c>
      <c r="E991" s="2" t="s">
        <v>37</v>
      </c>
      <c r="F991" s="2" t="s">
        <v>26</v>
      </c>
      <c r="G991" s="2" t="s">
        <v>14</v>
      </c>
      <c r="H991" s="4">
        <v>241650</v>
      </c>
      <c r="I991" s="4">
        <v>250700</v>
      </c>
    </row>
    <row r="992" spans="1:9" x14ac:dyDescent="0.3">
      <c r="A992" s="2" t="s">
        <v>1024</v>
      </c>
      <c r="B992" s="3">
        <v>45799</v>
      </c>
      <c r="C992" s="2" t="s">
        <v>21</v>
      </c>
      <c r="D992" s="2" t="s">
        <v>11</v>
      </c>
      <c r="E992" s="2" t="s">
        <v>22</v>
      </c>
      <c r="F992" s="2" t="s">
        <v>59</v>
      </c>
      <c r="G992" s="2" t="s">
        <v>14</v>
      </c>
      <c r="H992" s="4">
        <v>104807</v>
      </c>
      <c r="I992" s="4">
        <v>107600</v>
      </c>
    </row>
    <row r="993" spans="1:9" x14ac:dyDescent="0.3">
      <c r="A993" s="2" t="s">
        <v>1025</v>
      </c>
      <c r="B993" s="3">
        <v>45799</v>
      </c>
      <c r="C993" s="2" t="s">
        <v>31</v>
      </c>
      <c r="D993" s="2" t="s">
        <v>11</v>
      </c>
      <c r="E993" s="2" t="s">
        <v>17</v>
      </c>
      <c r="F993" s="2" t="s">
        <v>42</v>
      </c>
      <c r="G993" s="2" t="s">
        <v>19</v>
      </c>
      <c r="H993" s="4">
        <v>20972</v>
      </c>
      <c r="I993" s="4">
        <v>21000</v>
      </c>
    </row>
    <row r="994" spans="1:9" x14ac:dyDescent="0.3">
      <c r="A994" s="2" t="s">
        <v>1026</v>
      </c>
      <c r="B994" s="3">
        <v>45800</v>
      </c>
      <c r="C994" s="2" t="s">
        <v>62</v>
      </c>
      <c r="D994" s="2" t="s">
        <v>11</v>
      </c>
      <c r="E994" s="2" t="s">
        <v>22</v>
      </c>
      <c r="F994" s="2" t="s">
        <v>39</v>
      </c>
      <c r="G994" s="2" t="s">
        <v>19</v>
      </c>
      <c r="H994" s="4">
        <v>57628</v>
      </c>
      <c r="I994" s="4">
        <v>58500</v>
      </c>
    </row>
    <row r="995" spans="1:9" x14ac:dyDescent="0.3">
      <c r="A995" s="2" t="s">
        <v>1027</v>
      </c>
      <c r="B995" s="3">
        <v>45800</v>
      </c>
      <c r="C995" s="2" t="s">
        <v>62</v>
      </c>
      <c r="D995" s="2" t="s">
        <v>11</v>
      </c>
      <c r="E995" s="2" t="s">
        <v>22</v>
      </c>
      <c r="F995" s="2" t="s">
        <v>12</v>
      </c>
      <c r="G995" s="2" t="s">
        <v>14</v>
      </c>
      <c r="H995" s="4">
        <v>168331</v>
      </c>
      <c r="I995" s="4">
        <v>152900</v>
      </c>
    </row>
    <row r="996" spans="1:9" x14ac:dyDescent="0.3">
      <c r="A996" s="2" t="s">
        <v>1028</v>
      </c>
      <c r="B996" s="3">
        <v>45800</v>
      </c>
      <c r="C996" s="2" t="s">
        <v>62</v>
      </c>
      <c r="D996" s="2" t="s">
        <v>11</v>
      </c>
      <c r="E996" s="2" t="s">
        <v>22</v>
      </c>
      <c r="F996" s="2" t="s">
        <v>26</v>
      </c>
      <c r="G996" s="2" t="s">
        <v>14</v>
      </c>
      <c r="H996" s="4">
        <v>186866</v>
      </c>
      <c r="I996" s="4">
        <v>213700</v>
      </c>
    </row>
    <row r="997" spans="1:9" x14ac:dyDescent="0.3">
      <c r="A997" s="2" t="s">
        <v>1029</v>
      </c>
      <c r="B997" s="3">
        <v>45800</v>
      </c>
      <c r="C997" s="2" t="s">
        <v>36</v>
      </c>
      <c r="D997" s="2" t="s">
        <v>11</v>
      </c>
      <c r="E997" s="2" t="s">
        <v>37</v>
      </c>
      <c r="F997" s="2" t="s">
        <v>37</v>
      </c>
      <c r="G997" s="2" t="s">
        <v>14</v>
      </c>
      <c r="H997" s="4">
        <v>144024</v>
      </c>
      <c r="I997" s="4">
        <v>156600</v>
      </c>
    </row>
    <row r="998" spans="1:9" x14ac:dyDescent="0.3">
      <c r="A998" s="2" t="s">
        <v>1030</v>
      </c>
      <c r="B998" s="3">
        <v>45800</v>
      </c>
      <c r="C998" s="2" t="s">
        <v>25</v>
      </c>
      <c r="D998" s="2" t="s">
        <v>11</v>
      </c>
      <c r="E998" s="2" t="s">
        <v>22</v>
      </c>
      <c r="F998" s="2" t="s">
        <v>23</v>
      </c>
      <c r="G998" s="2" t="s">
        <v>14</v>
      </c>
      <c r="H998" s="4">
        <v>221592</v>
      </c>
      <c r="I998" s="4">
        <v>204900</v>
      </c>
    </row>
    <row r="999" spans="1:9" x14ac:dyDescent="0.3">
      <c r="A999" s="2" t="s">
        <v>1031</v>
      </c>
      <c r="B999" s="3">
        <v>45800</v>
      </c>
      <c r="C999" s="2" t="s">
        <v>25</v>
      </c>
      <c r="D999" s="2" t="s">
        <v>11</v>
      </c>
      <c r="E999" s="2" t="s">
        <v>22</v>
      </c>
      <c r="F999" s="2" t="s">
        <v>12</v>
      </c>
      <c r="G999" s="2" t="s">
        <v>14</v>
      </c>
      <c r="H999" s="4">
        <v>56535</v>
      </c>
      <c r="I999" s="4">
        <v>58900</v>
      </c>
    </row>
    <row r="1000" spans="1:9" x14ac:dyDescent="0.3">
      <c r="A1000" s="2" t="s">
        <v>1032</v>
      </c>
      <c r="B1000" s="3">
        <v>45800</v>
      </c>
      <c r="C1000" s="2" t="s">
        <v>31</v>
      </c>
      <c r="D1000" s="2" t="s">
        <v>11</v>
      </c>
      <c r="E1000" s="2" t="s">
        <v>17</v>
      </c>
      <c r="F1000" s="2" t="s">
        <v>18</v>
      </c>
      <c r="G1000" s="2" t="s">
        <v>19</v>
      </c>
      <c r="H1000" s="4">
        <v>17135</v>
      </c>
      <c r="I1000" s="4">
        <v>16300</v>
      </c>
    </row>
    <row r="1001" spans="1:9" x14ac:dyDescent="0.3">
      <c r="A1001" s="2" t="s">
        <v>1033</v>
      </c>
      <c r="B1001" s="3">
        <v>45800</v>
      </c>
      <c r="C1001" s="2" t="s">
        <v>31</v>
      </c>
      <c r="D1001" s="2" t="s">
        <v>11</v>
      </c>
      <c r="E1001" s="2" t="s">
        <v>17</v>
      </c>
      <c r="F1001" s="2" t="s">
        <v>13</v>
      </c>
      <c r="G1001" s="2" t="s">
        <v>14</v>
      </c>
      <c r="H1001" s="4">
        <v>80742</v>
      </c>
      <c r="I1001" s="4">
        <v>75600</v>
      </c>
    </row>
    <row r="1002" spans="1:9" x14ac:dyDescent="0.3">
      <c r="A1002" s="2" t="s">
        <v>1034</v>
      </c>
      <c r="B1002" s="3">
        <v>45800</v>
      </c>
      <c r="C1002" s="2" t="s">
        <v>55</v>
      </c>
      <c r="D1002" s="2" t="s">
        <v>11</v>
      </c>
      <c r="E1002" s="2" t="s">
        <v>37</v>
      </c>
      <c r="F1002" s="2" t="s">
        <v>39</v>
      </c>
      <c r="G1002" s="2" t="s">
        <v>19</v>
      </c>
      <c r="H1002" s="4">
        <v>98374</v>
      </c>
      <c r="I1002" s="4">
        <v>100700</v>
      </c>
    </row>
    <row r="1003" spans="1:9" x14ac:dyDescent="0.3">
      <c r="A1003" s="2" t="s">
        <v>1035</v>
      </c>
      <c r="B1003" s="3">
        <v>45800</v>
      </c>
      <c r="C1003" s="2" t="s">
        <v>55</v>
      </c>
      <c r="D1003" s="2" t="s">
        <v>11</v>
      </c>
      <c r="E1003" s="2" t="s">
        <v>37</v>
      </c>
      <c r="F1003" s="2" t="s">
        <v>42</v>
      </c>
      <c r="G1003" s="2" t="s">
        <v>19</v>
      </c>
      <c r="H1003" s="4">
        <v>27512</v>
      </c>
      <c r="I1003" s="4">
        <v>26200</v>
      </c>
    </row>
    <row r="1004" spans="1:9" x14ac:dyDescent="0.3">
      <c r="A1004" s="2" t="s">
        <v>1036</v>
      </c>
      <c r="B1004" s="3">
        <v>45801</v>
      </c>
      <c r="C1004" s="2" t="s">
        <v>62</v>
      </c>
      <c r="D1004" s="2" t="s">
        <v>11</v>
      </c>
      <c r="E1004" s="2" t="s">
        <v>22</v>
      </c>
      <c r="F1004" s="2" t="s">
        <v>33</v>
      </c>
      <c r="G1004" s="2" t="s">
        <v>19</v>
      </c>
      <c r="H1004" s="4">
        <v>33091</v>
      </c>
      <c r="I1004" s="4">
        <v>33400</v>
      </c>
    </row>
    <row r="1005" spans="1:9" x14ac:dyDescent="0.3">
      <c r="A1005" s="2" t="s">
        <v>1037</v>
      </c>
      <c r="B1005" s="3">
        <v>45801</v>
      </c>
      <c r="C1005" s="2" t="s">
        <v>62</v>
      </c>
      <c r="D1005" s="2" t="s">
        <v>11</v>
      </c>
      <c r="E1005" s="2" t="s">
        <v>22</v>
      </c>
      <c r="F1005" s="2" t="s">
        <v>56</v>
      </c>
      <c r="G1005" s="2" t="s">
        <v>19</v>
      </c>
      <c r="H1005" s="4">
        <v>104188</v>
      </c>
      <c r="I1005" s="4">
        <v>102200</v>
      </c>
    </row>
    <row r="1006" spans="1:9" x14ac:dyDescent="0.3">
      <c r="A1006" s="2" t="s">
        <v>1038</v>
      </c>
      <c r="B1006" s="3">
        <v>45801</v>
      </c>
      <c r="C1006" s="2" t="s">
        <v>62</v>
      </c>
      <c r="D1006" s="2" t="s">
        <v>11</v>
      </c>
      <c r="E1006" s="2" t="s">
        <v>22</v>
      </c>
      <c r="F1006" s="2" t="s">
        <v>13</v>
      </c>
      <c r="G1006" s="2" t="s">
        <v>14</v>
      </c>
      <c r="H1006" s="4">
        <v>160007</v>
      </c>
      <c r="I1006" s="4">
        <v>143900</v>
      </c>
    </row>
    <row r="1007" spans="1:9" x14ac:dyDescent="0.3">
      <c r="A1007" s="2" t="s">
        <v>1039</v>
      </c>
      <c r="B1007" s="3">
        <v>45801</v>
      </c>
      <c r="C1007" s="2" t="s">
        <v>10</v>
      </c>
      <c r="D1007" s="2" t="s">
        <v>11</v>
      </c>
      <c r="E1007" s="2" t="s">
        <v>12</v>
      </c>
      <c r="F1007" s="2" t="s">
        <v>23</v>
      </c>
      <c r="G1007" s="2" t="s">
        <v>14</v>
      </c>
      <c r="H1007" s="4">
        <v>129596</v>
      </c>
      <c r="I1007" s="4">
        <v>130500</v>
      </c>
    </row>
    <row r="1008" spans="1:9" x14ac:dyDescent="0.3">
      <c r="A1008" s="2" t="s">
        <v>1040</v>
      </c>
      <c r="B1008" s="3">
        <v>45801</v>
      </c>
      <c r="C1008" s="2" t="s">
        <v>10</v>
      </c>
      <c r="D1008" s="2" t="s">
        <v>11</v>
      </c>
      <c r="E1008" s="2" t="s">
        <v>12</v>
      </c>
      <c r="F1008" s="2" t="s">
        <v>26</v>
      </c>
      <c r="G1008" s="2" t="s">
        <v>14</v>
      </c>
      <c r="H1008" s="4">
        <v>150249</v>
      </c>
      <c r="I1008" s="4">
        <v>132700</v>
      </c>
    </row>
    <row r="1009" spans="1:9" x14ac:dyDescent="0.3">
      <c r="A1009" s="2" t="s">
        <v>1041</v>
      </c>
      <c r="B1009" s="3">
        <v>45801</v>
      </c>
      <c r="C1009" s="2" t="s">
        <v>16</v>
      </c>
      <c r="D1009" s="2" t="s">
        <v>11</v>
      </c>
      <c r="E1009" s="2" t="s">
        <v>17</v>
      </c>
      <c r="F1009" s="2" t="s">
        <v>46</v>
      </c>
      <c r="G1009" s="2" t="s">
        <v>19</v>
      </c>
      <c r="H1009" s="4">
        <v>29185</v>
      </c>
      <c r="I1009" s="4">
        <v>37000</v>
      </c>
    </row>
    <row r="1010" spans="1:9" x14ac:dyDescent="0.3">
      <c r="A1010" s="2" t="s">
        <v>1042</v>
      </c>
      <c r="B1010" s="3">
        <v>45801</v>
      </c>
      <c r="C1010" s="2" t="s">
        <v>16</v>
      </c>
      <c r="D1010" s="2" t="s">
        <v>11</v>
      </c>
      <c r="E1010" s="2" t="s">
        <v>17</v>
      </c>
      <c r="F1010" s="2" t="s">
        <v>59</v>
      </c>
      <c r="G1010" s="2" t="s">
        <v>14</v>
      </c>
      <c r="H1010" s="4">
        <v>203515</v>
      </c>
      <c r="I1010" s="4">
        <v>220800</v>
      </c>
    </row>
    <row r="1011" spans="1:9" x14ac:dyDescent="0.3">
      <c r="A1011" s="2" t="s">
        <v>1043</v>
      </c>
      <c r="B1011" s="3">
        <v>45801</v>
      </c>
      <c r="C1011" s="2" t="s">
        <v>25</v>
      </c>
      <c r="D1011" s="2" t="s">
        <v>11</v>
      </c>
      <c r="E1011" s="2" t="s">
        <v>22</v>
      </c>
      <c r="F1011" s="2" t="s">
        <v>23</v>
      </c>
      <c r="G1011" s="2" t="s">
        <v>14</v>
      </c>
      <c r="H1011" s="4">
        <v>244772</v>
      </c>
      <c r="I1011" s="4">
        <v>272000</v>
      </c>
    </row>
    <row r="1012" spans="1:9" x14ac:dyDescent="0.3">
      <c r="A1012" s="2" t="s">
        <v>1044</v>
      </c>
      <c r="B1012" s="3">
        <v>45801</v>
      </c>
      <c r="C1012" s="2" t="s">
        <v>31</v>
      </c>
      <c r="D1012" s="2" t="s">
        <v>11</v>
      </c>
      <c r="E1012" s="2" t="s">
        <v>17</v>
      </c>
      <c r="F1012" s="2" t="s">
        <v>33</v>
      </c>
      <c r="G1012" s="2" t="s">
        <v>19</v>
      </c>
      <c r="H1012" s="4">
        <v>82640</v>
      </c>
      <c r="I1012" s="4">
        <v>78800</v>
      </c>
    </row>
    <row r="1013" spans="1:9" x14ac:dyDescent="0.3">
      <c r="A1013" s="2" t="s">
        <v>1045</v>
      </c>
      <c r="B1013" s="3">
        <v>45801</v>
      </c>
      <c r="C1013" s="2" t="s">
        <v>31</v>
      </c>
      <c r="D1013" s="2" t="s">
        <v>11</v>
      </c>
      <c r="E1013" s="2" t="s">
        <v>17</v>
      </c>
      <c r="F1013" s="2" t="s">
        <v>39</v>
      </c>
      <c r="G1013" s="2" t="s">
        <v>19</v>
      </c>
      <c r="H1013" s="4">
        <v>17480</v>
      </c>
      <c r="I1013" s="4">
        <v>17400</v>
      </c>
    </row>
    <row r="1014" spans="1:9" x14ac:dyDescent="0.3">
      <c r="A1014" s="2" t="s">
        <v>1046</v>
      </c>
      <c r="B1014" s="3">
        <v>45801</v>
      </c>
      <c r="C1014" s="2" t="s">
        <v>55</v>
      </c>
      <c r="D1014" s="2" t="s">
        <v>11</v>
      </c>
      <c r="E1014" s="2" t="s">
        <v>37</v>
      </c>
      <c r="F1014" s="2" t="s">
        <v>26</v>
      </c>
      <c r="G1014" s="2" t="s">
        <v>14</v>
      </c>
      <c r="H1014" s="4">
        <v>50061</v>
      </c>
      <c r="I1014" s="4">
        <v>49700</v>
      </c>
    </row>
    <row r="1015" spans="1:9" x14ac:dyDescent="0.3">
      <c r="A1015" s="2" t="s">
        <v>1047</v>
      </c>
      <c r="B1015" s="3">
        <v>45802</v>
      </c>
      <c r="C1015" s="2" t="s">
        <v>10</v>
      </c>
      <c r="D1015" s="2" t="s">
        <v>11</v>
      </c>
      <c r="E1015" s="2" t="s">
        <v>12</v>
      </c>
      <c r="F1015" s="2" t="s">
        <v>56</v>
      </c>
      <c r="G1015" s="2" t="s">
        <v>19</v>
      </c>
      <c r="H1015" s="4">
        <v>107458</v>
      </c>
      <c r="I1015" s="4">
        <v>105500</v>
      </c>
    </row>
    <row r="1016" spans="1:9" x14ac:dyDescent="0.3">
      <c r="A1016" s="2" t="s">
        <v>1048</v>
      </c>
      <c r="B1016" s="3">
        <v>45802</v>
      </c>
      <c r="C1016" s="2" t="s">
        <v>16</v>
      </c>
      <c r="D1016" s="2" t="s">
        <v>11</v>
      </c>
      <c r="E1016" s="2" t="s">
        <v>17</v>
      </c>
      <c r="F1016" s="2" t="s">
        <v>18</v>
      </c>
      <c r="G1016" s="2" t="s">
        <v>19</v>
      </c>
      <c r="H1016" s="4">
        <v>14227</v>
      </c>
      <c r="I1016" s="4">
        <v>13700</v>
      </c>
    </row>
    <row r="1017" spans="1:9" x14ac:dyDescent="0.3">
      <c r="A1017" s="2" t="s">
        <v>1049</v>
      </c>
      <c r="B1017" s="3">
        <v>45802</v>
      </c>
      <c r="C1017" s="2" t="s">
        <v>16</v>
      </c>
      <c r="D1017" s="2" t="s">
        <v>11</v>
      </c>
      <c r="E1017" s="2" t="s">
        <v>17</v>
      </c>
      <c r="F1017" s="2" t="s">
        <v>23</v>
      </c>
      <c r="G1017" s="2" t="s">
        <v>14</v>
      </c>
      <c r="H1017" s="4">
        <v>75744</v>
      </c>
      <c r="I1017" s="4">
        <v>71900</v>
      </c>
    </row>
    <row r="1018" spans="1:9" x14ac:dyDescent="0.3">
      <c r="A1018" s="2" t="s">
        <v>1050</v>
      </c>
      <c r="B1018" s="3">
        <v>45802</v>
      </c>
      <c r="C1018" s="2" t="s">
        <v>16</v>
      </c>
      <c r="D1018" s="2" t="s">
        <v>11</v>
      </c>
      <c r="E1018" s="2" t="s">
        <v>17</v>
      </c>
      <c r="F1018" s="2" t="s">
        <v>37</v>
      </c>
      <c r="G1018" s="2" t="s">
        <v>14</v>
      </c>
      <c r="H1018" s="4">
        <v>50697</v>
      </c>
      <c r="I1018" s="4">
        <v>56700</v>
      </c>
    </row>
    <row r="1019" spans="1:9" x14ac:dyDescent="0.3">
      <c r="A1019" s="2" t="s">
        <v>1051</v>
      </c>
      <c r="B1019" s="3">
        <v>45802</v>
      </c>
      <c r="C1019" s="2" t="s">
        <v>21</v>
      </c>
      <c r="D1019" s="2" t="s">
        <v>11</v>
      </c>
      <c r="E1019" s="2" t="s">
        <v>22</v>
      </c>
      <c r="F1019" s="2" t="s">
        <v>42</v>
      </c>
      <c r="G1019" s="2" t="s">
        <v>19</v>
      </c>
      <c r="H1019" s="4">
        <v>119081</v>
      </c>
      <c r="I1019" s="4">
        <v>128700</v>
      </c>
    </row>
    <row r="1020" spans="1:9" x14ac:dyDescent="0.3">
      <c r="A1020" s="2" t="s">
        <v>1052</v>
      </c>
      <c r="B1020" s="3">
        <v>45803</v>
      </c>
      <c r="C1020" s="2" t="s">
        <v>62</v>
      </c>
      <c r="D1020" s="2" t="s">
        <v>11</v>
      </c>
      <c r="E1020" s="2" t="s">
        <v>22</v>
      </c>
      <c r="F1020" s="2" t="s">
        <v>39</v>
      </c>
      <c r="G1020" s="2" t="s">
        <v>19</v>
      </c>
      <c r="H1020" s="4">
        <v>70441</v>
      </c>
      <c r="I1020" s="4">
        <v>74200</v>
      </c>
    </row>
    <row r="1021" spans="1:9" x14ac:dyDescent="0.3">
      <c r="A1021" s="2" t="s">
        <v>1053</v>
      </c>
      <c r="B1021" s="3">
        <v>45803</v>
      </c>
      <c r="C1021" s="2" t="s">
        <v>10</v>
      </c>
      <c r="D1021" s="2" t="s">
        <v>11</v>
      </c>
      <c r="E1021" s="2" t="s">
        <v>12</v>
      </c>
      <c r="F1021" s="2" t="s">
        <v>18</v>
      </c>
      <c r="G1021" s="2" t="s">
        <v>19</v>
      </c>
      <c r="H1021" s="4">
        <v>70917</v>
      </c>
      <c r="I1021" s="4">
        <v>68700</v>
      </c>
    </row>
    <row r="1022" spans="1:9" x14ac:dyDescent="0.3">
      <c r="A1022" s="2" t="s">
        <v>1054</v>
      </c>
      <c r="B1022" s="3">
        <v>45803</v>
      </c>
      <c r="C1022" s="2" t="s">
        <v>16</v>
      </c>
      <c r="D1022" s="2" t="s">
        <v>11</v>
      </c>
      <c r="E1022" s="2" t="s">
        <v>17</v>
      </c>
      <c r="F1022" s="2" t="s">
        <v>26</v>
      </c>
      <c r="G1022" s="2" t="s">
        <v>14</v>
      </c>
      <c r="H1022" s="4">
        <v>66905</v>
      </c>
      <c r="I1022" s="4">
        <v>69000</v>
      </c>
    </row>
    <row r="1023" spans="1:9" x14ac:dyDescent="0.3">
      <c r="A1023" s="2" t="s">
        <v>1055</v>
      </c>
      <c r="B1023" s="3">
        <v>45803</v>
      </c>
      <c r="C1023" s="2" t="s">
        <v>36</v>
      </c>
      <c r="D1023" s="2" t="s">
        <v>11</v>
      </c>
      <c r="E1023" s="2" t="s">
        <v>37</v>
      </c>
      <c r="F1023" s="2" t="s">
        <v>12</v>
      </c>
      <c r="G1023" s="2" t="s">
        <v>14</v>
      </c>
      <c r="H1023" s="4">
        <v>144267</v>
      </c>
      <c r="I1023" s="4">
        <v>157400</v>
      </c>
    </row>
    <row r="1024" spans="1:9" x14ac:dyDescent="0.3">
      <c r="A1024" s="2" t="s">
        <v>1056</v>
      </c>
      <c r="B1024" s="3">
        <v>45803</v>
      </c>
      <c r="C1024" s="2" t="s">
        <v>25</v>
      </c>
      <c r="D1024" s="2" t="s">
        <v>11</v>
      </c>
      <c r="E1024" s="2" t="s">
        <v>22</v>
      </c>
      <c r="F1024" s="2" t="s">
        <v>42</v>
      </c>
      <c r="G1024" s="2" t="s">
        <v>19</v>
      </c>
      <c r="H1024" s="4">
        <v>113018</v>
      </c>
      <c r="I1024" s="4">
        <v>107100</v>
      </c>
    </row>
    <row r="1025" spans="1:9" x14ac:dyDescent="0.3">
      <c r="A1025" s="2" t="s">
        <v>1057</v>
      </c>
      <c r="B1025" s="3">
        <v>45803</v>
      </c>
      <c r="C1025" s="2" t="s">
        <v>31</v>
      </c>
      <c r="D1025" s="2" t="s">
        <v>11</v>
      </c>
      <c r="E1025" s="2" t="s">
        <v>17</v>
      </c>
      <c r="F1025" s="2" t="s">
        <v>23</v>
      </c>
      <c r="G1025" s="2" t="s">
        <v>14</v>
      </c>
      <c r="H1025" s="4">
        <v>172464</v>
      </c>
      <c r="I1025" s="4">
        <v>181400</v>
      </c>
    </row>
    <row r="1026" spans="1:9" x14ac:dyDescent="0.3">
      <c r="A1026" s="2" t="s">
        <v>1058</v>
      </c>
      <c r="B1026" s="3">
        <v>45803</v>
      </c>
      <c r="C1026" s="2" t="s">
        <v>55</v>
      </c>
      <c r="D1026" s="2" t="s">
        <v>11</v>
      </c>
      <c r="E1026" s="2" t="s">
        <v>37</v>
      </c>
      <c r="F1026" s="2" t="s">
        <v>46</v>
      </c>
      <c r="G1026" s="2" t="s">
        <v>19</v>
      </c>
      <c r="H1026" s="4">
        <v>40782</v>
      </c>
      <c r="I1026" s="4">
        <v>43700</v>
      </c>
    </row>
    <row r="1027" spans="1:9" x14ac:dyDescent="0.3">
      <c r="A1027" s="2" t="s">
        <v>1059</v>
      </c>
      <c r="B1027" s="3">
        <v>45804</v>
      </c>
      <c r="C1027" s="2" t="s">
        <v>10</v>
      </c>
      <c r="D1027" s="2" t="s">
        <v>11</v>
      </c>
      <c r="E1027" s="2" t="s">
        <v>12</v>
      </c>
      <c r="F1027" s="2" t="s">
        <v>42</v>
      </c>
      <c r="G1027" s="2" t="s">
        <v>19</v>
      </c>
      <c r="H1027" s="4">
        <v>59453</v>
      </c>
      <c r="I1027" s="4">
        <v>57700</v>
      </c>
    </row>
    <row r="1028" spans="1:9" x14ac:dyDescent="0.3">
      <c r="A1028" s="2" t="s">
        <v>1060</v>
      </c>
      <c r="B1028" s="3">
        <v>45804</v>
      </c>
      <c r="C1028" s="2" t="s">
        <v>10</v>
      </c>
      <c r="D1028" s="2" t="s">
        <v>11</v>
      </c>
      <c r="E1028" s="2" t="s">
        <v>12</v>
      </c>
      <c r="F1028" s="2" t="s">
        <v>39</v>
      </c>
      <c r="G1028" s="2" t="s">
        <v>19</v>
      </c>
      <c r="H1028" s="4">
        <v>85654</v>
      </c>
      <c r="I1028" s="4">
        <v>72700</v>
      </c>
    </row>
    <row r="1029" spans="1:9" x14ac:dyDescent="0.3">
      <c r="A1029" s="2" t="s">
        <v>1061</v>
      </c>
      <c r="B1029" s="3">
        <v>45804</v>
      </c>
      <c r="C1029" s="2" t="s">
        <v>16</v>
      </c>
      <c r="D1029" s="2" t="s">
        <v>11</v>
      </c>
      <c r="E1029" s="2" t="s">
        <v>17</v>
      </c>
      <c r="F1029" s="2" t="s">
        <v>37</v>
      </c>
      <c r="G1029" s="2" t="s">
        <v>14</v>
      </c>
      <c r="H1029" s="4">
        <v>145237</v>
      </c>
      <c r="I1029" s="4">
        <v>144400</v>
      </c>
    </row>
    <row r="1030" spans="1:9" x14ac:dyDescent="0.3">
      <c r="A1030" s="2" t="s">
        <v>1062</v>
      </c>
      <c r="B1030" s="3">
        <v>45804</v>
      </c>
      <c r="C1030" s="2" t="s">
        <v>31</v>
      </c>
      <c r="D1030" s="2" t="s">
        <v>11</v>
      </c>
      <c r="E1030" s="2" t="s">
        <v>17</v>
      </c>
      <c r="F1030" s="2" t="s">
        <v>56</v>
      </c>
      <c r="G1030" s="2" t="s">
        <v>19</v>
      </c>
      <c r="H1030" s="4">
        <v>116403</v>
      </c>
      <c r="I1030" s="4">
        <v>114300</v>
      </c>
    </row>
    <row r="1031" spans="1:9" x14ac:dyDescent="0.3">
      <c r="A1031" s="2" t="s">
        <v>1063</v>
      </c>
      <c r="B1031" s="3">
        <v>45804</v>
      </c>
      <c r="C1031" s="2" t="s">
        <v>31</v>
      </c>
      <c r="D1031" s="2" t="s">
        <v>11</v>
      </c>
      <c r="E1031" s="2" t="s">
        <v>17</v>
      </c>
      <c r="F1031" s="2" t="s">
        <v>12</v>
      </c>
      <c r="G1031" s="2" t="s">
        <v>14</v>
      </c>
      <c r="H1031" s="4">
        <v>199876</v>
      </c>
      <c r="I1031" s="4">
        <v>210200</v>
      </c>
    </row>
    <row r="1032" spans="1:9" x14ac:dyDescent="0.3">
      <c r="A1032" s="2" t="s">
        <v>1064</v>
      </c>
      <c r="B1032" s="3">
        <v>45805</v>
      </c>
      <c r="C1032" s="2" t="s">
        <v>62</v>
      </c>
      <c r="D1032" s="2" t="s">
        <v>11</v>
      </c>
      <c r="E1032" s="2" t="s">
        <v>22</v>
      </c>
      <c r="F1032" s="2" t="s">
        <v>12</v>
      </c>
      <c r="G1032" s="2" t="s">
        <v>14</v>
      </c>
      <c r="H1032" s="4">
        <v>194246</v>
      </c>
      <c r="I1032" s="4">
        <v>202300</v>
      </c>
    </row>
    <row r="1033" spans="1:9" x14ac:dyDescent="0.3">
      <c r="A1033" s="2" t="s">
        <v>1065</v>
      </c>
      <c r="B1033" s="3">
        <v>45805</v>
      </c>
      <c r="C1033" s="2" t="s">
        <v>36</v>
      </c>
      <c r="D1033" s="2" t="s">
        <v>11</v>
      </c>
      <c r="E1033" s="2" t="s">
        <v>37</v>
      </c>
      <c r="F1033" s="2" t="s">
        <v>13</v>
      </c>
      <c r="G1033" s="2" t="s">
        <v>14</v>
      </c>
      <c r="H1033" s="4">
        <v>179568</v>
      </c>
      <c r="I1033" s="4">
        <v>180700</v>
      </c>
    </row>
    <row r="1034" spans="1:9" x14ac:dyDescent="0.3">
      <c r="A1034" s="2" t="s">
        <v>1066</v>
      </c>
      <c r="B1034" s="3">
        <v>45805</v>
      </c>
      <c r="C1034" s="2" t="s">
        <v>25</v>
      </c>
      <c r="D1034" s="2" t="s">
        <v>11</v>
      </c>
      <c r="E1034" s="2" t="s">
        <v>22</v>
      </c>
      <c r="F1034" s="2" t="s">
        <v>13</v>
      </c>
      <c r="G1034" s="2" t="s">
        <v>14</v>
      </c>
      <c r="H1034" s="4">
        <v>66111</v>
      </c>
      <c r="I1034" s="4">
        <v>63700</v>
      </c>
    </row>
    <row r="1035" spans="1:9" x14ac:dyDescent="0.3">
      <c r="A1035" s="2" t="s">
        <v>1067</v>
      </c>
      <c r="B1035" s="3">
        <v>45806</v>
      </c>
      <c r="C1035" s="2" t="s">
        <v>10</v>
      </c>
      <c r="D1035" s="2" t="s">
        <v>11</v>
      </c>
      <c r="E1035" s="2" t="s">
        <v>12</v>
      </c>
      <c r="F1035" s="2" t="s">
        <v>26</v>
      </c>
      <c r="G1035" s="2" t="s">
        <v>14</v>
      </c>
      <c r="H1035" s="4">
        <v>183334</v>
      </c>
      <c r="I1035" s="4">
        <v>192500</v>
      </c>
    </row>
    <row r="1036" spans="1:9" x14ac:dyDescent="0.3">
      <c r="A1036" s="2" t="s">
        <v>1068</v>
      </c>
      <c r="B1036" s="3">
        <v>45806</v>
      </c>
      <c r="C1036" s="2" t="s">
        <v>10</v>
      </c>
      <c r="D1036" s="2" t="s">
        <v>11</v>
      </c>
      <c r="E1036" s="2" t="s">
        <v>12</v>
      </c>
      <c r="F1036" s="2" t="s">
        <v>13</v>
      </c>
      <c r="G1036" s="2" t="s">
        <v>14</v>
      </c>
      <c r="H1036" s="4">
        <v>35290</v>
      </c>
      <c r="I1036" s="4">
        <v>36700</v>
      </c>
    </row>
    <row r="1037" spans="1:9" x14ac:dyDescent="0.3">
      <c r="A1037" s="2" t="s">
        <v>1069</v>
      </c>
      <c r="B1037" s="3">
        <v>45806</v>
      </c>
      <c r="C1037" s="2" t="s">
        <v>21</v>
      </c>
      <c r="D1037" s="2" t="s">
        <v>11</v>
      </c>
      <c r="E1037" s="2" t="s">
        <v>22</v>
      </c>
      <c r="F1037" s="2" t="s">
        <v>23</v>
      </c>
      <c r="G1037" s="2" t="s">
        <v>14</v>
      </c>
      <c r="H1037" s="4">
        <v>169109</v>
      </c>
      <c r="I1037" s="4">
        <v>162600</v>
      </c>
    </row>
    <row r="1038" spans="1:9" x14ac:dyDescent="0.3">
      <c r="A1038" s="2" t="s">
        <v>1070</v>
      </c>
      <c r="B1038" s="3">
        <v>45806</v>
      </c>
      <c r="C1038" s="2" t="s">
        <v>21</v>
      </c>
      <c r="D1038" s="2" t="s">
        <v>11</v>
      </c>
      <c r="E1038" s="2" t="s">
        <v>22</v>
      </c>
      <c r="F1038" s="2" t="s">
        <v>13</v>
      </c>
      <c r="G1038" s="2" t="s">
        <v>14</v>
      </c>
      <c r="H1038" s="4">
        <v>182358</v>
      </c>
      <c r="I1038" s="4">
        <v>172700</v>
      </c>
    </row>
    <row r="1039" spans="1:9" x14ac:dyDescent="0.3">
      <c r="A1039" s="2" t="s">
        <v>1071</v>
      </c>
      <c r="B1039" s="3">
        <v>45806</v>
      </c>
      <c r="C1039" s="2" t="s">
        <v>55</v>
      </c>
      <c r="D1039" s="2" t="s">
        <v>11</v>
      </c>
      <c r="E1039" s="2" t="s">
        <v>37</v>
      </c>
      <c r="F1039" s="2" t="s">
        <v>56</v>
      </c>
      <c r="G1039" s="2" t="s">
        <v>19</v>
      </c>
      <c r="H1039" s="4">
        <v>13982</v>
      </c>
      <c r="I1039" s="4">
        <v>13500</v>
      </c>
    </row>
    <row r="1040" spans="1:9" x14ac:dyDescent="0.3">
      <c r="A1040" s="2" t="s">
        <v>1072</v>
      </c>
      <c r="B1040" s="3">
        <v>45807</v>
      </c>
      <c r="C1040" s="2" t="s">
        <v>62</v>
      </c>
      <c r="D1040" s="2" t="s">
        <v>11</v>
      </c>
      <c r="E1040" s="2" t="s">
        <v>22</v>
      </c>
      <c r="F1040" s="2" t="s">
        <v>23</v>
      </c>
      <c r="G1040" s="2" t="s">
        <v>14</v>
      </c>
      <c r="H1040" s="4">
        <v>248633</v>
      </c>
      <c r="I1040" s="4">
        <v>239000</v>
      </c>
    </row>
    <row r="1041" spans="1:9" x14ac:dyDescent="0.3">
      <c r="A1041" s="2" t="s">
        <v>1073</v>
      </c>
      <c r="B1041" s="3">
        <v>45807</v>
      </c>
      <c r="C1041" s="2" t="s">
        <v>10</v>
      </c>
      <c r="D1041" s="2" t="s">
        <v>11</v>
      </c>
      <c r="E1041" s="2" t="s">
        <v>12</v>
      </c>
      <c r="F1041" s="2" t="s">
        <v>56</v>
      </c>
      <c r="G1041" s="2" t="s">
        <v>19</v>
      </c>
      <c r="H1041" s="4">
        <v>55116</v>
      </c>
      <c r="I1041" s="4">
        <v>41600</v>
      </c>
    </row>
    <row r="1042" spans="1:9" x14ac:dyDescent="0.3">
      <c r="A1042" s="2" t="s">
        <v>1074</v>
      </c>
      <c r="B1042" s="3">
        <v>45807</v>
      </c>
      <c r="C1042" s="2" t="s">
        <v>10</v>
      </c>
      <c r="D1042" s="2" t="s">
        <v>11</v>
      </c>
      <c r="E1042" s="2" t="s">
        <v>12</v>
      </c>
      <c r="F1042" s="2" t="s">
        <v>39</v>
      </c>
      <c r="G1042" s="2" t="s">
        <v>19</v>
      </c>
      <c r="H1042" s="4">
        <v>14760</v>
      </c>
      <c r="I1042" s="4">
        <v>14800</v>
      </c>
    </row>
    <row r="1043" spans="1:9" x14ac:dyDescent="0.3">
      <c r="A1043" s="2" t="s">
        <v>1075</v>
      </c>
      <c r="B1043" s="3">
        <v>45807</v>
      </c>
      <c r="C1043" s="2" t="s">
        <v>36</v>
      </c>
      <c r="D1043" s="2" t="s">
        <v>11</v>
      </c>
      <c r="E1043" s="2" t="s">
        <v>37</v>
      </c>
      <c r="F1043" s="2" t="s">
        <v>33</v>
      </c>
      <c r="G1043" s="2" t="s">
        <v>19</v>
      </c>
      <c r="H1043" s="4">
        <v>97550</v>
      </c>
      <c r="I1043" s="4">
        <v>92900</v>
      </c>
    </row>
    <row r="1044" spans="1:9" x14ac:dyDescent="0.3">
      <c r="A1044" s="2" t="s">
        <v>1076</v>
      </c>
      <c r="B1044" s="3">
        <v>45807</v>
      </c>
      <c r="C1044" s="2" t="s">
        <v>21</v>
      </c>
      <c r="D1044" s="2" t="s">
        <v>11</v>
      </c>
      <c r="E1044" s="2" t="s">
        <v>22</v>
      </c>
      <c r="F1044" s="2" t="s">
        <v>39</v>
      </c>
      <c r="G1044" s="2" t="s">
        <v>19</v>
      </c>
      <c r="H1044" s="4">
        <v>75071</v>
      </c>
      <c r="I1044" s="4">
        <v>61000</v>
      </c>
    </row>
    <row r="1045" spans="1:9" x14ac:dyDescent="0.3">
      <c r="A1045" s="2" t="s">
        <v>1077</v>
      </c>
      <c r="B1045" s="3">
        <v>45807</v>
      </c>
      <c r="C1045" s="2" t="s">
        <v>21</v>
      </c>
      <c r="D1045" s="2" t="s">
        <v>11</v>
      </c>
      <c r="E1045" s="2" t="s">
        <v>22</v>
      </c>
      <c r="F1045" s="2" t="s">
        <v>37</v>
      </c>
      <c r="G1045" s="2" t="s">
        <v>14</v>
      </c>
      <c r="H1045" s="4">
        <v>28890</v>
      </c>
      <c r="I1045" s="4">
        <v>26400</v>
      </c>
    </row>
    <row r="1046" spans="1:9" x14ac:dyDescent="0.3">
      <c r="A1046" s="2" t="s">
        <v>1078</v>
      </c>
      <c r="B1046" s="3">
        <v>45807</v>
      </c>
      <c r="C1046" s="2" t="s">
        <v>25</v>
      </c>
      <c r="D1046" s="2" t="s">
        <v>11</v>
      </c>
      <c r="E1046" s="2" t="s">
        <v>22</v>
      </c>
      <c r="F1046" s="2" t="s">
        <v>56</v>
      </c>
      <c r="G1046" s="2" t="s">
        <v>19</v>
      </c>
      <c r="H1046" s="4">
        <v>25769</v>
      </c>
      <c r="I1046" s="4">
        <v>27500</v>
      </c>
    </row>
    <row r="1047" spans="1:9" x14ac:dyDescent="0.3">
      <c r="A1047" s="2" t="s">
        <v>1079</v>
      </c>
      <c r="B1047" s="3">
        <v>45808</v>
      </c>
      <c r="C1047" s="2" t="s">
        <v>62</v>
      </c>
      <c r="D1047" s="2" t="s">
        <v>11</v>
      </c>
      <c r="E1047" s="2" t="s">
        <v>22</v>
      </c>
      <c r="F1047" s="2" t="s">
        <v>33</v>
      </c>
      <c r="G1047" s="2" t="s">
        <v>19</v>
      </c>
      <c r="H1047" s="4">
        <v>44174</v>
      </c>
      <c r="I1047" s="4">
        <v>35100</v>
      </c>
    </row>
    <row r="1048" spans="1:9" x14ac:dyDescent="0.3">
      <c r="A1048" s="2" t="s">
        <v>1080</v>
      </c>
      <c r="B1048" s="3">
        <v>45808</v>
      </c>
      <c r="C1048" s="2" t="s">
        <v>10</v>
      </c>
      <c r="D1048" s="2" t="s">
        <v>11</v>
      </c>
      <c r="E1048" s="2" t="s">
        <v>12</v>
      </c>
      <c r="F1048" s="2" t="s">
        <v>42</v>
      </c>
      <c r="G1048" s="2" t="s">
        <v>19</v>
      </c>
      <c r="H1048" s="4">
        <v>119801</v>
      </c>
      <c r="I1048" s="4">
        <v>96700</v>
      </c>
    </row>
    <row r="1049" spans="1:9" x14ac:dyDescent="0.3">
      <c r="A1049" s="2" t="s">
        <v>1081</v>
      </c>
      <c r="B1049" s="3">
        <v>45808</v>
      </c>
      <c r="C1049" s="2" t="s">
        <v>21</v>
      </c>
      <c r="D1049" s="2" t="s">
        <v>11</v>
      </c>
      <c r="E1049" s="2" t="s">
        <v>22</v>
      </c>
      <c r="F1049" s="2" t="s">
        <v>33</v>
      </c>
      <c r="G1049" s="2" t="s">
        <v>19</v>
      </c>
      <c r="H1049" s="4">
        <v>110363</v>
      </c>
      <c r="I1049" s="4">
        <v>122500</v>
      </c>
    </row>
    <row r="1050" spans="1:9" x14ac:dyDescent="0.3">
      <c r="A1050" s="2" t="s">
        <v>1082</v>
      </c>
      <c r="B1050" s="3">
        <v>45808</v>
      </c>
      <c r="C1050" s="2" t="s">
        <v>55</v>
      </c>
      <c r="D1050" s="2" t="s">
        <v>11</v>
      </c>
      <c r="E1050" s="2" t="s">
        <v>37</v>
      </c>
      <c r="F1050" s="2" t="s">
        <v>56</v>
      </c>
      <c r="G1050" s="2" t="s">
        <v>19</v>
      </c>
      <c r="H1050" s="4">
        <v>98921</v>
      </c>
      <c r="I1050" s="4">
        <v>92200</v>
      </c>
    </row>
    <row r="1051" spans="1:9" x14ac:dyDescent="0.3">
      <c r="A1051" s="2" t="s">
        <v>1083</v>
      </c>
      <c r="B1051" s="3">
        <v>45808</v>
      </c>
      <c r="C1051" s="2" t="s">
        <v>55</v>
      </c>
      <c r="D1051" s="2" t="s">
        <v>11</v>
      </c>
      <c r="E1051" s="2" t="s">
        <v>37</v>
      </c>
      <c r="F1051" s="2" t="s">
        <v>59</v>
      </c>
      <c r="G1051" s="2" t="s">
        <v>14</v>
      </c>
      <c r="H1051" s="4">
        <v>187842</v>
      </c>
      <c r="I1051" s="4">
        <v>175600</v>
      </c>
    </row>
    <row r="1052" spans="1:9" x14ac:dyDescent="0.3">
      <c r="A1052" s="2" t="s">
        <v>1084</v>
      </c>
      <c r="B1052" s="3">
        <v>45809</v>
      </c>
      <c r="C1052" s="2" t="s">
        <v>62</v>
      </c>
      <c r="D1052" s="2" t="s">
        <v>11</v>
      </c>
      <c r="E1052" s="2" t="s">
        <v>22</v>
      </c>
      <c r="F1052" s="2" t="s">
        <v>23</v>
      </c>
      <c r="G1052" s="2" t="s">
        <v>14</v>
      </c>
      <c r="H1052" s="4">
        <v>217348</v>
      </c>
      <c r="I1052" s="4">
        <v>276900</v>
      </c>
    </row>
    <row r="1053" spans="1:9" x14ac:dyDescent="0.3">
      <c r="A1053" s="2" t="s">
        <v>1085</v>
      </c>
      <c r="B1053" s="3">
        <v>45809</v>
      </c>
      <c r="C1053" s="2" t="s">
        <v>10</v>
      </c>
      <c r="D1053" s="2" t="s">
        <v>11</v>
      </c>
      <c r="E1053" s="2" t="s">
        <v>12</v>
      </c>
      <c r="F1053" s="2" t="s">
        <v>18</v>
      </c>
      <c r="G1053" s="2" t="s">
        <v>19</v>
      </c>
      <c r="H1053" s="4">
        <v>92605</v>
      </c>
      <c r="I1053" s="4">
        <v>96200</v>
      </c>
    </row>
    <row r="1054" spans="1:9" x14ac:dyDescent="0.3">
      <c r="A1054" s="2" t="s">
        <v>1086</v>
      </c>
      <c r="B1054" s="3">
        <v>45809</v>
      </c>
      <c r="C1054" s="2" t="s">
        <v>10</v>
      </c>
      <c r="D1054" s="2" t="s">
        <v>11</v>
      </c>
      <c r="E1054" s="2" t="s">
        <v>12</v>
      </c>
      <c r="F1054" s="2" t="s">
        <v>18</v>
      </c>
      <c r="G1054" s="2" t="s">
        <v>19</v>
      </c>
      <c r="H1054" s="4">
        <v>51182</v>
      </c>
      <c r="I1054" s="4">
        <v>50700</v>
      </c>
    </row>
    <row r="1055" spans="1:9" x14ac:dyDescent="0.3">
      <c r="A1055" s="2" t="s">
        <v>1087</v>
      </c>
      <c r="B1055" s="3">
        <v>45809</v>
      </c>
      <c r="C1055" s="2" t="s">
        <v>36</v>
      </c>
      <c r="D1055" s="2" t="s">
        <v>11</v>
      </c>
      <c r="E1055" s="2" t="s">
        <v>37</v>
      </c>
      <c r="F1055" s="2" t="s">
        <v>39</v>
      </c>
      <c r="G1055" s="2" t="s">
        <v>19</v>
      </c>
      <c r="H1055" s="4">
        <v>80807</v>
      </c>
      <c r="I1055" s="4">
        <v>76800</v>
      </c>
    </row>
    <row r="1056" spans="1:9" x14ac:dyDescent="0.3">
      <c r="A1056" s="2" t="s">
        <v>1088</v>
      </c>
      <c r="B1056" s="3">
        <v>45809</v>
      </c>
      <c r="C1056" s="2" t="s">
        <v>36</v>
      </c>
      <c r="D1056" s="2" t="s">
        <v>11</v>
      </c>
      <c r="E1056" s="2" t="s">
        <v>37</v>
      </c>
      <c r="F1056" s="2" t="s">
        <v>13</v>
      </c>
      <c r="G1056" s="2" t="s">
        <v>14</v>
      </c>
      <c r="H1056" s="4">
        <v>45444</v>
      </c>
      <c r="I1056" s="4">
        <v>42000</v>
      </c>
    </row>
    <row r="1057" spans="1:9" x14ac:dyDescent="0.3">
      <c r="A1057" s="2" t="s">
        <v>1089</v>
      </c>
      <c r="B1057" s="3">
        <v>45809</v>
      </c>
      <c r="C1057" s="2" t="s">
        <v>25</v>
      </c>
      <c r="D1057" s="2" t="s">
        <v>11</v>
      </c>
      <c r="E1057" s="2" t="s">
        <v>22</v>
      </c>
      <c r="F1057" s="2" t="s">
        <v>26</v>
      </c>
      <c r="G1057" s="2" t="s">
        <v>14</v>
      </c>
      <c r="H1057" s="4">
        <v>162897</v>
      </c>
      <c r="I1057" s="4">
        <v>140300</v>
      </c>
    </row>
    <row r="1058" spans="1:9" x14ac:dyDescent="0.3">
      <c r="A1058" s="2" t="s">
        <v>1090</v>
      </c>
      <c r="B1058" s="3">
        <v>45809</v>
      </c>
      <c r="C1058" s="2" t="s">
        <v>31</v>
      </c>
      <c r="D1058" s="2" t="s">
        <v>11</v>
      </c>
      <c r="E1058" s="2" t="s">
        <v>17</v>
      </c>
      <c r="F1058" s="2" t="s">
        <v>56</v>
      </c>
      <c r="G1058" s="2" t="s">
        <v>19</v>
      </c>
      <c r="H1058" s="4">
        <v>96820</v>
      </c>
      <c r="I1058" s="4">
        <v>93300</v>
      </c>
    </row>
    <row r="1059" spans="1:9" x14ac:dyDescent="0.3">
      <c r="A1059" s="2" t="s">
        <v>1091</v>
      </c>
      <c r="B1059" s="3">
        <v>45809</v>
      </c>
      <c r="C1059" s="2" t="s">
        <v>31</v>
      </c>
      <c r="D1059" s="2" t="s">
        <v>11</v>
      </c>
      <c r="E1059" s="2" t="s">
        <v>17</v>
      </c>
      <c r="F1059" s="2" t="s">
        <v>12</v>
      </c>
      <c r="G1059" s="2" t="s">
        <v>14</v>
      </c>
      <c r="H1059" s="4">
        <v>29114</v>
      </c>
      <c r="I1059" s="4">
        <v>26500</v>
      </c>
    </row>
    <row r="1060" spans="1:9" x14ac:dyDescent="0.3">
      <c r="A1060" s="2" t="s">
        <v>1092</v>
      </c>
      <c r="B1060" s="3">
        <v>45810</v>
      </c>
      <c r="C1060" s="2" t="s">
        <v>62</v>
      </c>
      <c r="D1060" s="2" t="s">
        <v>11</v>
      </c>
      <c r="E1060" s="2" t="s">
        <v>22</v>
      </c>
      <c r="F1060" s="2" t="s">
        <v>46</v>
      </c>
      <c r="G1060" s="2" t="s">
        <v>19</v>
      </c>
      <c r="H1060" s="4">
        <v>39098</v>
      </c>
      <c r="I1060" s="4">
        <v>36300</v>
      </c>
    </row>
    <row r="1061" spans="1:9" x14ac:dyDescent="0.3">
      <c r="A1061" s="2" t="s">
        <v>1093</v>
      </c>
      <c r="B1061" s="3">
        <v>45810</v>
      </c>
      <c r="C1061" s="2" t="s">
        <v>10</v>
      </c>
      <c r="D1061" s="2" t="s">
        <v>11</v>
      </c>
      <c r="E1061" s="2" t="s">
        <v>12</v>
      </c>
      <c r="F1061" s="2" t="s">
        <v>33</v>
      </c>
      <c r="G1061" s="2" t="s">
        <v>19</v>
      </c>
      <c r="H1061" s="4">
        <v>52027</v>
      </c>
      <c r="I1061" s="4">
        <v>60100</v>
      </c>
    </row>
    <row r="1062" spans="1:9" x14ac:dyDescent="0.3">
      <c r="A1062" s="2" t="s">
        <v>1094</v>
      </c>
      <c r="B1062" s="3">
        <v>45810</v>
      </c>
      <c r="C1062" s="2" t="s">
        <v>36</v>
      </c>
      <c r="D1062" s="2" t="s">
        <v>11</v>
      </c>
      <c r="E1062" s="2" t="s">
        <v>37</v>
      </c>
      <c r="F1062" s="2" t="s">
        <v>12</v>
      </c>
      <c r="G1062" s="2" t="s">
        <v>14</v>
      </c>
      <c r="H1062" s="4">
        <v>135470</v>
      </c>
      <c r="I1062" s="4">
        <v>139800</v>
      </c>
    </row>
    <row r="1063" spans="1:9" x14ac:dyDescent="0.3">
      <c r="A1063" s="2" t="s">
        <v>1095</v>
      </c>
      <c r="B1063" s="3">
        <v>45810</v>
      </c>
      <c r="C1063" s="2" t="s">
        <v>55</v>
      </c>
      <c r="D1063" s="2" t="s">
        <v>11</v>
      </c>
      <c r="E1063" s="2" t="s">
        <v>37</v>
      </c>
      <c r="F1063" s="2" t="s">
        <v>56</v>
      </c>
      <c r="G1063" s="2" t="s">
        <v>19</v>
      </c>
      <c r="H1063" s="4">
        <v>77331</v>
      </c>
      <c r="I1063" s="4">
        <v>70000</v>
      </c>
    </row>
    <row r="1064" spans="1:9" x14ac:dyDescent="0.3">
      <c r="A1064" s="2" t="s">
        <v>1096</v>
      </c>
      <c r="B1064" s="3">
        <v>45811</v>
      </c>
      <c r="C1064" s="2" t="s">
        <v>62</v>
      </c>
      <c r="D1064" s="2" t="s">
        <v>11</v>
      </c>
      <c r="E1064" s="2" t="s">
        <v>22</v>
      </c>
      <c r="F1064" s="2" t="s">
        <v>59</v>
      </c>
      <c r="G1064" s="2" t="s">
        <v>14</v>
      </c>
      <c r="H1064" s="4">
        <v>172724</v>
      </c>
      <c r="I1064" s="4">
        <v>167100</v>
      </c>
    </row>
    <row r="1065" spans="1:9" x14ac:dyDescent="0.3">
      <c r="A1065" s="2" t="s">
        <v>1097</v>
      </c>
      <c r="B1065" s="3">
        <v>45811</v>
      </c>
      <c r="C1065" s="2" t="s">
        <v>36</v>
      </c>
      <c r="D1065" s="2" t="s">
        <v>11</v>
      </c>
      <c r="E1065" s="2" t="s">
        <v>37</v>
      </c>
      <c r="F1065" s="2" t="s">
        <v>39</v>
      </c>
      <c r="G1065" s="2" t="s">
        <v>19</v>
      </c>
      <c r="H1065" s="4">
        <v>70879</v>
      </c>
      <c r="I1065" s="4">
        <v>71100</v>
      </c>
    </row>
    <row r="1066" spans="1:9" x14ac:dyDescent="0.3">
      <c r="A1066" s="2" t="s">
        <v>1098</v>
      </c>
      <c r="B1066" s="3">
        <v>45811</v>
      </c>
      <c r="C1066" s="2" t="s">
        <v>21</v>
      </c>
      <c r="D1066" s="2" t="s">
        <v>11</v>
      </c>
      <c r="E1066" s="2" t="s">
        <v>22</v>
      </c>
      <c r="F1066" s="2" t="s">
        <v>26</v>
      </c>
      <c r="G1066" s="2" t="s">
        <v>14</v>
      </c>
      <c r="H1066" s="4">
        <v>230862</v>
      </c>
      <c r="I1066" s="4">
        <v>239500</v>
      </c>
    </row>
    <row r="1067" spans="1:9" x14ac:dyDescent="0.3">
      <c r="A1067" s="2" t="s">
        <v>1099</v>
      </c>
      <c r="B1067" s="3">
        <v>45811</v>
      </c>
      <c r="C1067" s="2" t="s">
        <v>25</v>
      </c>
      <c r="D1067" s="2" t="s">
        <v>11</v>
      </c>
      <c r="E1067" s="2" t="s">
        <v>22</v>
      </c>
      <c r="F1067" s="2" t="s">
        <v>46</v>
      </c>
      <c r="G1067" s="2" t="s">
        <v>19</v>
      </c>
      <c r="H1067" s="4">
        <v>44947</v>
      </c>
      <c r="I1067" s="4">
        <v>42300</v>
      </c>
    </row>
    <row r="1068" spans="1:9" x14ac:dyDescent="0.3">
      <c r="A1068" s="2" t="s">
        <v>1100</v>
      </c>
      <c r="B1068" s="3">
        <v>45811</v>
      </c>
      <c r="C1068" s="2" t="s">
        <v>25</v>
      </c>
      <c r="D1068" s="2" t="s">
        <v>11</v>
      </c>
      <c r="E1068" s="2" t="s">
        <v>22</v>
      </c>
      <c r="F1068" s="2" t="s">
        <v>56</v>
      </c>
      <c r="G1068" s="2" t="s">
        <v>19</v>
      </c>
      <c r="H1068" s="4">
        <v>104899</v>
      </c>
      <c r="I1068" s="4">
        <v>95400</v>
      </c>
    </row>
    <row r="1069" spans="1:9" x14ac:dyDescent="0.3">
      <c r="A1069" s="2" t="s">
        <v>1101</v>
      </c>
      <c r="B1069" s="3">
        <v>45811</v>
      </c>
      <c r="C1069" s="2" t="s">
        <v>31</v>
      </c>
      <c r="D1069" s="2" t="s">
        <v>11</v>
      </c>
      <c r="E1069" s="2" t="s">
        <v>17</v>
      </c>
      <c r="F1069" s="2" t="s">
        <v>46</v>
      </c>
      <c r="G1069" s="2" t="s">
        <v>19</v>
      </c>
      <c r="H1069" s="4">
        <v>36024</v>
      </c>
      <c r="I1069" s="4">
        <v>28200</v>
      </c>
    </row>
    <row r="1070" spans="1:9" x14ac:dyDescent="0.3">
      <c r="A1070" s="2" t="s">
        <v>1102</v>
      </c>
      <c r="B1070" s="3">
        <v>45811</v>
      </c>
      <c r="C1070" s="2" t="s">
        <v>31</v>
      </c>
      <c r="D1070" s="2" t="s">
        <v>11</v>
      </c>
      <c r="E1070" s="2" t="s">
        <v>17</v>
      </c>
      <c r="F1070" s="2" t="s">
        <v>46</v>
      </c>
      <c r="G1070" s="2" t="s">
        <v>19</v>
      </c>
      <c r="H1070" s="4">
        <v>65721</v>
      </c>
      <c r="I1070" s="4">
        <v>54300</v>
      </c>
    </row>
    <row r="1071" spans="1:9" x14ac:dyDescent="0.3">
      <c r="A1071" s="2" t="s">
        <v>1103</v>
      </c>
      <c r="B1071" s="3">
        <v>45812</v>
      </c>
      <c r="C1071" s="2" t="s">
        <v>62</v>
      </c>
      <c r="D1071" s="2" t="s">
        <v>11</v>
      </c>
      <c r="E1071" s="2" t="s">
        <v>22</v>
      </c>
      <c r="F1071" s="2" t="s">
        <v>42</v>
      </c>
      <c r="G1071" s="2" t="s">
        <v>19</v>
      </c>
      <c r="H1071" s="4">
        <v>61359</v>
      </c>
      <c r="I1071" s="4">
        <v>49500</v>
      </c>
    </row>
    <row r="1072" spans="1:9" x14ac:dyDescent="0.3">
      <c r="A1072" s="2" t="s">
        <v>1104</v>
      </c>
      <c r="B1072" s="3">
        <v>45812</v>
      </c>
      <c r="C1072" s="2" t="s">
        <v>16</v>
      </c>
      <c r="D1072" s="2" t="s">
        <v>11</v>
      </c>
      <c r="E1072" s="2" t="s">
        <v>17</v>
      </c>
      <c r="F1072" s="2" t="s">
        <v>59</v>
      </c>
      <c r="G1072" s="2" t="s">
        <v>14</v>
      </c>
      <c r="H1072" s="4">
        <v>154701</v>
      </c>
      <c r="I1072" s="4">
        <v>162800</v>
      </c>
    </row>
    <row r="1073" spans="1:9" x14ac:dyDescent="0.3">
      <c r="A1073" s="2" t="s">
        <v>1105</v>
      </c>
      <c r="B1073" s="3">
        <v>45812</v>
      </c>
      <c r="C1073" s="2" t="s">
        <v>21</v>
      </c>
      <c r="D1073" s="2" t="s">
        <v>11</v>
      </c>
      <c r="E1073" s="2" t="s">
        <v>22</v>
      </c>
      <c r="F1073" s="2" t="s">
        <v>56</v>
      </c>
      <c r="G1073" s="2" t="s">
        <v>19</v>
      </c>
      <c r="H1073" s="4">
        <v>64888</v>
      </c>
      <c r="I1073" s="4">
        <v>54700</v>
      </c>
    </row>
    <row r="1074" spans="1:9" x14ac:dyDescent="0.3">
      <c r="A1074" s="2" t="s">
        <v>1106</v>
      </c>
      <c r="B1074" s="3">
        <v>45812</v>
      </c>
      <c r="C1074" s="2" t="s">
        <v>25</v>
      </c>
      <c r="D1074" s="2" t="s">
        <v>11</v>
      </c>
      <c r="E1074" s="2" t="s">
        <v>22</v>
      </c>
      <c r="F1074" s="2" t="s">
        <v>46</v>
      </c>
      <c r="G1074" s="2" t="s">
        <v>19</v>
      </c>
      <c r="H1074" s="4">
        <v>17964</v>
      </c>
      <c r="I1074" s="4">
        <v>20200</v>
      </c>
    </row>
    <row r="1075" spans="1:9" x14ac:dyDescent="0.3">
      <c r="A1075" s="2" t="s">
        <v>1107</v>
      </c>
      <c r="B1075" s="3">
        <v>45812</v>
      </c>
      <c r="C1075" s="2" t="s">
        <v>31</v>
      </c>
      <c r="D1075" s="2" t="s">
        <v>11</v>
      </c>
      <c r="E1075" s="2" t="s">
        <v>17</v>
      </c>
      <c r="F1075" s="2" t="s">
        <v>33</v>
      </c>
      <c r="G1075" s="2" t="s">
        <v>19</v>
      </c>
      <c r="H1075" s="4">
        <v>80569</v>
      </c>
      <c r="I1075" s="4">
        <v>86000</v>
      </c>
    </row>
    <row r="1076" spans="1:9" x14ac:dyDescent="0.3">
      <c r="A1076" s="2" t="s">
        <v>1108</v>
      </c>
      <c r="B1076" s="3">
        <v>45813</v>
      </c>
      <c r="C1076" s="2" t="s">
        <v>16</v>
      </c>
      <c r="D1076" s="2" t="s">
        <v>11</v>
      </c>
      <c r="E1076" s="2" t="s">
        <v>17</v>
      </c>
      <c r="F1076" s="2" t="s">
        <v>23</v>
      </c>
      <c r="G1076" s="2" t="s">
        <v>14</v>
      </c>
      <c r="H1076" s="4">
        <v>171192</v>
      </c>
      <c r="I1076" s="4">
        <v>148600</v>
      </c>
    </row>
    <row r="1077" spans="1:9" x14ac:dyDescent="0.3">
      <c r="A1077" s="2" t="s">
        <v>1109</v>
      </c>
      <c r="B1077" s="3">
        <v>45813</v>
      </c>
      <c r="C1077" s="2" t="s">
        <v>36</v>
      </c>
      <c r="D1077" s="2" t="s">
        <v>11</v>
      </c>
      <c r="E1077" s="2" t="s">
        <v>37</v>
      </c>
      <c r="F1077" s="2" t="s">
        <v>42</v>
      </c>
      <c r="G1077" s="2" t="s">
        <v>19</v>
      </c>
      <c r="H1077" s="4">
        <v>95903</v>
      </c>
      <c r="I1077" s="4">
        <v>78600</v>
      </c>
    </row>
    <row r="1078" spans="1:9" x14ac:dyDescent="0.3">
      <c r="A1078" s="2" t="s">
        <v>1110</v>
      </c>
      <c r="B1078" s="3">
        <v>45814</v>
      </c>
      <c r="C1078" s="2" t="s">
        <v>62</v>
      </c>
      <c r="D1078" s="2" t="s">
        <v>11</v>
      </c>
      <c r="E1078" s="2" t="s">
        <v>22</v>
      </c>
      <c r="F1078" s="2" t="s">
        <v>13</v>
      </c>
      <c r="G1078" s="2" t="s">
        <v>14</v>
      </c>
      <c r="H1078" s="4">
        <v>229743</v>
      </c>
      <c r="I1078" s="4">
        <v>249500</v>
      </c>
    </row>
    <row r="1079" spans="1:9" x14ac:dyDescent="0.3">
      <c r="A1079" s="2" t="s">
        <v>1111</v>
      </c>
      <c r="B1079" s="3">
        <v>45814</v>
      </c>
      <c r="C1079" s="2" t="s">
        <v>16</v>
      </c>
      <c r="D1079" s="2" t="s">
        <v>11</v>
      </c>
      <c r="E1079" s="2" t="s">
        <v>17</v>
      </c>
      <c r="F1079" s="2" t="s">
        <v>46</v>
      </c>
      <c r="G1079" s="2" t="s">
        <v>19</v>
      </c>
      <c r="H1079" s="4">
        <v>61273</v>
      </c>
      <c r="I1079" s="4">
        <v>72900</v>
      </c>
    </row>
    <row r="1080" spans="1:9" x14ac:dyDescent="0.3">
      <c r="A1080" s="2" t="s">
        <v>1112</v>
      </c>
      <c r="B1080" s="3">
        <v>45814</v>
      </c>
      <c r="C1080" s="2" t="s">
        <v>36</v>
      </c>
      <c r="D1080" s="2" t="s">
        <v>11</v>
      </c>
      <c r="E1080" s="2" t="s">
        <v>37</v>
      </c>
      <c r="F1080" s="2" t="s">
        <v>56</v>
      </c>
      <c r="G1080" s="2" t="s">
        <v>19</v>
      </c>
      <c r="H1080" s="4">
        <v>54377</v>
      </c>
      <c r="I1080" s="4">
        <v>62200</v>
      </c>
    </row>
    <row r="1081" spans="1:9" x14ac:dyDescent="0.3">
      <c r="A1081" s="2" t="s">
        <v>1113</v>
      </c>
      <c r="B1081" s="3">
        <v>45814</v>
      </c>
      <c r="C1081" s="2" t="s">
        <v>21</v>
      </c>
      <c r="D1081" s="2" t="s">
        <v>11</v>
      </c>
      <c r="E1081" s="2" t="s">
        <v>22</v>
      </c>
      <c r="F1081" s="2" t="s">
        <v>59</v>
      </c>
      <c r="G1081" s="2" t="s">
        <v>14</v>
      </c>
      <c r="H1081" s="4">
        <v>25580</v>
      </c>
      <c r="I1081" s="4">
        <v>24500</v>
      </c>
    </row>
    <row r="1082" spans="1:9" x14ac:dyDescent="0.3">
      <c r="A1082" s="2" t="s">
        <v>1114</v>
      </c>
      <c r="B1082" s="3">
        <v>45814</v>
      </c>
      <c r="C1082" s="2" t="s">
        <v>21</v>
      </c>
      <c r="D1082" s="2" t="s">
        <v>11</v>
      </c>
      <c r="E1082" s="2" t="s">
        <v>22</v>
      </c>
      <c r="F1082" s="2" t="s">
        <v>12</v>
      </c>
      <c r="G1082" s="2" t="s">
        <v>14</v>
      </c>
      <c r="H1082" s="4">
        <v>204427</v>
      </c>
      <c r="I1082" s="4">
        <v>196200</v>
      </c>
    </row>
    <row r="1083" spans="1:9" x14ac:dyDescent="0.3">
      <c r="A1083" s="2" t="s">
        <v>1115</v>
      </c>
      <c r="B1083" s="3">
        <v>45814</v>
      </c>
      <c r="C1083" s="2" t="s">
        <v>31</v>
      </c>
      <c r="D1083" s="2" t="s">
        <v>11</v>
      </c>
      <c r="E1083" s="2" t="s">
        <v>17</v>
      </c>
      <c r="F1083" s="2" t="s">
        <v>12</v>
      </c>
      <c r="G1083" s="2" t="s">
        <v>14</v>
      </c>
      <c r="H1083" s="4">
        <v>155244</v>
      </c>
      <c r="I1083" s="4">
        <v>151500</v>
      </c>
    </row>
    <row r="1084" spans="1:9" x14ac:dyDescent="0.3">
      <c r="A1084" s="2" t="s">
        <v>1116</v>
      </c>
      <c r="B1084" s="3">
        <v>45814</v>
      </c>
      <c r="C1084" s="2" t="s">
        <v>31</v>
      </c>
      <c r="D1084" s="2" t="s">
        <v>11</v>
      </c>
      <c r="E1084" s="2" t="s">
        <v>17</v>
      </c>
      <c r="F1084" s="2" t="s">
        <v>37</v>
      </c>
      <c r="G1084" s="2" t="s">
        <v>14</v>
      </c>
      <c r="H1084" s="4">
        <v>160236</v>
      </c>
      <c r="I1084" s="4">
        <v>162900</v>
      </c>
    </row>
    <row r="1085" spans="1:9" x14ac:dyDescent="0.3">
      <c r="A1085" s="2" t="s">
        <v>1117</v>
      </c>
      <c r="B1085" s="3">
        <v>45814</v>
      </c>
      <c r="C1085" s="2" t="s">
        <v>55</v>
      </c>
      <c r="D1085" s="2" t="s">
        <v>11</v>
      </c>
      <c r="E1085" s="2" t="s">
        <v>37</v>
      </c>
      <c r="F1085" s="2" t="s">
        <v>33</v>
      </c>
      <c r="G1085" s="2" t="s">
        <v>19</v>
      </c>
      <c r="H1085" s="4">
        <v>24191</v>
      </c>
      <c r="I1085" s="4">
        <v>24900</v>
      </c>
    </row>
    <row r="1086" spans="1:9" x14ac:dyDescent="0.3">
      <c r="A1086" s="2" t="s">
        <v>1118</v>
      </c>
      <c r="B1086" s="3">
        <v>45815</v>
      </c>
      <c r="C1086" s="2" t="s">
        <v>62</v>
      </c>
      <c r="D1086" s="2" t="s">
        <v>11</v>
      </c>
      <c r="E1086" s="2" t="s">
        <v>22</v>
      </c>
      <c r="F1086" s="2" t="s">
        <v>23</v>
      </c>
      <c r="G1086" s="2" t="s">
        <v>14</v>
      </c>
      <c r="H1086" s="4">
        <v>77142</v>
      </c>
      <c r="I1086" s="4">
        <v>73700</v>
      </c>
    </row>
    <row r="1087" spans="1:9" x14ac:dyDescent="0.3">
      <c r="A1087" s="2" t="s">
        <v>1119</v>
      </c>
      <c r="B1087" s="3">
        <v>45815</v>
      </c>
      <c r="C1087" s="2" t="s">
        <v>16</v>
      </c>
      <c r="D1087" s="2" t="s">
        <v>11</v>
      </c>
      <c r="E1087" s="2" t="s">
        <v>17</v>
      </c>
      <c r="F1087" s="2" t="s">
        <v>26</v>
      </c>
      <c r="G1087" s="2" t="s">
        <v>14</v>
      </c>
      <c r="H1087" s="4">
        <v>212650</v>
      </c>
      <c r="I1087" s="4">
        <v>197400</v>
      </c>
    </row>
    <row r="1088" spans="1:9" x14ac:dyDescent="0.3">
      <c r="A1088" s="2" t="s">
        <v>1120</v>
      </c>
      <c r="B1088" s="3">
        <v>45815</v>
      </c>
      <c r="C1088" s="2" t="s">
        <v>21</v>
      </c>
      <c r="D1088" s="2" t="s">
        <v>11</v>
      </c>
      <c r="E1088" s="2" t="s">
        <v>22</v>
      </c>
      <c r="F1088" s="2" t="s">
        <v>13</v>
      </c>
      <c r="G1088" s="2" t="s">
        <v>14</v>
      </c>
      <c r="H1088" s="4">
        <v>79501</v>
      </c>
      <c r="I1088" s="4">
        <v>74300</v>
      </c>
    </row>
    <row r="1089" spans="1:9" x14ac:dyDescent="0.3">
      <c r="A1089" s="2" t="s">
        <v>1121</v>
      </c>
      <c r="B1089" s="3">
        <v>45815</v>
      </c>
      <c r="C1089" s="2" t="s">
        <v>21</v>
      </c>
      <c r="D1089" s="2" t="s">
        <v>11</v>
      </c>
      <c r="E1089" s="2" t="s">
        <v>22</v>
      </c>
      <c r="F1089" s="2" t="s">
        <v>37</v>
      </c>
      <c r="G1089" s="2" t="s">
        <v>14</v>
      </c>
      <c r="H1089" s="4">
        <v>193908</v>
      </c>
      <c r="I1089" s="4">
        <v>224600</v>
      </c>
    </row>
    <row r="1090" spans="1:9" x14ac:dyDescent="0.3">
      <c r="A1090" s="2" t="s">
        <v>1122</v>
      </c>
      <c r="B1090" s="3">
        <v>45815</v>
      </c>
      <c r="C1090" s="2" t="s">
        <v>25</v>
      </c>
      <c r="D1090" s="2" t="s">
        <v>11</v>
      </c>
      <c r="E1090" s="2" t="s">
        <v>22</v>
      </c>
      <c r="F1090" s="2" t="s">
        <v>13</v>
      </c>
      <c r="G1090" s="2" t="s">
        <v>14</v>
      </c>
      <c r="H1090" s="4">
        <v>27965</v>
      </c>
      <c r="I1090" s="4">
        <v>31700</v>
      </c>
    </row>
    <row r="1091" spans="1:9" x14ac:dyDescent="0.3">
      <c r="A1091" s="2" t="s">
        <v>1123</v>
      </c>
      <c r="B1091" s="3">
        <v>45815</v>
      </c>
      <c r="C1091" s="2" t="s">
        <v>55</v>
      </c>
      <c r="D1091" s="2" t="s">
        <v>11</v>
      </c>
      <c r="E1091" s="2" t="s">
        <v>37</v>
      </c>
      <c r="F1091" s="2" t="s">
        <v>39</v>
      </c>
      <c r="G1091" s="2" t="s">
        <v>19</v>
      </c>
      <c r="H1091" s="4">
        <v>102695</v>
      </c>
      <c r="I1091" s="4">
        <v>101200</v>
      </c>
    </row>
    <row r="1092" spans="1:9" x14ac:dyDescent="0.3">
      <c r="A1092" s="2" t="s">
        <v>1124</v>
      </c>
      <c r="B1092" s="3">
        <v>45816</v>
      </c>
      <c r="C1092" s="2" t="s">
        <v>62</v>
      </c>
      <c r="D1092" s="2" t="s">
        <v>11</v>
      </c>
      <c r="E1092" s="2" t="s">
        <v>22</v>
      </c>
      <c r="F1092" s="2" t="s">
        <v>37</v>
      </c>
      <c r="G1092" s="2" t="s">
        <v>14</v>
      </c>
      <c r="H1092" s="4">
        <v>53118</v>
      </c>
      <c r="I1092" s="4">
        <v>52400</v>
      </c>
    </row>
    <row r="1093" spans="1:9" x14ac:dyDescent="0.3">
      <c r="A1093" s="2" t="s">
        <v>1125</v>
      </c>
      <c r="B1093" s="3">
        <v>45816</v>
      </c>
      <c r="C1093" s="2" t="s">
        <v>21</v>
      </c>
      <c r="D1093" s="2" t="s">
        <v>11</v>
      </c>
      <c r="E1093" s="2" t="s">
        <v>22</v>
      </c>
      <c r="F1093" s="2" t="s">
        <v>56</v>
      </c>
      <c r="G1093" s="2" t="s">
        <v>19</v>
      </c>
      <c r="H1093" s="4">
        <v>117064</v>
      </c>
      <c r="I1093" s="4">
        <v>112300</v>
      </c>
    </row>
    <row r="1094" spans="1:9" x14ac:dyDescent="0.3">
      <c r="A1094" s="2" t="s">
        <v>1126</v>
      </c>
      <c r="B1094" s="3">
        <v>45816</v>
      </c>
      <c r="C1094" s="2" t="s">
        <v>25</v>
      </c>
      <c r="D1094" s="2" t="s">
        <v>11</v>
      </c>
      <c r="E1094" s="2" t="s">
        <v>22</v>
      </c>
      <c r="F1094" s="2" t="s">
        <v>18</v>
      </c>
      <c r="G1094" s="2" t="s">
        <v>19</v>
      </c>
      <c r="H1094" s="4">
        <v>38977</v>
      </c>
      <c r="I1094" s="4">
        <v>41800</v>
      </c>
    </row>
    <row r="1095" spans="1:9" x14ac:dyDescent="0.3">
      <c r="A1095" s="2" t="s">
        <v>1127</v>
      </c>
      <c r="B1095" s="3">
        <v>45816</v>
      </c>
      <c r="C1095" s="2" t="s">
        <v>25</v>
      </c>
      <c r="D1095" s="2" t="s">
        <v>11</v>
      </c>
      <c r="E1095" s="2" t="s">
        <v>22</v>
      </c>
      <c r="F1095" s="2" t="s">
        <v>26</v>
      </c>
      <c r="G1095" s="2" t="s">
        <v>14</v>
      </c>
      <c r="H1095" s="4">
        <v>85486</v>
      </c>
      <c r="I1095" s="4">
        <v>79200</v>
      </c>
    </row>
    <row r="1096" spans="1:9" x14ac:dyDescent="0.3">
      <c r="A1096" s="2" t="s">
        <v>1128</v>
      </c>
      <c r="B1096" s="3">
        <v>45816</v>
      </c>
      <c r="C1096" s="2" t="s">
        <v>25</v>
      </c>
      <c r="D1096" s="2" t="s">
        <v>11</v>
      </c>
      <c r="E1096" s="2" t="s">
        <v>22</v>
      </c>
      <c r="F1096" s="2" t="s">
        <v>37</v>
      </c>
      <c r="G1096" s="2" t="s">
        <v>14</v>
      </c>
      <c r="H1096" s="4">
        <v>172405</v>
      </c>
      <c r="I1096" s="4">
        <v>176700</v>
      </c>
    </row>
    <row r="1097" spans="1:9" x14ac:dyDescent="0.3">
      <c r="A1097" s="2" t="s">
        <v>1129</v>
      </c>
      <c r="B1097" s="3">
        <v>45816</v>
      </c>
      <c r="C1097" s="2" t="s">
        <v>31</v>
      </c>
      <c r="D1097" s="2" t="s">
        <v>11</v>
      </c>
      <c r="E1097" s="2" t="s">
        <v>17</v>
      </c>
      <c r="F1097" s="2" t="s">
        <v>23</v>
      </c>
      <c r="G1097" s="2" t="s">
        <v>14</v>
      </c>
      <c r="H1097" s="4">
        <v>215317</v>
      </c>
      <c r="I1097" s="4">
        <v>202000</v>
      </c>
    </row>
    <row r="1098" spans="1:9" x14ac:dyDescent="0.3">
      <c r="A1098" s="2" t="s">
        <v>1130</v>
      </c>
      <c r="B1098" s="3">
        <v>45816</v>
      </c>
      <c r="C1098" s="2" t="s">
        <v>31</v>
      </c>
      <c r="D1098" s="2" t="s">
        <v>11</v>
      </c>
      <c r="E1098" s="2" t="s">
        <v>17</v>
      </c>
      <c r="F1098" s="2" t="s">
        <v>13</v>
      </c>
      <c r="G1098" s="2" t="s">
        <v>14</v>
      </c>
      <c r="H1098" s="4">
        <v>147437</v>
      </c>
      <c r="I1098" s="4">
        <v>131500</v>
      </c>
    </row>
    <row r="1099" spans="1:9" x14ac:dyDescent="0.3">
      <c r="A1099" s="2" t="s">
        <v>1131</v>
      </c>
      <c r="B1099" s="3">
        <v>45817</v>
      </c>
      <c r="C1099" s="2" t="s">
        <v>62</v>
      </c>
      <c r="D1099" s="2" t="s">
        <v>11</v>
      </c>
      <c r="E1099" s="2" t="s">
        <v>22</v>
      </c>
      <c r="F1099" s="2" t="s">
        <v>56</v>
      </c>
      <c r="G1099" s="2" t="s">
        <v>19</v>
      </c>
      <c r="H1099" s="4">
        <v>87876</v>
      </c>
      <c r="I1099" s="4">
        <v>81800</v>
      </c>
    </row>
    <row r="1100" spans="1:9" x14ac:dyDescent="0.3">
      <c r="A1100" s="2" t="s">
        <v>1132</v>
      </c>
      <c r="B1100" s="3">
        <v>45817</v>
      </c>
      <c r="C1100" s="2" t="s">
        <v>62</v>
      </c>
      <c r="D1100" s="2" t="s">
        <v>11</v>
      </c>
      <c r="E1100" s="2" t="s">
        <v>22</v>
      </c>
      <c r="F1100" s="2" t="s">
        <v>13</v>
      </c>
      <c r="G1100" s="2" t="s">
        <v>14</v>
      </c>
      <c r="H1100" s="4">
        <v>154824</v>
      </c>
      <c r="I1100" s="4">
        <v>165300</v>
      </c>
    </row>
    <row r="1101" spans="1:9" x14ac:dyDescent="0.3">
      <c r="A1101" s="2" t="s">
        <v>1133</v>
      </c>
      <c r="B1101" s="3">
        <v>45817</v>
      </c>
      <c r="C1101" s="2" t="s">
        <v>10</v>
      </c>
      <c r="D1101" s="2" t="s">
        <v>11</v>
      </c>
      <c r="E1101" s="2" t="s">
        <v>12</v>
      </c>
      <c r="F1101" s="2" t="s">
        <v>42</v>
      </c>
      <c r="G1101" s="2" t="s">
        <v>19</v>
      </c>
      <c r="H1101" s="4">
        <v>102655</v>
      </c>
      <c r="I1101" s="4">
        <v>96500</v>
      </c>
    </row>
    <row r="1102" spans="1:9" x14ac:dyDescent="0.3">
      <c r="A1102" s="2" t="s">
        <v>1134</v>
      </c>
      <c r="B1102" s="3">
        <v>45817</v>
      </c>
      <c r="C1102" s="2" t="s">
        <v>16</v>
      </c>
      <c r="D1102" s="2" t="s">
        <v>11</v>
      </c>
      <c r="E1102" s="2" t="s">
        <v>17</v>
      </c>
      <c r="F1102" s="2" t="s">
        <v>37</v>
      </c>
      <c r="G1102" s="2" t="s">
        <v>14</v>
      </c>
      <c r="H1102" s="4">
        <v>40719</v>
      </c>
      <c r="I1102" s="4">
        <v>39200</v>
      </c>
    </row>
    <row r="1103" spans="1:9" x14ac:dyDescent="0.3">
      <c r="A1103" s="2" t="s">
        <v>1135</v>
      </c>
      <c r="B1103" s="3">
        <v>45817</v>
      </c>
      <c r="C1103" s="2" t="s">
        <v>21</v>
      </c>
      <c r="D1103" s="2" t="s">
        <v>11</v>
      </c>
      <c r="E1103" s="2" t="s">
        <v>22</v>
      </c>
      <c r="F1103" s="2" t="s">
        <v>37</v>
      </c>
      <c r="G1103" s="2" t="s">
        <v>14</v>
      </c>
      <c r="H1103" s="4">
        <v>247159</v>
      </c>
      <c r="I1103" s="4">
        <v>237200</v>
      </c>
    </row>
    <row r="1104" spans="1:9" x14ac:dyDescent="0.3">
      <c r="A1104" s="2" t="s">
        <v>1136</v>
      </c>
      <c r="B1104" s="3">
        <v>45817</v>
      </c>
      <c r="C1104" s="2" t="s">
        <v>31</v>
      </c>
      <c r="D1104" s="2" t="s">
        <v>11</v>
      </c>
      <c r="E1104" s="2" t="s">
        <v>17</v>
      </c>
      <c r="F1104" s="2" t="s">
        <v>18</v>
      </c>
      <c r="G1104" s="2" t="s">
        <v>19</v>
      </c>
      <c r="H1104" s="4">
        <v>15864</v>
      </c>
      <c r="I1104" s="4">
        <v>14700</v>
      </c>
    </row>
    <row r="1105" spans="1:9" x14ac:dyDescent="0.3">
      <c r="A1105" s="2" t="s">
        <v>1137</v>
      </c>
      <c r="B1105" s="3">
        <v>45817</v>
      </c>
      <c r="C1105" s="2" t="s">
        <v>31</v>
      </c>
      <c r="D1105" s="2" t="s">
        <v>11</v>
      </c>
      <c r="E1105" s="2" t="s">
        <v>17</v>
      </c>
      <c r="F1105" s="2" t="s">
        <v>59</v>
      </c>
      <c r="G1105" s="2" t="s">
        <v>14</v>
      </c>
      <c r="H1105" s="4">
        <v>111299</v>
      </c>
      <c r="I1105" s="4">
        <v>99400</v>
      </c>
    </row>
    <row r="1106" spans="1:9" x14ac:dyDescent="0.3">
      <c r="A1106" s="2" t="s">
        <v>1138</v>
      </c>
      <c r="B1106" s="3">
        <v>45817</v>
      </c>
      <c r="C1106" s="2" t="s">
        <v>55</v>
      </c>
      <c r="D1106" s="2" t="s">
        <v>11</v>
      </c>
      <c r="E1106" s="2" t="s">
        <v>37</v>
      </c>
      <c r="F1106" s="2" t="s">
        <v>39</v>
      </c>
      <c r="G1106" s="2" t="s">
        <v>19</v>
      </c>
      <c r="H1106" s="4">
        <v>56334</v>
      </c>
      <c r="I1106" s="4">
        <v>59700</v>
      </c>
    </row>
    <row r="1107" spans="1:9" x14ac:dyDescent="0.3">
      <c r="A1107" s="2" t="s">
        <v>1139</v>
      </c>
      <c r="B1107" s="3">
        <v>45818</v>
      </c>
      <c r="C1107" s="2" t="s">
        <v>62</v>
      </c>
      <c r="D1107" s="2" t="s">
        <v>11</v>
      </c>
      <c r="E1107" s="2" t="s">
        <v>22</v>
      </c>
      <c r="F1107" s="2" t="s">
        <v>13</v>
      </c>
      <c r="G1107" s="2" t="s">
        <v>14</v>
      </c>
      <c r="H1107" s="4">
        <v>125827</v>
      </c>
      <c r="I1107" s="4">
        <v>145400</v>
      </c>
    </row>
    <row r="1108" spans="1:9" x14ac:dyDescent="0.3">
      <c r="A1108" s="2" t="s">
        <v>1140</v>
      </c>
      <c r="B1108" s="3">
        <v>45818</v>
      </c>
      <c r="C1108" s="2" t="s">
        <v>36</v>
      </c>
      <c r="D1108" s="2" t="s">
        <v>11</v>
      </c>
      <c r="E1108" s="2" t="s">
        <v>37</v>
      </c>
      <c r="F1108" s="2" t="s">
        <v>59</v>
      </c>
      <c r="G1108" s="2" t="s">
        <v>14</v>
      </c>
      <c r="H1108" s="4">
        <v>195984</v>
      </c>
      <c r="I1108" s="4">
        <v>187300</v>
      </c>
    </row>
    <row r="1109" spans="1:9" x14ac:dyDescent="0.3">
      <c r="A1109" s="2" t="s">
        <v>1141</v>
      </c>
      <c r="B1109" s="3">
        <v>45818</v>
      </c>
      <c r="C1109" s="2" t="s">
        <v>21</v>
      </c>
      <c r="D1109" s="2" t="s">
        <v>11</v>
      </c>
      <c r="E1109" s="2" t="s">
        <v>22</v>
      </c>
      <c r="F1109" s="2" t="s">
        <v>18</v>
      </c>
      <c r="G1109" s="2" t="s">
        <v>19</v>
      </c>
      <c r="H1109" s="4">
        <v>36933</v>
      </c>
      <c r="I1109" s="4">
        <v>37200</v>
      </c>
    </row>
    <row r="1110" spans="1:9" x14ac:dyDescent="0.3">
      <c r="A1110" s="2" t="s">
        <v>1142</v>
      </c>
      <c r="B1110" s="3">
        <v>45818</v>
      </c>
      <c r="C1110" s="2" t="s">
        <v>21</v>
      </c>
      <c r="D1110" s="2" t="s">
        <v>11</v>
      </c>
      <c r="E1110" s="2" t="s">
        <v>22</v>
      </c>
      <c r="F1110" s="2" t="s">
        <v>26</v>
      </c>
      <c r="G1110" s="2" t="s">
        <v>14</v>
      </c>
      <c r="H1110" s="4">
        <v>121611</v>
      </c>
      <c r="I1110" s="4">
        <v>117800</v>
      </c>
    </row>
    <row r="1111" spans="1:9" x14ac:dyDescent="0.3">
      <c r="A1111" s="2" t="s">
        <v>1143</v>
      </c>
      <c r="B1111" s="3">
        <v>45818</v>
      </c>
      <c r="C1111" s="2" t="s">
        <v>21</v>
      </c>
      <c r="D1111" s="2" t="s">
        <v>11</v>
      </c>
      <c r="E1111" s="2" t="s">
        <v>22</v>
      </c>
      <c r="F1111" s="2" t="s">
        <v>59</v>
      </c>
      <c r="G1111" s="2" t="s">
        <v>14</v>
      </c>
      <c r="H1111" s="4">
        <v>71180</v>
      </c>
      <c r="I1111" s="4">
        <v>65300</v>
      </c>
    </row>
    <row r="1112" spans="1:9" x14ac:dyDescent="0.3">
      <c r="A1112" s="2" t="s">
        <v>1144</v>
      </c>
      <c r="B1112" s="3">
        <v>45818</v>
      </c>
      <c r="C1112" s="2" t="s">
        <v>25</v>
      </c>
      <c r="D1112" s="2" t="s">
        <v>11</v>
      </c>
      <c r="E1112" s="2" t="s">
        <v>22</v>
      </c>
      <c r="F1112" s="2" t="s">
        <v>12</v>
      </c>
      <c r="G1112" s="2" t="s">
        <v>14</v>
      </c>
      <c r="H1112" s="4">
        <v>68387</v>
      </c>
      <c r="I1112" s="4">
        <v>74700</v>
      </c>
    </row>
    <row r="1113" spans="1:9" x14ac:dyDescent="0.3">
      <c r="A1113" s="2" t="s">
        <v>1145</v>
      </c>
      <c r="B1113" s="3">
        <v>45818</v>
      </c>
      <c r="C1113" s="2" t="s">
        <v>31</v>
      </c>
      <c r="D1113" s="2" t="s">
        <v>11</v>
      </c>
      <c r="E1113" s="2" t="s">
        <v>17</v>
      </c>
      <c r="F1113" s="2" t="s">
        <v>39</v>
      </c>
      <c r="G1113" s="2" t="s">
        <v>19</v>
      </c>
      <c r="H1113" s="4">
        <v>15829</v>
      </c>
      <c r="I1113" s="4">
        <v>15600</v>
      </c>
    </row>
    <row r="1114" spans="1:9" x14ac:dyDescent="0.3">
      <c r="A1114" s="2" t="s">
        <v>1146</v>
      </c>
      <c r="B1114" s="3">
        <v>45818</v>
      </c>
      <c r="C1114" s="2" t="s">
        <v>55</v>
      </c>
      <c r="D1114" s="2" t="s">
        <v>11</v>
      </c>
      <c r="E1114" s="2" t="s">
        <v>37</v>
      </c>
      <c r="F1114" s="2" t="s">
        <v>56</v>
      </c>
      <c r="G1114" s="2" t="s">
        <v>19</v>
      </c>
      <c r="H1114" s="4">
        <v>24641</v>
      </c>
      <c r="I1114" s="4">
        <v>23700</v>
      </c>
    </row>
    <row r="1115" spans="1:9" x14ac:dyDescent="0.3">
      <c r="A1115" s="2" t="s">
        <v>1147</v>
      </c>
      <c r="B1115" s="3">
        <v>45818</v>
      </c>
      <c r="C1115" s="2" t="s">
        <v>55</v>
      </c>
      <c r="D1115" s="2" t="s">
        <v>11</v>
      </c>
      <c r="E1115" s="2" t="s">
        <v>37</v>
      </c>
      <c r="F1115" s="2" t="s">
        <v>39</v>
      </c>
      <c r="G1115" s="2" t="s">
        <v>19</v>
      </c>
      <c r="H1115" s="4">
        <v>85187</v>
      </c>
      <c r="I1115" s="4">
        <v>98800</v>
      </c>
    </row>
    <row r="1116" spans="1:9" x14ac:dyDescent="0.3">
      <c r="A1116" s="2" t="s">
        <v>1148</v>
      </c>
      <c r="B1116" s="3">
        <v>45818</v>
      </c>
      <c r="C1116" s="2" t="s">
        <v>55</v>
      </c>
      <c r="D1116" s="2" t="s">
        <v>11</v>
      </c>
      <c r="E1116" s="2" t="s">
        <v>37</v>
      </c>
      <c r="F1116" s="2" t="s">
        <v>13</v>
      </c>
      <c r="G1116" s="2" t="s">
        <v>14</v>
      </c>
      <c r="H1116" s="4">
        <v>116975</v>
      </c>
      <c r="I1116" s="4">
        <v>123300</v>
      </c>
    </row>
    <row r="1117" spans="1:9" x14ac:dyDescent="0.3">
      <c r="A1117" s="2" t="s">
        <v>1149</v>
      </c>
      <c r="B1117" s="3">
        <v>45818</v>
      </c>
      <c r="C1117" s="2" t="s">
        <v>55</v>
      </c>
      <c r="D1117" s="2" t="s">
        <v>11</v>
      </c>
      <c r="E1117" s="2" t="s">
        <v>37</v>
      </c>
      <c r="F1117" s="2" t="s">
        <v>23</v>
      </c>
      <c r="G1117" s="2" t="s">
        <v>14</v>
      </c>
      <c r="H1117" s="4">
        <v>128932</v>
      </c>
      <c r="I1117" s="4">
        <v>128200</v>
      </c>
    </row>
    <row r="1118" spans="1:9" x14ac:dyDescent="0.3">
      <c r="A1118" s="2" t="s">
        <v>1150</v>
      </c>
      <c r="B1118" s="3">
        <v>45819</v>
      </c>
      <c r="C1118" s="2" t="s">
        <v>62</v>
      </c>
      <c r="D1118" s="2" t="s">
        <v>11</v>
      </c>
      <c r="E1118" s="2" t="s">
        <v>22</v>
      </c>
      <c r="F1118" s="2" t="s">
        <v>56</v>
      </c>
      <c r="G1118" s="2" t="s">
        <v>19</v>
      </c>
      <c r="H1118" s="4">
        <v>55091</v>
      </c>
      <c r="I1118" s="4">
        <v>43500</v>
      </c>
    </row>
    <row r="1119" spans="1:9" x14ac:dyDescent="0.3">
      <c r="A1119" s="2" t="s">
        <v>1151</v>
      </c>
      <c r="B1119" s="3">
        <v>45819</v>
      </c>
      <c r="C1119" s="2" t="s">
        <v>16</v>
      </c>
      <c r="D1119" s="2" t="s">
        <v>11</v>
      </c>
      <c r="E1119" s="2" t="s">
        <v>17</v>
      </c>
      <c r="F1119" s="2" t="s">
        <v>13</v>
      </c>
      <c r="G1119" s="2" t="s">
        <v>14</v>
      </c>
      <c r="H1119" s="4">
        <v>77434</v>
      </c>
      <c r="I1119" s="4">
        <v>84100</v>
      </c>
    </row>
    <row r="1120" spans="1:9" x14ac:dyDescent="0.3">
      <c r="A1120" s="2" t="s">
        <v>1152</v>
      </c>
      <c r="B1120" s="3">
        <v>45819</v>
      </c>
      <c r="C1120" s="2" t="s">
        <v>16</v>
      </c>
      <c r="D1120" s="2" t="s">
        <v>11</v>
      </c>
      <c r="E1120" s="2" t="s">
        <v>17</v>
      </c>
      <c r="F1120" s="2" t="s">
        <v>13</v>
      </c>
      <c r="G1120" s="2" t="s">
        <v>14</v>
      </c>
      <c r="H1120" s="4">
        <v>29323</v>
      </c>
      <c r="I1120" s="4">
        <v>31200</v>
      </c>
    </row>
    <row r="1121" spans="1:9" x14ac:dyDescent="0.3">
      <c r="A1121" s="2" t="s">
        <v>1153</v>
      </c>
      <c r="B1121" s="3">
        <v>45819</v>
      </c>
      <c r="C1121" s="2" t="s">
        <v>31</v>
      </c>
      <c r="D1121" s="2" t="s">
        <v>11</v>
      </c>
      <c r="E1121" s="2" t="s">
        <v>17</v>
      </c>
      <c r="F1121" s="2" t="s">
        <v>39</v>
      </c>
      <c r="G1121" s="2" t="s">
        <v>19</v>
      </c>
      <c r="H1121" s="4">
        <v>81070</v>
      </c>
      <c r="I1121" s="4">
        <v>95100</v>
      </c>
    </row>
    <row r="1122" spans="1:9" x14ac:dyDescent="0.3">
      <c r="A1122" s="2" t="s">
        <v>1154</v>
      </c>
      <c r="B1122" s="3">
        <v>45820</v>
      </c>
      <c r="C1122" s="2" t="s">
        <v>62</v>
      </c>
      <c r="D1122" s="2" t="s">
        <v>11</v>
      </c>
      <c r="E1122" s="2" t="s">
        <v>22</v>
      </c>
      <c r="F1122" s="2" t="s">
        <v>42</v>
      </c>
      <c r="G1122" s="2" t="s">
        <v>19</v>
      </c>
      <c r="H1122" s="4">
        <v>90576</v>
      </c>
      <c r="I1122" s="4">
        <v>86300</v>
      </c>
    </row>
    <row r="1123" spans="1:9" x14ac:dyDescent="0.3">
      <c r="A1123" s="2" t="s">
        <v>1155</v>
      </c>
      <c r="B1123" s="3">
        <v>45820</v>
      </c>
      <c r="C1123" s="2" t="s">
        <v>62</v>
      </c>
      <c r="D1123" s="2" t="s">
        <v>11</v>
      </c>
      <c r="E1123" s="2" t="s">
        <v>22</v>
      </c>
      <c r="F1123" s="2" t="s">
        <v>56</v>
      </c>
      <c r="G1123" s="2" t="s">
        <v>19</v>
      </c>
      <c r="H1123" s="4">
        <v>107450</v>
      </c>
      <c r="I1123" s="4">
        <v>114500</v>
      </c>
    </row>
    <row r="1124" spans="1:9" x14ac:dyDescent="0.3">
      <c r="A1124" s="2" t="s">
        <v>1156</v>
      </c>
      <c r="B1124" s="3">
        <v>45820</v>
      </c>
      <c r="C1124" s="2" t="s">
        <v>10</v>
      </c>
      <c r="D1124" s="2" t="s">
        <v>11</v>
      </c>
      <c r="E1124" s="2" t="s">
        <v>12</v>
      </c>
      <c r="F1124" s="2" t="s">
        <v>56</v>
      </c>
      <c r="G1124" s="2" t="s">
        <v>19</v>
      </c>
      <c r="H1124" s="4">
        <v>99177</v>
      </c>
      <c r="I1124" s="4">
        <v>101000</v>
      </c>
    </row>
    <row r="1125" spans="1:9" x14ac:dyDescent="0.3">
      <c r="A1125" s="2" t="s">
        <v>1157</v>
      </c>
      <c r="B1125" s="3">
        <v>45820</v>
      </c>
      <c r="C1125" s="2" t="s">
        <v>10</v>
      </c>
      <c r="D1125" s="2" t="s">
        <v>11</v>
      </c>
      <c r="E1125" s="2" t="s">
        <v>12</v>
      </c>
      <c r="F1125" s="2" t="s">
        <v>39</v>
      </c>
      <c r="G1125" s="2" t="s">
        <v>19</v>
      </c>
      <c r="H1125" s="4">
        <v>14483</v>
      </c>
      <c r="I1125" s="4">
        <v>13400</v>
      </c>
    </row>
    <row r="1126" spans="1:9" x14ac:dyDescent="0.3">
      <c r="A1126" s="2" t="s">
        <v>1158</v>
      </c>
      <c r="B1126" s="3">
        <v>45820</v>
      </c>
      <c r="C1126" s="2" t="s">
        <v>10</v>
      </c>
      <c r="D1126" s="2" t="s">
        <v>11</v>
      </c>
      <c r="E1126" s="2" t="s">
        <v>12</v>
      </c>
      <c r="F1126" s="2" t="s">
        <v>59</v>
      </c>
      <c r="G1126" s="2" t="s">
        <v>14</v>
      </c>
      <c r="H1126" s="4">
        <v>85991</v>
      </c>
      <c r="I1126" s="4">
        <v>87900</v>
      </c>
    </row>
    <row r="1127" spans="1:9" x14ac:dyDescent="0.3">
      <c r="A1127" s="2" t="s">
        <v>1159</v>
      </c>
      <c r="B1127" s="3">
        <v>45820</v>
      </c>
      <c r="C1127" s="2" t="s">
        <v>10</v>
      </c>
      <c r="D1127" s="2" t="s">
        <v>11</v>
      </c>
      <c r="E1127" s="2" t="s">
        <v>12</v>
      </c>
      <c r="F1127" s="2" t="s">
        <v>12</v>
      </c>
      <c r="G1127" s="2" t="s">
        <v>14</v>
      </c>
      <c r="H1127" s="4">
        <v>236398</v>
      </c>
      <c r="I1127" s="4">
        <v>240300</v>
      </c>
    </row>
    <row r="1128" spans="1:9" x14ac:dyDescent="0.3">
      <c r="A1128" s="2" t="s">
        <v>1160</v>
      </c>
      <c r="B1128" s="3">
        <v>45820</v>
      </c>
      <c r="C1128" s="2" t="s">
        <v>16</v>
      </c>
      <c r="D1128" s="2" t="s">
        <v>11</v>
      </c>
      <c r="E1128" s="2" t="s">
        <v>17</v>
      </c>
      <c r="F1128" s="2" t="s">
        <v>46</v>
      </c>
      <c r="G1128" s="2" t="s">
        <v>19</v>
      </c>
      <c r="H1128" s="4">
        <v>28912</v>
      </c>
      <c r="I1128" s="4">
        <v>27500</v>
      </c>
    </row>
    <row r="1129" spans="1:9" x14ac:dyDescent="0.3">
      <c r="A1129" s="2" t="s">
        <v>1161</v>
      </c>
      <c r="B1129" s="3">
        <v>45820</v>
      </c>
      <c r="C1129" s="2" t="s">
        <v>36</v>
      </c>
      <c r="D1129" s="2" t="s">
        <v>11</v>
      </c>
      <c r="E1129" s="2" t="s">
        <v>37</v>
      </c>
      <c r="F1129" s="2" t="s">
        <v>33</v>
      </c>
      <c r="G1129" s="2" t="s">
        <v>19</v>
      </c>
      <c r="H1129" s="4">
        <v>52758</v>
      </c>
      <c r="I1129" s="4">
        <v>58600</v>
      </c>
    </row>
    <row r="1130" spans="1:9" x14ac:dyDescent="0.3">
      <c r="A1130" s="2" t="s">
        <v>1162</v>
      </c>
      <c r="B1130" s="3">
        <v>45820</v>
      </c>
      <c r="C1130" s="2" t="s">
        <v>36</v>
      </c>
      <c r="D1130" s="2" t="s">
        <v>11</v>
      </c>
      <c r="E1130" s="2" t="s">
        <v>37</v>
      </c>
      <c r="F1130" s="2" t="s">
        <v>18</v>
      </c>
      <c r="G1130" s="2" t="s">
        <v>19</v>
      </c>
      <c r="H1130" s="4">
        <v>55222</v>
      </c>
      <c r="I1130" s="4">
        <v>52200</v>
      </c>
    </row>
    <row r="1131" spans="1:9" x14ac:dyDescent="0.3">
      <c r="A1131" s="2" t="s">
        <v>1163</v>
      </c>
      <c r="B1131" s="3">
        <v>45820</v>
      </c>
      <c r="C1131" s="2" t="s">
        <v>55</v>
      </c>
      <c r="D1131" s="2" t="s">
        <v>11</v>
      </c>
      <c r="E1131" s="2" t="s">
        <v>37</v>
      </c>
      <c r="F1131" s="2" t="s">
        <v>42</v>
      </c>
      <c r="G1131" s="2" t="s">
        <v>19</v>
      </c>
      <c r="H1131" s="4">
        <v>73822</v>
      </c>
      <c r="I1131" s="4">
        <v>71300</v>
      </c>
    </row>
    <row r="1132" spans="1:9" x14ac:dyDescent="0.3">
      <c r="A1132" s="2" t="s">
        <v>1164</v>
      </c>
      <c r="B1132" s="3">
        <v>45821</v>
      </c>
      <c r="C1132" s="2" t="s">
        <v>62</v>
      </c>
      <c r="D1132" s="2" t="s">
        <v>11</v>
      </c>
      <c r="E1132" s="2" t="s">
        <v>22</v>
      </c>
      <c r="F1132" s="2" t="s">
        <v>56</v>
      </c>
      <c r="G1132" s="2" t="s">
        <v>19</v>
      </c>
      <c r="H1132" s="4">
        <v>61441</v>
      </c>
      <c r="I1132" s="4">
        <v>70800</v>
      </c>
    </row>
    <row r="1133" spans="1:9" x14ac:dyDescent="0.3">
      <c r="A1133" s="2" t="s">
        <v>1165</v>
      </c>
      <c r="B1133" s="3">
        <v>45821</v>
      </c>
      <c r="C1133" s="2" t="s">
        <v>62</v>
      </c>
      <c r="D1133" s="2" t="s">
        <v>11</v>
      </c>
      <c r="E1133" s="2" t="s">
        <v>22</v>
      </c>
      <c r="F1133" s="2" t="s">
        <v>13</v>
      </c>
      <c r="G1133" s="2" t="s">
        <v>14</v>
      </c>
      <c r="H1133" s="4">
        <v>246895</v>
      </c>
      <c r="I1133" s="4">
        <v>251100</v>
      </c>
    </row>
    <row r="1134" spans="1:9" x14ac:dyDescent="0.3">
      <c r="A1134" s="2" t="s">
        <v>1166</v>
      </c>
      <c r="B1134" s="3">
        <v>45821</v>
      </c>
      <c r="C1134" s="2" t="s">
        <v>10</v>
      </c>
      <c r="D1134" s="2" t="s">
        <v>11</v>
      </c>
      <c r="E1134" s="2" t="s">
        <v>12</v>
      </c>
      <c r="F1134" s="2" t="s">
        <v>18</v>
      </c>
      <c r="G1134" s="2" t="s">
        <v>19</v>
      </c>
      <c r="H1134" s="4">
        <v>117887</v>
      </c>
      <c r="I1134" s="4">
        <v>130000</v>
      </c>
    </row>
    <row r="1135" spans="1:9" x14ac:dyDescent="0.3">
      <c r="A1135" s="2" t="s">
        <v>1167</v>
      </c>
      <c r="B1135" s="3">
        <v>45821</v>
      </c>
      <c r="C1135" s="2" t="s">
        <v>36</v>
      </c>
      <c r="D1135" s="2" t="s">
        <v>11</v>
      </c>
      <c r="E1135" s="2" t="s">
        <v>37</v>
      </c>
      <c r="F1135" s="2" t="s">
        <v>13</v>
      </c>
      <c r="G1135" s="2" t="s">
        <v>14</v>
      </c>
      <c r="H1135" s="4">
        <v>205421</v>
      </c>
      <c r="I1135" s="4">
        <v>226200</v>
      </c>
    </row>
    <row r="1136" spans="1:9" x14ac:dyDescent="0.3">
      <c r="A1136" s="2" t="s">
        <v>1168</v>
      </c>
      <c r="B1136" s="3">
        <v>45821</v>
      </c>
      <c r="C1136" s="2" t="s">
        <v>36</v>
      </c>
      <c r="D1136" s="2" t="s">
        <v>11</v>
      </c>
      <c r="E1136" s="2" t="s">
        <v>37</v>
      </c>
      <c r="F1136" s="2" t="s">
        <v>26</v>
      </c>
      <c r="G1136" s="2" t="s">
        <v>14</v>
      </c>
      <c r="H1136" s="4">
        <v>243446</v>
      </c>
      <c r="I1136" s="4">
        <v>253900</v>
      </c>
    </row>
    <row r="1137" spans="1:9" x14ac:dyDescent="0.3">
      <c r="A1137" s="2" t="s">
        <v>1169</v>
      </c>
      <c r="B1137" s="3">
        <v>45821</v>
      </c>
      <c r="C1137" s="2" t="s">
        <v>21</v>
      </c>
      <c r="D1137" s="2" t="s">
        <v>11</v>
      </c>
      <c r="E1137" s="2" t="s">
        <v>22</v>
      </c>
      <c r="F1137" s="2" t="s">
        <v>56</v>
      </c>
      <c r="G1137" s="2" t="s">
        <v>19</v>
      </c>
      <c r="H1137" s="4">
        <v>30778</v>
      </c>
      <c r="I1137" s="4">
        <v>29300</v>
      </c>
    </row>
    <row r="1138" spans="1:9" x14ac:dyDescent="0.3">
      <c r="A1138" s="2" t="s">
        <v>1170</v>
      </c>
      <c r="B1138" s="3">
        <v>45821</v>
      </c>
      <c r="C1138" s="2" t="s">
        <v>21</v>
      </c>
      <c r="D1138" s="2" t="s">
        <v>11</v>
      </c>
      <c r="E1138" s="2" t="s">
        <v>22</v>
      </c>
      <c r="F1138" s="2" t="s">
        <v>23</v>
      </c>
      <c r="G1138" s="2" t="s">
        <v>14</v>
      </c>
      <c r="H1138" s="4">
        <v>157965</v>
      </c>
      <c r="I1138" s="4">
        <v>146000</v>
      </c>
    </row>
    <row r="1139" spans="1:9" x14ac:dyDescent="0.3">
      <c r="A1139" s="2" t="s">
        <v>1171</v>
      </c>
      <c r="B1139" s="3">
        <v>45821</v>
      </c>
      <c r="C1139" s="2" t="s">
        <v>31</v>
      </c>
      <c r="D1139" s="2" t="s">
        <v>11</v>
      </c>
      <c r="E1139" s="2" t="s">
        <v>17</v>
      </c>
      <c r="F1139" s="2" t="s">
        <v>18</v>
      </c>
      <c r="G1139" s="2" t="s">
        <v>19</v>
      </c>
      <c r="H1139" s="4">
        <v>22916</v>
      </c>
      <c r="I1139" s="4">
        <v>24800</v>
      </c>
    </row>
    <row r="1140" spans="1:9" x14ac:dyDescent="0.3">
      <c r="A1140" s="2" t="s">
        <v>1172</v>
      </c>
      <c r="B1140" s="3">
        <v>45821</v>
      </c>
      <c r="C1140" s="2" t="s">
        <v>31</v>
      </c>
      <c r="D1140" s="2" t="s">
        <v>11</v>
      </c>
      <c r="E1140" s="2" t="s">
        <v>17</v>
      </c>
      <c r="F1140" s="2" t="s">
        <v>33</v>
      </c>
      <c r="G1140" s="2" t="s">
        <v>19</v>
      </c>
      <c r="H1140" s="4">
        <v>60248</v>
      </c>
      <c r="I1140" s="4">
        <v>57300</v>
      </c>
    </row>
    <row r="1141" spans="1:9" x14ac:dyDescent="0.3">
      <c r="A1141" s="2" t="s">
        <v>1173</v>
      </c>
      <c r="B1141" s="3">
        <v>45822</v>
      </c>
      <c r="C1141" s="2" t="s">
        <v>62</v>
      </c>
      <c r="D1141" s="2" t="s">
        <v>11</v>
      </c>
      <c r="E1141" s="2" t="s">
        <v>22</v>
      </c>
      <c r="F1141" s="2" t="s">
        <v>39</v>
      </c>
      <c r="G1141" s="2" t="s">
        <v>19</v>
      </c>
      <c r="H1141" s="4">
        <v>34718</v>
      </c>
      <c r="I1141" s="4">
        <v>35600</v>
      </c>
    </row>
    <row r="1142" spans="1:9" x14ac:dyDescent="0.3">
      <c r="A1142" s="2" t="s">
        <v>1174</v>
      </c>
      <c r="B1142" s="3">
        <v>45822</v>
      </c>
      <c r="C1142" s="2" t="s">
        <v>10</v>
      </c>
      <c r="D1142" s="2" t="s">
        <v>11</v>
      </c>
      <c r="E1142" s="2" t="s">
        <v>12</v>
      </c>
      <c r="F1142" s="2" t="s">
        <v>18</v>
      </c>
      <c r="G1142" s="2" t="s">
        <v>19</v>
      </c>
      <c r="H1142" s="4">
        <v>87262</v>
      </c>
      <c r="I1142" s="4">
        <v>88000</v>
      </c>
    </row>
    <row r="1143" spans="1:9" x14ac:dyDescent="0.3">
      <c r="A1143" s="2" t="s">
        <v>1175</v>
      </c>
      <c r="B1143" s="3">
        <v>45822</v>
      </c>
      <c r="C1143" s="2" t="s">
        <v>10</v>
      </c>
      <c r="D1143" s="2" t="s">
        <v>11</v>
      </c>
      <c r="E1143" s="2" t="s">
        <v>12</v>
      </c>
      <c r="F1143" s="2" t="s">
        <v>12</v>
      </c>
      <c r="G1143" s="2" t="s">
        <v>14</v>
      </c>
      <c r="H1143" s="4">
        <v>53545</v>
      </c>
      <c r="I1143" s="4">
        <v>56100</v>
      </c>
    </row>
    <row r="1144" spans="1:9" x14ac:dyDescent="0.3">
      <c r="A1144" s="2" t="s">
        <v>1176</v>
      </c>
      <c r="B1144" s="3">
        <v>45822</v>
      </c>
      <c r="C1144" s="2" t="s">
        <v>36</v>
      </c>
      <c r="D1144" s="2" t="s">
        <v>11</v>
      </c>
      <c r="E1144" s="2" t="s">
        <v>37</v>
      </c>
      <c r="F1144" s="2" t="s">
        <v>39</v>
      </c>
      <c r="G1144" s="2" t="s">
        <v>19</v>
      </c>
      <c r="H1144" s="4">
        <v>78743</v>
      </c>
      <c r="I1144" s="4">
        <v>95000</v>
      </c>
    </row>
    <row r="1145" spans="1:9" x14ac:dyDescent="0.3">
      <c r="A1145" s="2" t="s">
        <v>1177</v>
      </c>
      <c r="B1145" s="3">
        <v>45822</v>
      </c>
      <c r="C1145" s="2" t="s">
        <v>36</v>
      </c>
      <c r="D1145" s="2" t="s">
        <v>11</v>
      </c>
      <c r="E1145" s="2" t="s">
        <v>37</v>
      </c>
      <c r="F1145" s="2" t="s">
        <v>12</v>
      </c>
      <c r="G1145" s="2" t="s">
        <v>14</v>
      </c>
      <c r="H1145" s="4">
        <v>231828</v>
      </c>
      <c r="I1145" s="4">
        <v>238300</v>
      </c>
    </row>
    <row r="1146" spans="1:9" x14ac:dyDescent="0.3">
      <c r="A1146" s="2" t="s">
        <v>1178</v>
      </c>
      <c r="B1146" s="3">
        <v>45822</v>
      </c>
      <c r="C1146" s="2" t="s">
        <v>21</v>
      </c>
      <c r="D1146" s="2" t="s">
        <v>11</v>
      </c>
      <c r="E1146" s="2" t="s">
        <v>22</v>
      </c>
      <c r="F1146" s="2" t="s">
        <v>12</v>
      </c>
      <c r="G1146" s="2" t="s">
        <v>14</v>
      </c>
      <c r="H1146" s="4">
        <v>179347</v>
      </c>
      <c r="I1146" s="4">
        <v>197800</v>
      </c>
    </row>
    <row r="1147" spans="1:9" x14ac:dyDescent="0.3">
      <c r="A1147" s="2" t="s">
        <v>1179</v>
      </c>
      <c r="B1147" s="3">
        <v>45822</v>
      </c>
      <c r="C1147" s="2" t="s">
        <v>21</v>
      </c>
      <c r="D1147" s="2" t="s">
        <v>11</v>
      </c>
      <c r="E1147" s="2" t="s">
        <v>22</v>
      </c>
      <c r="F1147" s="2" t="s">
        <v>59</v>
      </c>
      <c r="G1147" s="2" t="s">
        <v>14</v>
      </c>
      <c r="H1147" s="4">
        <v>63674</v>
      </c>
      <c r="I1147" s="4">
        <v>62700</v>
      </c>
    </row>
    <row r="1148" spans="1:9" x14ac:dyDescent="0.3">
      <c r="A1148" s="2" t="s">
        <v>1180</v>
      </c>
      <c r="B1148" s="3">
        <v>45822</v>
      </c>
      <c r="C1148" s="2" t="s">
        <v>25</v>
      </c>
      <c r="D1148" s="2" t="s">
        <v>11</v>
      </c>
      <c r="E1148" s="2" t="s">
        <v>22</v>
      </c>
      <c r="F1148" s="2" t="s">
        <v>12</v>
      </c>
      <c r="G1148" s="2" t="s">
        <v>14</v>
      </c>
      <c r="H1148" s="4">
        <v>69129</v>
      </c>
      <c r="I1148" s="4">
        <v>69700</v>
      </c>
    </row>
    <row r="1149" spans="1:9" x14ac:dyDescent="0.3">
      <c r="A1149" s="2" t="s">
        <v>1181</v>
      </c>
      <c r="B1149" s="3">
        <v>45823</v>
      </c>
      <c r="C1149" s="2" t="s">
        <v>36</v>
      </c>
      <c r="D1149" s="2" t="s">
        <v>11</v>
      </c>
      <c r="E1149" s="2" t="s">
        <v>37</v>
      </c>
      <c r="F1149" s="2" t="s">
        <v>18</v>
      </c>
      <c r="G1149" s="2" t="s">
        <v>19</v>
      </c>
      <c r="H1149" s="4">
        <v>118310</v>
      </c>
      <c r="I1149" s="4">
        <v>111400</v>
      </c>
    </row>
    <row r="1150" spans="1:9" x14ac:dyDescent="0.3">
      <c r="A1150" s="2" t="s">
        <v>1182</v>
      </c>
      <c r="B1150" s="3">
        <v>45823</v>
      </c>
      <c r="C1150" s="2" t="s">
        <v>36</v>
      </c>
      <c r="D1150" s="2" t="s">
        <v>11</v>
      </c>
      <c r="E1150" s="2" t="s">
        <v>37</v>
      </c>
      <c r="F1150" s="2" t="s">
        <v>13</v>
      </c>
      <c r="G1150" s="2" t="s">
        <v>14</v>
      </c>
      <c r="H1150" s="4">
        <v>73207</v>
      </c>
      <c r="I1150" s="4">
        <v>69700</v>
      </c>
    </row>
    <row r="1151" spans="1:9" x14ac:dyDescent="0.3">
      <c r="A1151" s="2" t="s">
        <v>1183</v>
      </c>
      <c r="B1151" s="3">
        <v>45823</v>
      </c>
      <c r="C1151" s="2" t="s">
        <v>25</v>
      </c>
      <c r="D1151" s="2" t="s">
        <v>11</v>
      </c>
      <c r="E1151" s="2" t="s">
        <v>22</v>
      </c>
      <c r="F1151" s="2" t="s">
        <v>56</v>
      </c>
      <c r="G1151" s="2" t="s">
        <v>19</v>
      </c>
      <c r="H1151" s="4">
        <v>30682</v>
      </c>
      <c r="I1151" s="4">
        <v>30800</v>
      </c>
    </row>
    <row r="1152" spans="1:9" x14ac:dyDescent="0.3">
      <c r="A1152" s="2" t="s">
        <v>1184</v>
      </c>
      <c r="B1152" s="3">
        <v>45823</v>
      </c>
      <c r="C1152" s="2" t="s">
        <v>31</v>
      </c>
      <c r="D1152" s="2" t="s">
        <v>11</v>
      </c>
      <c r="E1152" s="2" t="s">
        <v>17</v>
      </c>
      <c r="F1152" s="2" t="s">
        <v>37</v>
      </c>
      <c r="G1152" s="2" t="s">
        <v>14</v>
      </c>
      <c r="H1152" s="4">
        <v>68959</v>
      </c>
      <c r="I1152" s="4">
        <v>73500</v>
      </c>
    </row>
    <row r="1153" spans="1:9" x14ac:dyDescent="0.3">
      <c r="A1153" s="2" t="s">
        <v>1185</v>
      </c>
      <c r="B1153" s="3">
        <v>45824</v>
      </c>
      <c r="C1153" s="2" t="s">
        <v>62</v>
      </c>
      <c r="D1153" s="2" t="s">
        <v>11</v>
      </c>
      <c r="E1153" s="2" t="s">
        <v>22</v>
      </c>
      <c r="F1153" s="2" t="s">
        <v>13</v>
      </c>
      <c r="G1153" s="2" t="s">
        <v>14</v>
      </c>
      <c r="H1153" s="4">
        <v>227609</v>
      </c>
      <c r="I1153" s="4">
        <v>231300</v>
      </c>
    </row>
    <row r="1154" spans="1:9" x14ac:dyDescent="0.3">
      <c r="A1154" s="2" t="s">
        <v>1186</v>
      </c>
      <c r="B1154" s="3">
        <v>45824</v>
      </c>
      <c r="C1154" s="2" t="s">
        <v>16</v>
      </c>
      <c r="D1154" s="2" t="s">
        <v>11</v>
      </c>
      <c r="E1154" s="2" t="s">
        <v>17</v>
      </c>
      <c r="F1154" s="2" t="s">
        <v>26</v>
      </c>
      <c r="G1154" s="2" t="s">
        <v>14</v>
      </c>
      <c r="H1154" s="4">
        <v>140339</v>
      </c>
      <c r="I1154" s="4">
        <v>112700</v>
      </c>
    </row>
    <row r="1155" spans="1:9" x14ac:dyDescent="0.3">
      <c r="A1155" s="2" t="s">
        <v>1187</v>
      </c>
      <c r="B1155" s="3">
        <v>45824</v>
      </c>
      <c r="C1155" s="2" t="s">
        <v>31</v>
      </c>
      <c r="D1155" s="2" t="s">
        <v>11</v>
      </c>
      <c r="E1155" s="2" t="s">
        <v>17</v>
      </c>
      <c r="F1155" s="2" t="s">
        <v>18</v>
      </c>
      <c r="G1155" s="2" t="s">
        <v>19</v>
      </c>
      <c r="H1155" s="4">
        <v>56187</v>
      </c>
      <c r="I1155" s="4">
        <v>62600</v>
      </c>
    </row>
    <row r="1156" spans="1:9" x14ac:dyDescent="0.3">
      <c r="A1156" s="2" t="s">
        <v>1188</v>
      </c>
      <c r="B1156" s="3">
        <v>45825</v>
      </c>
      <c r="C1156" s="2" t="s">
        <v>62</v>
      </c>
      <c r="D1156" s="2" t="s">
        <v>11</v>
      </c>
      <c r="E1156" s="2" t="s">
        <v>22</v>
      </c>
      <c r="F1156" s="2" t="s">
        <v>59</v>
      </c>
      <c r="G1156" s="2" t="s">
        <v>14</v>
      </c>
      <c r="H1156" s="4">
        <v>114252</v>
      </c>
      <c r="I1156" s="4">
        <v>112200</v>
      </c>
    </row>
    <row r="1157" spans="1:9" x14ac:dyDescent="0.3">
      <c r="A1157" s="2" t="s">
        <v>1189</v>
      </c>
      <c r="B1157" s="3">
        <v>45825</v>
      </c>
      <c r="C1157" s="2" t="s">
        <v>62</v>
      </c>
      <c r="D1157" s="2" t="s">
        <v>11</v>
      </c>
      <c r="E1157" s="2" t="s">
        <v>22</v>
      </c>
      <c r="F1157" s="2" t="s">
        <v>13</v>
      </c>
      <c r="G1157" s="2" t="s">
        <v>14</v>
      </c>
      <c r="H1157" s="4">
        <v>34749</v>
      </c>
      <c r="I1157" s="4">
        <v>31500</v>
      </c>
    </row>
    <row r="1158" spans="1:9" x14ac:dyDescent="0.3">
      <c r="A1158" s="2" t="s">
        <v>1190</v>
      </c>
      <c r="B1158" s="3">
        <v>45825</v>
      </c>
      <c r="C1158" s="2" t="s">
        <v>10</v>
      </c>
      <c r="D1158" s="2" t="s">
        <v>11</v>
      </c>
      <c r="E1158" s="2" t="s">
        <v>12</v>
      </c>
      <c r="F1158" s="2" t="s">
        <v>18</v>
      </c>
      <c r="G1158" s="2" t="s">
        <v>19</v>
      </c>
      <c r="H1158" s="4">
        <v>26338</v>
      </c>
      <c r="I1158" s="4">
        <v>26700</v>
      </c>
    </row>
    <row r="1159" spans="1:9" x14ac:dyDescent="0.3">
      <c r="A1159" s="2" t="s">
        <v>1191</v>
      </c>
      <c r="B1159" s="3">
        <v>45825</v>
      </c>
      <c r="C1159" s="2" t="s">
        <v>10</v>
      </c>
      <c r="D1159" s="2" t="s">
        <v>11</v>
      </c>
      <c r="E1159" s="2" t="s">
        <v>12</v>
      </c>
      <c r="F1159" s="2" t="s">
        <v>46</v>
      </c>
      <c r="G1159" s="2" t="s">
        <v>19</v>
      </c>
      <c r="H1159" s="4">
        <v>48252</v>
      </c>
      <c r="I1159" s="4">
        <v>49500</v>
      </c>
    </row>
    <row r="1160" spans="1:9" x14ac:dyDescent="0.3">
      <c r="A1160" s="2" t="s">
        <v>1192</v>
      </c>
      <c r="B1160" s="3">
        <v>45825</v>
      </c>
      <c r="C1160" s="2" t="s">
        <v>36</v>
      </c>
      <c r="D1160" s="2" t="s">
        <v>11</v>
      </c>
      <c r="E1160" s="2" t="s">
        <v>37</v>
      </c>
      <c r="F1160" s="2" t="s">
        <v>39</v>
      </c>
      <c r="G1160" s="2" t="s">
        <v>19</v>
      </c>
      <c r="H1160" s="4">
        <v>104279</v>
      </c>
      <c r="I1160" s="4">
        <v>109900</v>
      </c>
    </row>
    <row r="1161" spans="1:9" x14ac:dyDescent="0.3">
      <c r="A1161" s="2" t="s">
        <v>1193</v>
      </c>
      <c r="B1161" s="3">
        <v>45825</v>
      </c>
      <c r="C1161" s="2" t="s">
        <v>21</v>
      </c>
      <c r="D1161" s="2" t="s">
        <v>11</v>
      </c>
      <c r="E1161" s="2" t="s">
        <v>22</v>
      </c>
      <c r="F1161" s="2" t="s">
        <v>39</v>
      </c>
      <c r="G1161" s="2" t="s">
        <v>19</v>
      </c>
      <c r="H1161" s="4">
        <v>92049</v>
      </c>
      <c r="I1161" s="4">
        <v>80400</v>
      </c>
    </row>
    <row r="1162" spans="1:9" x14ac:dyDescent="0.3">
      <c r="A1162" s="2" t="s">
        <v>1194</v>
      </c>
      <c r="B1162" s="3">
        <v>45826</v>
      </c>
      <c r="C1162" s="2" t="s">
        <v>10</v>
      </c>
      <c r="D1162" s="2" t="s">
        <v>11</v>
      </c>
      <c r="E1162" s="2" t="s">
        <v>12</v>
      </c>
      <c r="F1162" s="2" t="s">
        <v>59</v>
      </c>
      <c r="G1162" s="2" t="s">
        <v>14</v>
      </c>
      <c r="H1162" s="4">
        <v>160717</v>
      </c>
      <c r="I1162" s="4">
        <v>147800</v>
      </c>
    </row>
    <row r="1163" spans="1:9" x14ac:dyDescent="0.3">
      <c r="A1163" s="2" t="s">
        <v>1195</v>
      </c>
      <c r="B1163" s="3">
        <v>45826</v>
      </c>
      <c r="C1163" s="2" t="s">
        <v>36</v>
      </c>
      <c r="D1163" s="2" t="s">
        <v>11</v>
      </c>
      <c r="E1163" s="2" t="s">
        <v>37</v>
      </c>
      <c r="F1163" s="2" t="s">
        <v>42</v>
      </c>
      <c r="G1163" s="2" t="s">
        <v>19</v>
      </c>
      <c r="H1163" s="4">
        <v>21732</v>
      </c>
      <c r="I1163" s="4">
        <v>20900</v>
      </c>
    </row>
    <row r="1164" spans="1:9" x14ac:dyDescent="0.3">
      <c r="A1164" s="2" t="s">
        <v>1196</v>
      </c>
      <c r="B1164" s="3">
        <v>45826</v>
      </c>
      <c r="C1164" s="2" t="s">
        <v>25</v>
      </c>
      <c r="D1164" s="2" t="s">
        <v>11</v>
      </c>
      <c r="E1164" s="2" t="s">
        <v>22</v>
      </c>
      <c r="F1164" s="2" t="s">
        <v>42</v>
      </c>
      <c r="G1164" s="2" t="s">
        <v>19</v>
      </c>
      <c r="H1164" s="4">
        <v>15675</v>
      </c>
      <c r="I1164" s="4">
        <v>15000</v>
      </c>
    </row>
    <row r="1165" spans="1:9" x14ac:dyDescent="0.3">
      <c r="A1165" s="2" t="s">
        <v>1197</v>
      </c>
      <c r="B1165" s="3">
        <v>45826</v>
      </c>
      <c r="C1165" s="2" t="s">
        <v>31</v>
      </c>
      <c r="D1165" s="2" t="s">
        <v>11</v>
      </c>
      <c r="E1165" s="2" t="s">
        <v>17</v>
      </c>
      <c r="F1165" s="2" t="s">
        <v>26</v>
      </c>
      <c r="G1165" s="2" t="s">
        <v>14</v>
      </c>
      <c r="H1165" s="4">
        <v>185928</v>
      </c>
      <c r="I1165" s="4">
        <v>177300</v>
      </c>
    </row>
    <row r="1166" spans="1:9" x14ac:dyDescent="0.3">
      <c r="A1166" s="2" t="s">
        <v>1198</v>
      </c>
      <c r="B1166" s="3">
        <v>45826</v>
      </c>
      <c r="C1166" s="2" t="s">
        <v>55</v>
      </c>
      <c r="D1166" s="2" t="s">
        <v>11</v>
      </c>
      <c r="E1166" s="2" t="s">
        <v>37</v>
      </c>
      <c r="F1166" s="2" t="s">
        <v>37</v>
      </c>
      <c r="G1166" s="2" t="s">
        <v>14</v>
      </c>
      <c r="H1166" s="4">
        <v>180123</v>
      </c>
      <c r="I1166" s="4">
        <v>181000</v>
      </c>
    </row>
    <row r="1167" spans="1:9" x14ac:dyDescent="0.3">
      <c r="A1167" s="2" t="s">
        <v>1199</v>
      </c>
      <c r="B1167" s="3">
        <v>45827</v>
      </c>
      <c r="C1167" s="2" t="s">
        <v>10</v>
      </c>
      <c r="D1167" s="2" t="s">
        <v>11</v>
      </c>
      <c r="E1167" s="2" t="s">
        <v>12</v>
      </c>
      <c r="F1167" s="2" t="s">
        <v>46</v>
      </c>
      <c r="G1167" s="2" t="s">
        <v>19</v>
      </c>
      <c r="H1167" s="4">
        <v>65668</v>
      </c>
      <c r="I1167" s="4">
        <v>58300</v>
      </c>
    </row>
    <row r="1168" spans="1:9" x14ac:dyDescent="0.3">
      <c r="A1168" s="2" t="s">
        <v>1200</v>
      </c>
      <c r="B1168" s="3">
        <v>45827</v>
      </c>
      <c r="C1168" s="2" t="s">
        <v>36</v>
      </c>
      <c r="D1168" s="2" t="s">
        <v>11</v>
      </c>
      <c r="E1168" s="2" t="s">
        <v>37</v>
      </c>
      <c r="F1168" s="2" t="s">
        <v>39</v>
      </c>
      <c r="G1168" s="2" t="s">
        <v>19</v>
      </c>
      <c r="H1168" s="4">
        <v>118010</v>
      </c>
      <c r="I1168" s="4">
        <v>100600</v>
      </c>
    </row>
    <row r="1169" spans="1:9" x14ac:dyDescent="0.3">
      <c r="A1169" s="2" t="s">
        <v>1201</v>
      </c>
      <c r="B1169" s="3">
        <v>45827</v>
      </c>
      <c r="C1169" s="2" t="s">
        <v>36</v>
      </c>
      <c r="D1169" s="2" t="s">
        <v>11</v>
      </c>
      <c r="E1169" s="2" t="s">
        <v>37</v>
      </c>
      <c r="F1169" s="2" t="s">
        <v>37</v>
      </c>
      <c r="G1169" s="2" t="s">
        <v>14</v>
      </c>
      <c r="H1169" s="4">
        <v>188767</v>
      </c>
      <c r="I1169" s="4">
        <v>213000</v>
      </c>
    </row>
    <row r="1170" spans="1:9" x14ac:dyDescent="0.3">
      <c r="A1170" s="2" t="s">
        <v>1202</v>
      </c>
      <c r="B1170" s="3">
        <v>45827</v>
      </c>
      <c r="C1170" s="2" t="s">
        <v>21</v>
      </c>
      <c r="D1170" s="2" t="s">
        <v>11</v>
      </c>
      <c r="E1170" s="2" t="s">
        <v>22</v>
      </c>
      <c r="F1170" s="2" t="s">
        <v>56</v>
      </c>
      <c r="G1170" s="2" t="s">
        <v>19</v>
      </c>
      <c r="H1170" s="4">
        <v>16817</v>
      </c>
      <c r="I1170" s="4">
        <v>16900</v>
      </c>
    </row>
    <row r="1171" spans="1:9" x14ac:dyDescent="0.3">
      <c r="A1171" s="2" t="s">
        <v>1203</v>
      </c>
      <c r="B1171" s="3">
        <v>45827</v>
      </c>
      <c r="C1171" s="2" t="s">
        <v>25</v>
      </c>
      <c r="D1171" s="2" t="s">
        <v>11</v>
      </c>
      <c r="E1171" s="2" t="s">
        <v>22</v>
      </c>
      <c r="F1171" s="2" t="s">
        <v>33</v>
      </c>
      <c r="G1171" s="2" t="s">
        <v>19</v>
      </c>
      <c r="H1171" s="4">
        <v>104258</v>
      </c>
      <c r="I1171" s="4">
        <v>107000</v>
      </c>
    </row>
    <row r="1172" spans="1:9" x14ac:dyDescent="0.3">
      <c r="A1172" s="2" t="s">
        <v>1204</v>
      </c>
      <c r="B1172" s="3">
        <v>45827</v>
      </c>
      <c r="C1172" s="2" t="s">
        <v>25</v>
      </c>
      <c r="D1172" s="2" t="s">
        <v>11</v>
      </c>
      <c r="E1172" s="2" t="s">
        <v>22</v>
      </c>
      <c r="F1172" s="2" t="s">
        <v>56</v>
      </c>
      <c r="G1172" s="2" t="s">
        <v>19</v>
      </c>
      <c r="H1172" s="4">
        <v>45965</v>
      </c>
      <c r="I1172" s="4">
        <v>45700</v>
      </c>
    </row>
    <row r="1173" spans="1:9" x14ac:dyDescent="0.3">
      <c r="A1173" s="2" t="s">
        <v>1205</v>
      </c>
      <c r="B1173" s="3">
        <v>45827</v>
      </c>
      <c r="C1173" s="2" t="s">
        <v>25</v>
      </c>
      <c r="D1173" s="2" t="s">
        <v>11</v>
      </c>
      <c r="E1173" s="2" t="s">
        <v>22</v>
      </c>
      <c r="F1173" s="2" t="s">
        <v>33</v>
      </c>
      <c r="G1173" s="2" t="s">
        <v>19</v>
      </c>
      <c r="H1173" s="4">
        <v>67607</v>
      </c>
      <c r="I1173" s="4">
        <v>63200</v>
      </c>
    </row>
    <row r="1174" spans="1:9" x14ac:dyDescent="0.3">
      <c r="A1174" s="2" t="s">
        <v>1206</v>
      </c>
      <c r="B1174" s="3">
        <v>45827</v>
      </c>
      <c r="C1174" s="2" t="s">
        <v>25</v>
      </c>
      <c r="D1174" s="2" t="s">
        <v>11</v>
      </c>
      <c r="E1174" s="2" t="s">
        <v>22</v>
      </c>
      <c r="F1174" s="2" t="s">
        <v>37</v>
      </c>
      <c r="G1174" s="2" t="s">
        <v>14</v>
      </c>
      <c r="H1174" s="4">
        <v>202812</v>
      </c>
      <c r="I1174" s="4">
        <v>232700</v>
      </c>
    </row>
    <row r="1175" spans="1:9" x14ac:dyDescent="0.3">
      <c r="A1175" s="2" t="s">
        <v>1207</v>
      </c>
      <c r="B1175" s="3">
        <v>45827</v>
      </c>
      <c r="C1175" s="2" t="s">
        <v>31</v>
      </c>
      <c r="D1175" s="2" t="s">
        <v>11</v>
      </c>
      <c r="E1175" s="2" t="s">
        <v>17</v>
      </c>
      <c r="F1175" s="2" t="s">
        <v>46</v>
      </c>
      <c r="G1175" s="2" t="s">
        <v>19</v>
      </c>
      <c r="H1175" s="4">
        <v>34891</v>
      </c>
      <c r="I1175" s="4">
        <v>36300</v>
      </c>
    </row>
    <row r="1176" spans="1:9" x14ac:dyDescent="0.3">
      <c r="A1176" s="2" t="s">
        <v>1208</v>
      </c>
      <c r="B1176" s="3">
        <v>45828</v>
      </c>
      <c r="C1176" s="2" t="s">
        <v>62</v>
      </c>
      <c r="D1176" s="2" t="s">
        <v>11</v>
      </c>
      <c r="E1176" s="2" t="s">
        <v>22</v>
      </c>
      <c r="F1176" s="2" t="s">
        <v>26</v>
      </c>
      <c r="G1176" s="2" t="s">
        <v>14</v>
      </c>
      <c r="H1176" s="4">
        <v>203327</v>
      </c>
      <c r="I1176" s="4">
        <v>211100</v>
      </c>
    </row>
    <row r="1177" spans="1:9" x14ac:dyDescent="0.3">
      <c r="A1177" s="2" t="s">
        <v>1209</v>
      </c>
      <c r="B1177" s="3">
        <v>45828</v>
      </c>
      <c r="C1177" s="2" t="s">
        <v>10</v>
      </c>
      <c r="D1177" s="2" t="s">
        <v>11</v>
      </c>
      <c r="E1177" s="2" t="s">
        <v>12</v>
      </c>
      <c r="F1177" s="2" t="s">
        <v>39</v>
      </c>
      <c r="G1177" s="2" t="s">
        <v>19</v>
      </c>
      <c r="H1177" s="4">
        <v>114657</v>
      </c>
      <c r="I1177" s="4">
        <v>106200</v>
      </c>
    </row>
    <row r="1178" spans="1:9" x14ac:dyDescent="0.3">
      <c r="A1178" s="2" t="s">
        <v>1210</v>
      </c>
      <c r="B1178" s="3">
        <v>45828</v>
      </c>
      <c r="C1178" s="2" t="s">
        <v>16</v>
      </c>
      <c r="D1178" s="2" t="s">
        <v>11</v>
      </c>
      <c r="E1178" s="2" t="s">
        <v>17</v>
      </c>
      <c r="F1178" s="2" t="s">
        <v>18</v>
      </c>
      <c r="G1178" s="2" t="s">
        <v>19</v>
      </c>
      <c r="H1178" s="4">
        <v>49117</v>
      </c>
      <c r="I1178" s="4">
        <v>42800</v>
      </c>
    </row>
    <row r="1179" spans="1:9" x14ac:dyDescent="0.3">
      <c r="A1179" s="2" t="s">
        <v>1211</v>
      </c>
      <c r="B1179" s="3">
        <v>45828</v>
      </c>
      <c r="C1179" s="2" t="s">
        <v>21</v>
      </c>
      <c r="D1179" s="2" t="s">
        <v>11</v>
      </c>
      <c r="E1179" s="2" t="s">
        <v>22</v>
      </c>
      <c r="F1179" s="2" t="s">
        <v>42</v>
      </c>
      <c r="G1179" s="2" t="s">
        <v>19</v>
      </c>
      <c r="H1179" s="4">
        <v>67264</v>
      </c>
      <c r="I1179" s="4">
        <v>76800</v>
      </c>
    </row>
    <row r="1180" spans="1:9" x14ac:dyDescent="0.3">
      <c r="A1180" s="2" t="s">
        <v>1212</v>
      </c>
      <c r="B1180" s="3">
        <v>45828</v>
      </c>
      <c r="C1180" s="2" t="s">
        <v>21</v>
      </c>
      <c r="D1180" s="2" t="s">
        <v>11</v>
      </c>
      <c r="E1180" s="2" t="s">
        <v>22</v>
      </c>
      <c r="F1180" s="2" t="s">
        <v>59</v>
      </c>
      <c r="G1180" s="2" t="s">
        <v>14</v>
      </c>
      <c r="H1180" s="4">
        <v>60241</v>
      </c>
      <c r="I1180" s="4">
        <v>66300</v>
      </c>
    </row>
    <row r="1181" spans="1:9" x14ac:dyDescent="0.3">
      <c r="A1181" s="2" t="s">
        <v>1213</v>
      </c>
      <c r="B1181" s="3">
        <v>45828</v>
      </c>
      <c r="C1181" s="2" t="s">
        <v>25</v>
      </c>
      <c r="D1181" s="2" t="s">
        <v>11</v>
      </c>
      <c r="E1181" s="2" t="s">
        <v>22</v>
      </c>
      <c r="F1181" s="2" t="s">
        <v>42</v>
      </c>
      <c r="G1181" s="2" t="s">
        <v>19</v>
      </c>
      <c r="H1181" s="4">
        <v>67023</v>
      </c>
      <c r="I1181" s="4">
        <v>56900</v>
      </c>
    </row>
    <row r="1182" spans="1:9" x14ac:dyDescent="0.3">
      <c r="A1182" s="2" t="s">
        <v>1214</v>
      </c>
      <c r="B1182" s="3">
        <v>45828</v>
      </c>
      <c r="C1182" s="2" t="s">
        <v>25</v>
      </c>
      <c r="D1182" s="2" t="s">
        <v>11</v>
      </c>
      <c r="E1182" s="2" t="s">
        <v>22</v>
      </c>
      <c r="F1182" s="2" t="s">
        <v>56</v>
      </c>
      <c r="G1182" s="2" t="s">
        <v>19</v>
      </c>
      <c r="H1182" s="4">
        <v>40330</v>
      </c>
      <c r="I1182" s="4">
        <v>40600</v>
      </c>
    </row>
    <row r="1183" spans="1:9" x14ac:dyDescent="0.3">
      <c r="A1183" s="2" t="s">
        <v>1215</v>
      </c>
      <c r="B1183" s="3">
        <v>45829</v>
      </c>
      <c r="C1183" s="2" t="s">
        <v>10</v>
      </c>
      <c r="D1183" s="2" t="s">
        <v>11</v>
      </c>
      <c r="E1183" s="2" t="s">
        <v>12</v>
      </c>
      <c r="F1183" s="2" t="s">
        <v>39</v>
      </c>
      <c r="G1183" s="2" t="s">
        <v>19</v>
      </c>
      <c r="H1183" s="4">
        <v>15680</v>
      </c>
      <c r="I1183" s="4">
        <v>16300</v>
      </c>
    </row>
    <row r="1184" spans="1:9" x14ac:dyDescent="0.3">
      <c r="A1184" s="2" t="s">
        <v>1216</v>
      </c>
      <c r="B1184" s="3">
        <v>45829</v>
      </c>
      <c r="C1184" s="2" t="s">
        <v>16</v>
      </c>
      <c r="D1184" s="2" t="s">
        <v>11</v>
      </c>
      <c r="E1184" s="2" t="s">
        <v>17</v>
      </c>
      <c r="F1184" s="2" t="s">
        <v>46</v>
      </c>
      <c r="G1184" s="2" t="s">
        <v>19</v>
      </c>
      <c r="H1184" s="4">
        <v>13776</v>
      </c>
      <c r="I1184" s="4">
        <v>15000</v>
      </c>
    </row>
    <row r="1185" spans="1:9" x14ac:dyDescent="0.3">
      <c r="A1185" s="2" t="s">
        <v>1217</v>
      </c>
      <c r="B1185" s="3">
        <v>45829</v>
      </c>
      <c r="C1185" s="2" t="s">
        <v>36</v>
      </c>
      <c r="D1185" s="2" t="s">
        <v>11</v>
      </c>
      <c r="E1185" s="2" t="s">
        <v>37</v>
      </c>
      <c r="F1185" s="2" t="s">
        <v>13</v>
      </c>
      <c r="G1185" s="2" t="s">
        <v>14</v>
      </c>
      <c r="H1185" s="4">
        <v>44532</v>
      </c>
      <c r="I1185" s="4">
        <v>40400</v>
      </c>
    </row>
    <row r="1186" spans="1:9" x14ac:dyDescent="0.3">
      <c r="A1186" s="2" t="s">
        <v>1218</v>
      </c>
      <c r="B1186" s="3">
        <v>45829</v>
      </c>
      <c r="C1186" s="2" t="s">
        <v>21</v>
      </c>
      <c r="D1186" s="2" t="s">
        <v>11</v>
      </c>
      <c r="E1186" s="2" t="s">
        <v>22</v>
      </c>
      <c r="F1186" s="2" t="s">
        <v>33</v>
      </c>
      <c r="G1186" s="2" t="s">
        <v>19</v>
      </c>
      <c r="H1186" s="4">
        <v>80795</v>
      </c>
      <c r="I1186" s="4">
        <v>84600</v>
      </c>
    </row>
    <row r="1187" spans="1:9" x14ac:dyDescent="0.3">
      <c r="A1187" s="2" t="s">
        <v>1219</v>
      </c>
      <c r="B1187" s="3">
        <v>45829</v>
      </c>
      <c r="C1187" s="2" t="s">
        <v>21</v>
      </c>
      <c r="D1187" s="2" t="s">
        <v>11</v>
      </c>
      <c r="E1187" s="2" t="s">
        <v>22</v>
      </c>
      <c r="F1187" s="2" t="s">
        <v>46</v>
      </c>
      <c r="G1187" s="2" t="s">
        <v>19</v>
      </c>
      <c r="H1187" s="4">
        <v>50544</v>
      </c>
      <c r="I1187" s="4">
        <v>41000</v>
      </c>
    </row>
    <row r="1188" spans="1:9" x14ac:dyDescent="0.3">
      <c r="A1188" s="2" t="s">
        <v>1220</v>
      </c>
      <c r="B1188" s="3">
        <v>45829</v>
      </c>
      <c r="C1188" s="2" t="s">
        <v>25</v>
      </c>
      <c r="D1188" s="2" t="s">
        <v>11</v>
      </c>
      <c r="E1188" s="2" t="s">
        <v>22</v>
      </c>
      <c r="F1188" s="2" t="s">
        <v>18</v>
      </c>
      <c r="G1188" s="2" t="s">
        <v>19</v>
      </c>
      <c r="H1188" s="4">
        <v>66465</v>
      </c>
      <c r="I1188" s="4">
        <v>62000</v>
      </c>
    </row>
    <row r="1189" spans="1:9" x14ac:dyDescent="0.3">
      <c r="A1189" s="2" t="s">
        <v>1221</v>
      </c>
      <c r="B1189" s="3">
        <v>45830</v>
      </c>
      <c r="C1189" s="2" t="s">
        <v>10</v>
      </c>
      <c r="D1189" s="2" t="s">
        <v>11</v>
      </c>
      <c r="E1189" s="2" t="s">
        <v>12</v>
      </c>
      <c r="F1189" s="2" t="s">
        <v>37</v>
      </c>
      <c r="G1189" s="2" t="s">
        <v>14</v>
      </c>
      <c r="H1189" s="4">
        <v>93774</v>
      </c>
      <c r="I1189" s="4">
        <v>85300</v>
      </c>
    </row>
    <row r="1190" spans="1:9" x14ac:dyDescent="0.3">
      <c r="A1190" s="2" t="s">
        <v>1222</v>
      </c>
      <c r="B1190" s="3">
        <v>45830</v>
      </c>
      <c r="C1190" s="2" t="s">
        <v>16</v>
      </c>
      <c r="D1190" s="2" t="s">
        <v>11</v>
      </c>
      <c r="E1190" s="2" t="s">
        <v>17</v>
      </c>
      <c r="F1190" s="2" t="s">
        <v>26</v>
      </c>
      <c r="G1190" s="2" t="s">
        <v>14</v>
      </c>
      <c r="H1190" s="4">
        <v>115353</v>
      </c>
      <c r="I1190" s="4">
        <v>122800</v>
      </c>
    </row>
    <row r="1191" spans="1:9" x14ac:dyDescent="0.3">
      <c r="A1191" s="2" t="s">
        <v>1223</v>
      </c>
      <c r="B1191" s="3">
        <v>45830</v>
      </c>
      <c r="C1191" s="2" t="s">
        <v>36</v>
      </c>
      <c r="D1191" s="2" t="s">
        <v>11</v>
      </c>
      <c r="E1191" s="2" t="s">
        <v>37</v>
      </c>
      <c r="F1191" s="2" t="s">
        <v>39</v>
      </c>
      <c r="G1191" s="2" t="s">
        <v>19</v>
      </c>
      <c r="H1191" s="4">
        <v>87248</v>
      </c>
      <c r="I1191" s="4">
        <v>93200</v>
      </c>
    </row>
    <row r="1192" spans="1:9" x14ac:dyDescent="0.3">
      <c r="A1192" s="2" t="s">
        <v>1224</v>
      </c>
      <c r="B1192" s="3">
        <v>45830</v>
      </c>
      <c r="C1192" s="2" t="s">
        <v>36</v>
      </c>
      <c r="D1192" s="2" t="s">
        <v>11</v>
      </c>
      <c r="E1192" s="2" t="s">
        <v>37</v>
      </c>
      <c r="F1192" s="2" t="s">
        <v>42</v>
      </c>
      <c r="G1192" s="2" t="s">
        <v>19</v>
      </c>
      <c r="H1192" s="4">
        <v>17648</v>
      </c>
      <c r="I1192" s="4">
        <v>21000</v>
      </c>
    </row>
    <row r="1193" spans="1:9" x14ac:dyDescent="0.3">
      <c r="A1193" s="2" t="s">
        <v>1225</v>
      </c>
      <c r="B1193" s="3">
        <v>45830</v>
      </c>
      <c r="C1193" s="2" t="s">
        <v>36</v>
      </c>
      <c r="D1193" s="2" t="s">
        <v>11</v>
      </c>
      <c r="E1193" s="2" t="s">
        <v>37</v>
      </c>
      <c r="F1193" s="2" t="s">
        <v>39</v>
      </c>
      <c r="G1193" s="2" t="s">
        <v>19</v>
      </c>
      <c r="H1193" s="4">
        <v>44367</v>
      </c>
      <c r="I1193" s="4">
        <v>38900</v>
      </c>
    </row>
    <row r="1194" spans="1:9" x14ac:dyDescent="0.3">
      <c r="A1194" s="2" t="s">
        <v>1226</v>
      </c>
      <c r="B1194" s="3">
        <v>45830</v>
      </c>
      <c r="C1194" s="2" t="s">
        <v>36</v>
      </c>
      <c r="D1194" s="2" t="s">
        <v>11</v>
      </c>
      <c r="E1194" s="2" t="s">
        <v>37</v>
      </c>
      <c r="F1194" s="2" t="s">
        <v>39</v>
      </c>
      <c r="G1194" s="2" t="s">
        <v>19</v>
      </c>
      <c r="H1194" s="4">
        <v>33264</v>
      </c>
      <c r="I1194" s="4">
        <v>32900</v>
      </c>
    </row>
    <row r="1195" spans="1:9" x14ac:dyDescent="0.3">
      <c r="A1195" s="2" t="s">
        <v>1227</v>
      </c>
      <c r="B1195" s="3">
        <v>45830</v>
      </c>
      <c r="C1195" s="2" t="s">
        <v>21</v>
      </c>
      <c r="D1195" s="2" t="s">
        <v>11</v>
      </c>
      <c r="E1195" s="2" t="s">
        <v>22</v>
      </c>
      <c r="F1195" s="2" t="s">
        <v>39</v>
      </c>
      <c r="G1195" s="2" t="s">
        <v>19</v>
      </c>
      <c r="H1195" s="4">
        <v>48623</v>
      </c>
      <c r="I1195" s="4">
        <v>55700</v>
      </c>
    </row>
    <row r="1196" spans="1:9" x14ac:dyDescent="0.3">
      <c r="A1196" s="2" t="s">
        <v>1228</v>
      </c>
      <c r="B1196" s="3">
        <v>45830</v>
      </c>
      <c r="C1196" s="2" t="s">
        <v>25</v>
      </c>
      <c r="D1196" s="2" t="s">
        <v>11</v>
      </c>
      <c r="E1196" s="2" t="s">
        <v>22</v>
      </c>
      <c r="F1196" s="2" t="s">
        <v>39</v>
      </c>
      <c r="G1196" s="2" t="s">
        <v>19</v>
      </c>
      <c r="H1196" s="4">
        <v>40659</v>
      </c>
      <c r="I1196" s="4">
        <v>45400</v>
      </c>
    </row>
    <row r="1197" spans="1:9" x14ac:dyDescent="0.3">
      <c r="A1197" s="2" t="s">
        <v>1229</v>
      </c>
      <c r="B1197" s="3">
        <v>45830</v>
      </c>
      <c r="C1197" s="2" t="s">
        <v>25</v>
      </c>
      <c r="D1197" s="2" t="s">
        <v>11</v>
      </c>
      <c r="E1197" s="2" t="s">
        <v>22</v>
      </c>
      <c r="F1197" s="2" t="s">
        <v>59</v>
      </c>
      <c r="G1197" s="2" t="s">
        <v>14</v>
      </c>
      <c r="H1197" s="4">
        <v>131881</v>
      </c>
      <c r="I1197" s="4">
        <v>140200</v>
      </c>
    </row>
    <row r="1198" spans="1:9" x14ac:dyDescent="0.3">
      <c r="A1198" s="2" t="s">
        <v>1230</v>
      </c>
      <c r="B1198" s="3">
        <v>45830</v>
      </c>
      <c r="C1198" s="2" t="s">
        <v>31</v>
      </c>
      <c r="D1198" s="2" t="s">
        <v>11</v>
      </c>
      <c r="E1198" s="2" t="s">
        <v>17</v>
      </c>
      <c r="F1198" s="2" t="s">
        <v>59</v>
      </c>
      <c r="G1198" s="2" t="s">
        <v>14</v>
      </c>
      <c r="H1198" s="4">
        <v>168047</v>
      </c>
      <c r="I1198" s="4">
        <v>154400</v>
      </c>
    </row>
    <row r="1199" spans="1:9" x14ac:dyDescent="0.3">
      <c r="A1199" s="2" t="s">
        <v>1231</v>
      </c>
      <c r="B1199" s="3">
        <v>45830</v>
      </c>
      <c r="C1199" s="2" t="s">
        <v>55</v>
      </c>
      <c r="D1199" s="2" t="s">
        <v>11</v>
      </c>
      <c r="E1199" s="2" t="s">
        <v>37</v>
      </c>
      <c r="F1199" s="2" t="s">
        <v>56</v>
      </c>
      <c r="G1199" s="2" t="s">
        <v>19</v>
      </c>
      <c r="H1199" s="4">
        <v>61860</v>
      </c>
      <c r="I1199" s="4">
        <v>61100</v>
      </c>
    </row>
    <row r="1200" spans="1:9" x14ac:dyDescent="0.3">
      <c r="A1200" s="2" t="s">
        <v>1232</v>
      </c>
      <c r="B1200" s="3">
        <v>45831</v>
      </c>
      <c r="C1200" s="2" t="s">
        <v>10</v>
      </c>
      <c r="D1200" s="2" t="s">
        <v>11</v>
      </c>
      <c r="E1200" s="2" t="s">
        <v>12</v>
      </c>
      <c r="F1200" s="2" t="s">
        <v>13</v>
      </c>
      <c r="G1200" s="2" t="s">
        <v>14</v>
      </c>
      <c r="H1200" s="4">
        <v>191417</v>
      </c>
      <c r="I1200" s="4">
        <v>187700</v>
      </c>
    </row>
    <row r="1201" spans="1:9" x14ac:dyDescent="0.3">
      <c r="A1201" s="2" t="s">
        <v>1233</v>
      </c>
      <c r="B1201" s="3">
        <v>45831</v>
      </c>
      <c r="C1201" s="2" t="s">
        <v>16</v>
      </c>
      <c r="D1201" s="2" t="s">
        <v>11</v>
      </c>
      <c r="E1201" s="2" t="s">
        <v>17</v>
      </c>
      <c r="F1201" s="2" t="s">
        <v>18</v>
      </c>
      <c r="G1201" s="2" t="s">
        <v>19</v>
      </c>
      <c r="H1201" s="4">
        <v>70866</v>
      </c>
      <c r="I1201" s="4">
        <v>85900</v>
      </c>
    </row>
    <row r="1202" spans="1:9" x14ac:dyDescent="0.3">
      <c r="A1202" s="2" t="s">
        <v>1234</v>
      </c>
      <c r="B1202" s="3">
        <v>45831</v>
      </c>
      <c r="C1202" s="2" t="s">
        <v>16</v>
      </c>
      <c r="D1202" s="2" t="s">
        <v>11</v>
      </c>
      <c r="E1202" s="2" t="s">
        <v>17</v>
      </c>
      <c r="F1202" s="2" t="s">
        <v>56</v>
      </c>
      <c r="G1202" s="2" t="s">
        <v>19</v>
      </c>
      <c r="H1202" s="4">
        <v>16279</v>
      </c>
      <c r="I1202" s="4">
        <v>14900</v>
      </c>
    </row>
    <row r="1203" spans="1:9" x14ac:dyDescent="0.3">
      <c r="A1203" s="2" t="s">
        <v>1235</v>
      </c>
      <c r="B1203" s="3">
        <v>45831</v>
      </c>
      <c r="C1203" s="2" t="s">
        <v>16</v>
      </c>
      <c r="D1203" s="2" t="s">
        <v>11</v>
      </c>
      <c r="E1203" s="2" t="s">
        <v>17</v>
      </c>
      <c r="F1203" s="2" t="s">
        <v>13</v>
      </c>
      <c r="G1203" s="2" t="s">
        <v>14</v>
      </c>
      <c r="H1203" s="4">
        <v>42401</v>
      </c>
      <c r="I1203" s="4">
        <v>39200</v>
      </c>
    </row>
    <row r="1204" spans="1:9" x14ac:dyDescent="0.3">
      <c r="A1204" s="2" t="s">
        <v>1236</v>
      </c>
      <c r="B1204" s="3">
        <v>45831</v>
      </c>
      <c r="C1204" s="2" t="s">
        <v>16</v>
      </c>
      <c r="D1204" s="2" t="s">
        <v>11</v>
      </c>
      <c r="E1204" s="2" t="s">
        <v>17</v>
      </c>
      <c r="F1204" s="2" t="s">
        <v>59</v>
      </c>
      <c r="G1204" s="2" t="s">
        <v>14</v>
      </c>
      <c r="H1204" s="4">
        <v>194475</v>
      </c>
      <c r="I1204" s="4">
        <v>214300</v>
      </c>
    </row>
    <row r="1205" spans="1:9" x14ac:dyDescent="0.3">
      <c r="A1205" s="2" t="s">
        <v>1237</v>
      </c>
      <c r="B1205" s="3">
        <v>45831</v>
      </c>
      <c r="C1205" s="2" t="s">
        <v>36</v>
      </c>
      <c r="D1205" s="2" t="s">
        <v>11</v>
      </c>
      <c r="E1205" s="2" t="s">
        <v>37</v>
      </c>
      <c r="F1205" s="2" t="s">
        <v>56</v>
      </c>
      <c r="G1205" s="2" t="s">
        <v>19</v>
      </c>
      <c r="H1205" s="4">
        <v>35687</v>
      </c>
      <c r="I1205" s="4">
        <v>33000</v>
      </c>
    </row>
    <row r="1206" spans="1:9" x14ac:dyDescent="0.3">
      <c r="A1206" s="2" t="s">
        <v>1238</v>
      </c>
      <c r="B1206" s="3">
        <v>45831</v>
      </c>
      <c r="C1206" s="2" t="s">
        <v>21</v>
      </c>
      <c r="D1206" s="2" t="s">
        <v>11</v>
      </c>
      <c r="E1206" s="2" t="s">
        <v>22</v>
      </c>
      <c r="F1206" s="2" t="s">
        <v>37</v>
      </c>
      <c r="G1206" s="2" t="s">
        <v>14</v>
      </c>
      <c r="H1206" s="4">
        <v>238167</v>
      </c>
      <c r="I1206" s="4">
        <v>249100</v>
      </c>
    </row>
    <row r="1207" spans="1:9" x14ac:dyDescent="0.3">
      <c r="A1207" s="2" t="s">
        <v>1239</v>
      </c>
      <c r="B1207" s="3">
        <v>45831</v>
      </c>
      <c r="C1207" s="2" t="s">
        <v>25</v>
      </c>
      <c r="D1207" s="2" t="s">
        <v>11</v>
      </c>
      <c r="E1207" s="2" t="s">
        <v>22</v>
      </c>
      <c r="F1207" s="2" t="s">
        <v>56</v>
      </c>
      <c r="G1207" s="2" t="s">
        <v>19</v>
      </c>
      <c r="H1207" s="4">
        <v>18974</v>
      </c>
      <c r="I1207" s="4">
        <v>19300</v>
      </c>
    </row>
    <row r="1208" spans="1:9" x14ac:dyDescent="0.3">
      <c r="A1208" s="2" t="s">
        <v>1240</v>
      </c>
      <c r="B1208" s="3">
        <v>45831</v>
      </c>
      <c r="C1208" s="2" t="s">
        <v>25</v>
      </c>
      <c r="D1208" s="2" t="s">
        <v>11</v>
      </c>
      <c r="E1208" s="2" t="s">
        <v>22</v>
      </c>
      <c r="F1208" s="2" t="s">
        <v>13</v>
      </c>
      <c r="G1208" s="2" t="s">
        <v>14</v>
      </c>
      <c r="H1208" s="4">
        <v>73335</v>
      </c>
      <c r="I1208" s="4">
        <v>67100</v>
      </c>
    </row>
    <row r="1209" spans="1:9" x14ac:dyDescent="0.3">
      <c r="A1209" s="2" t="s">
        <v>1241</v>
      </c>
      <c r="B1209" s="3">
        <v>45831</v>
      </c>
      <c r="C1209" s="2" t="s">
        <v>55</v>
      </c>
      <c r="D1209" s="2" t="s">
        <v>11</v>
      </c>
      <c r="E1209" s="2" t="s">
        <v>37</v>
      </c>
      <c r="F1209" s="2" t="s">
        <v>39</v>
      </c>
      <c r="G1209" s="2" t="s">
        <v>19</v>
      </c>
      <c r="H1209" s="4">
        <v>113206</v>
      </c>
      <c r="I1209" s="4">
        <v>84200</v>
      </c>
    </row>
    <row r="1210" spans="1:9" x14ac:dyDescent="0.3">
      <c r="A1210" s="2" t="s">
        <v>1242</v>
      </c>
      <c r="B1210" s="3">
        <v>45831</v>
      </c>
      <c r="C1210" s="2" t="s">
        <v>55</v>
      </c>
      <c r="D1210" s="2" t="s">
        <v>11</v>
      </c>
      <c r="E1210" s="2" t="s">
        <v>37</v>
      </c>
      <c r="F1210" s="2" t="s">
        <v>46</v>
      </c>
      <c r="G1210" s="2" t="s">
        <v>19</v>
      </c>
      <c r="H1210" s="4">
        <v>27947</v>
      </c>
      <c r="I1210" s="4">
        <v>27500</v>
      </c>
    </row>
    <row r="1211" spans="1:9" x14ac:dyDescent="0.3">
      <c r="A1211" s="2" t="s">
        <v>1243</v>
      </c>
      <c r="B1211" s="3">
        <v>45831</v>
      </c>
      <c r="C1211" s="2" t="s">
        <v>55</v>
      </c>
      <c r="D1211" s="2" t="s">
        <v>11</v>
      </c>
      <c r="E1211" s="2" t="s">
        <v>37</v>
      </c>
      <c r="F1211" s="2" t="s">
        <v>26</v>
      </c>
      <c r="G1211" s="2" t="s">
        <v>14</v>
      </c>
      <c r="H1211" s="4">
        <v>96595</v>
      </c>
      <c r="I1211" s="4">
        <v>112200</v>
      </c>
    </row>
    <row r="1212" spans="1:9" x14ac:dyDescent="0.3">
      <c r="A1212" s="2" t="s">
        <v>1244</v>
      </c>
      <c r="B1212" s="3">
        <v>45832</v>
      </c>
      <c r="C1212" s="2" t="s">
        <v>36</v>
      </c>
      <c r="D1212" s="2" t="s">
        <v>11</v>
      </c>
      <c r="E1212" s="2" t="s">
        <v>37</v>
      </c>
      <c r="F1212" s="2" t="s">
        <v>12</v>
      </c>
      <c r="G1212" s="2" t="s">
        <v>14</v>
      </c>
      <c r="H1212" s="4">
        <v>68593</v>
      </c>
      <c r="I1212" s="4">
        <v>64700</v>
      </c>
    </row>
    <row r="1213" spans="1:9" x14ac:dyDescent="0.3">
      <c r="A1213" s="2" t="s">
        <v>1245</v>
      </c>
      <c r="B1213" s="3">
        <v>45832</v>
      </c>
      <c r="C1213" s="2" t="s">
        <v>36</v>
      </c>
      <c r="D1213" s="2" t="s">
        <v>11</v>
      </c>
      <c r="E1213" s="2" t="s">
        <v>37</v>
      </c>
      <c r="F1213" s="2" t="s">
        <v>26</v>
      </c>
      <c r="G1213" s="2" t="s">
        <v>14</v>
      </c>
      <c r="H1213" s="4">
        <v>232949</v>
      </c>
      <c r="I1213" s="4">
        <v>247000</v>
      </c>
    </row>
    <row r="1214" spans="1:9" x14ac:dyDescent="0.3">
      <c r="A1214" s="2" t="s">
        <v>1246</v>
      </c>
      <c r="B1214" s="3">
        <v>45832</v>
      </c>
      <c r="C1214" s="2" t="s">
        <v>55</v>
      </c>
      <c r="D1214" s="2" t="s">
        <v>11</v>
      </c>
      <c r="E1214" s="2" t="s">
        <v>37</v>
      </c>
      <c r="F1214" s="2" t="s">
        <v>46</v>
      </c>
      <c r="G1214" s="2" t="s">
        <v>19</v>
      </c>
      <c r="H1214" s="4">
        <v>107558</v>
      </c>
      <c r="I1214" s="4">
        <v>123000</v>
      </c>
    </row>
    <row r="1215" spans="1:9" x14ac:dyDescent="0.3">
      <c r="A1215" s="2" t="s">
        <v>1247</v>
      </c>
      <c r="B1215" s="3">
        <v>45832</v>
      </c>
      <c r="C1215" s="2" t="s">
        <v>55</v>
      </c>
      <c r="D1215" s="2" t="s">
        <v>11</v>
      </c>
      <c r="E1215" s="2" t="s">
        <v>37</v>
      </c>
      <c r="F1215" s="2" t="s">
        <v>26</v>
      </c>
      <c r="G1215" s="2" t="s">
        <v>14</v>
      </c>
      <c r="H1215" s="4">
        <v>236422</v>
      </c>
      <c r="I1215" s="4">
        <v>239300</v>
      </c>
    </row>
    <row r="1216" spans="1:9" x14ac:dyDescent="0.3">
      <c r="A1216" s="2" t="s">
        <v>1248</v>
      </c>
      <c r="B1216" s="3">
        <v>45832</v>
      </c>
      <c r="C1216" s="2" t="s">
        <v>55</v>
      </c>
      <c r="D1216" s="2" t="s">
        <v>11</v>
      </c>
      <c r="E1216" s="2" t="s">
        <v>37</v>
      </c>
      <c r="F1216" s="2" t="s">
        <v>12</v>
      </c>
      <c r="G1216" s="2" t="s">
        <v>14</v>
      </c>
      <c r="H1216" s="4">
        <v>25541</v>
      </c>
      <c r="I1216" s="4">
        <v>27500</v>
      </c>
    </row>
    <row r="1217" spans="1:9" x14ac:dyDescent="0.3">
      <c r="A1217" s="2" t="s">
        <v>1249</v>
      </c>
      <c r="B1217" s="3">
        <v>45833</v>
      </c>
      <c r="C1217" s="2" t="s">
        <v>16</v>
      </c>
      <c r="D1217" s="2" t="s">
        <v>11</v>
      </c>
      <c r="E1217" s="2" t="s">
        <v>17</v>
      </c>
      <c r="F1217" s="2" t="s">
        <v>26</v>
      </c>
      <c r="G1217" s="2" t="s">
        <v>14</v>
      </c>
      <c r="H1217" s="4">
        <v>192836</v>
      </c>
      <c r="I1217" s="4">
        <v>223600</v>
      </c>
    </row>
    <row r="1218" spans="1:9" x14ac:dyDescent="0.3">
      <c r="A1218" s="2" t="s">
        <v>1250</v>
      </c>
      <c r="B1218" s="3">
        <v>45833</v>
      </c>
      <c r="C1218" s="2" t="s">
        <v>36</v>
      </c>
      <c r="D1218" s="2" t="s">
        <v>11</v>
      </c>
      <c r="E1218" s="2" t="s">
        <v>37</v>
      </c>
      <c r="F1218" s="2" t="s">
        <v>56</v>
      </c>
      <c r="G1218" s="2" t="s">
        <v>19</v>
      </c>
      <c r="H1218" s="4">
        <v>24476</v>
      </c>
      <c r="I1218" s="4">
        <v>22800</v>
      </c>
    </row>
    <row r="1219" spans="1:9" x14ac:dyDescent="0.3">
      <c r="A1219" s="2" t="s">
        <v>1251</v>
      </c>
      <c r="B1219" s="3">
        <v>45834</v>
      </c>
      <c r="C1219" s="2" t="s">
        <v>62</v>
      </c>
      <c r="D1219" s="2" t="s">
        <v>11</v>
      </c>
      <c r="E1219" s="2" t="s">
        <v>22</v>
      </c>
      <c r="F1219" s="2" t="s">
        <v>46</v>
      </c>
      <c r="G1219" s="2" t="s">
        <v>19</v>
      </c>
      <c r="H1219" s="4">
        <v>66045</v>
      </c>
      <c r="I1219" s="4">
        <v>63800</v>
      </c>
    </row>
    <row r="1220" spans="1:9" x14ac:dyDescent="0.3">
      <c r="A1220" s="2" t="s">
        <v>1252</v>
      </c>
      <c r="B1220" s="3">
        <v>45834</v>
      </c>
      <c r="C1220" s="2" t="s">
        <v>62</v>
      </c>
      <c r="D1220" s="2" t="s">
        <v>11</v>
      </c>
      <c r="E1220" s="2" t="s">
        <v>22</v>
      </c>
      <c r="F1220" s="2" t="s">
        <v>18</v>
      </c>
      <c r="G1220" s="2" t="s">
        <v>19</v>
      </c>
      <c r="H1220" s="4">
        <v>61165</v>
      </c>
      <c r="I1220" s="4">
        <v>60800</v>
      </c>
    </row>
    <row r="1221" spans="1:9" x14ac:dyDescent="0.3">
      <c r="A1221" s="2" t="s">
        <v>1253</v>
      </c>
      <c r="B1221" s="3">
        <v>45834</v>
      </c>
      <c r="C1221" s="2" t="s">
        <v>62</v>
      </c>
      <c r="D1221" s="2" t="s">
        <v>11</v>
      </c>
      <c r="E1221" s="2" t="s">
        <v>22</v>
      </c>
      <c r="F1221" s="2" t="s">
        <v>26</v>
      </c>
      <c r="G1221" s="2" t="s">
        <v>14</v>
      </c>
      <c r="H1221" s="4">
        <v>172500</v>
      </c>
      <c r="I1221" s="4">
        <v>168100</v>
      </c>
    </row>
    <row r="1222" spans="1:9" x14ac:dyDescent="0.3">
      <c r="A1222" s="2" t="s">
        <v>1254</v>
      </c>
      <c r="B1222" s="3">
        <v>45834</v>
      </c>
      <c r="C1222" s="2" t="s">
        <v>62</v>
      </c>
      <c r="D1222" s="2" t="s">
        <v>11</v>
      </c>
      <c r="E1222" s="2" t="s">
        <v>22</v>
      </c>
      <c r="F1222" s="2" t="s">
        <v>59</v>
      </c>
      <c r="G1222" s="2" t="s">
        <v>14</v>
      </c>
      <c r="H1222" s="4">
        <v>85076</v>
      </c>
      <c r="I1222" s="4">
        <v>74300</v>
      </c>
    </row>
    <row r="1223" spans="1:9" x14ac:dyDescent="0.3">
      <c r="A1223" s="2" t="s">
        <v>1255</v>
      </c>
      <c r="B1223" s="3">
        <v>45834</v>
      </c>
      <c r="C1223" s="2" t="s">
        <v>62</v>
      </c>
      <c r="D1223" s="2" t="s">
        <v>11</v>
      </c>
      <c r="E1223" s="2" t="s">
        <v>22</v>
      </c>
      <c r="F1223" s="2" t="s">
        <v>59</v>
      </c>
      <c r="G1223" s="2" t="s">
        <v>14</v>
      </c>
      <c r="H1223" s="4">
        <v>179746</v>
      </c>
      <c r="I1223" s="4">
        <v>184200</v>
      </c>
    </row>
    <row r="1224" spans="1:9" x14ac:dyDescent="0.3">
      <c r="A1224" s="2" t="s">
        <v>1256</v>
      </c>
      <c r="B1224" s="3">
        <v>45834</v>
      </c>
      <c r="C1224" s="2" t="s">
        <v>16</v>
      </c>
      <c r="D1224" s="2" t="s">
        <v>11</v>
      </c>
      <c r="E1224" s="2" t="s">
        <v>17</v>
      </c>
      <c r="F1224" s="2" t="s">
        <v>39</v>
      </c>
      <c r="G1224" s="2" t="s">
        <v>19</v>
      </c>
      <c r="H1224" s="4">
        <v>76602</v>
      </c>
      <c r="I1224" s="4">
        <v>75900</v>
      </c>
    </row>
    <row r="1225" spans="1:9" x14ac:dyDescent="0.3">
      <c r="A1225" s="2" t="s">
        <v>1257</v>
      </c>
      <c r="B1225" s="3">
        <v>45834</v>
      </c>
      <c r="C1225" s="2" t="s">
        <v>36</v>
      </c>
      <c r="D1225" s="2" t="s">
        <v>11</v>
      </c>
      <c r="E1225" s="2" t="s">
        <v>37</v>
      </c>
      <c r="F1225" s="2" t="s">
        <v>12</v>
      </c>
      <c r="G1225" s="2" t="s">
        <v>14</v>
      </c>
      <c r="H1225" s="4">
        <v>145176</v>
      </c>
      <c r="I1225" s="4">
        <v>119800</v>
      </c>
    </row>
    <row r="1226" spans="1:9" x14ac:dyDescent="0.3">
      <c r="A1226" s="2" t="s">
        <v>1258</v>
      </c>
      <c r="B1226" s="3">
        <v>45834</v>
      </c>
      <c r="C1226" s="2" t="s">
        <v>21</v>
      </c>
      <c r="D1226" s="2" t="s">
        <v>11</v>
      </c>
      <c r="E1226" s="2" t="s">
        <v>22</v>
      </c>
      <c r="F1226" s="2" t="s">
        <v>33</v>
      </c>
      <c r="G1226" s="2" t="s">
        <v>19</v>
      </c>
      <c r="H1226" s="4">
        <v>59295</v>
      </c>
      <c r="I1226" s="4">
        <v>61300</v>
      </c>
    </row>
    <row r="1227" spans="1:9" x14ac:dyDescent="0.3">
      <c r="A1227" s="2" t="s">
        <v>1259</v>
      </c>
      <c r="B1227" s="3">
        <v>45834</v>
      </c>
      <c r="C1227" s="2" t="s">
        <v>21</v>
      </c>
      <c r="D1227" s="2" t="s">
        <v>11</v>
      </c>
      <c r="E1227" s="2" t="s">
        <v>22</v>
      </c>
      <c r="F1227" s="2" t="s">
        <v>12</v>
      </c>
      <c r="G1227" s="2" t="s">
        <v>14</v>
      </c>
      <c r="H1227" s="4">
        <v>96228</v>
      </c>
      <c r="I1227" s="4">
        <v>100500</v>
      </c>
    </row>
    <row r="1228" spans="1:9" x14ac:dyDescent="0.3">
      <c r="A1228" s="2" t="s">
        <v>1260</v>
      </c>
      <c r="B1228" s="3">
        <v>45834</v>
      </c>
      <c r="C1228" s="2" t="s">
        <v>25</v>
      </c>
      <c r="D1228" s="2" t="s">
        <v>11</v>
      </c>
      <c r="E1228" s="2" t="s">
        <v>22</v>
      </c>
      <c r="F1228" s="2" t="s">
        <v>46</v>
      </c>
      <c r="G1228" s="2" t="s">
        <v>19</v>
      </c>
      <c r="H1228" s="4">
        <v>21612</v>
      </c>
      <c r="I1228" s="4">
        <v>21100</v>
      </c>
    </row>
    <row r="1229" spans="1:9" x14ac:dyDescent="0.3">
      <c r="A1229" s="2" t="s">
        <v>1261</v>
      </c>
      <c r="B1229" s="3">
        <v>45834</v>
      </c>
      <c r="C1229" s="2" t="s">
        <v>25</v>
      </c>
      <c r="D1229" s="2" t="s">
        <v>11</v>
      </c>
      <c r="E1229" s="2" t="s">
        <v>22</v>
      </c>
      <c r="F1229" s="2" t="s">
        <v>12</v>
      </c>
      <c r="G1229" s="2" t="s">
        <v>14</v>
      </c>
      <c r="H1229" s="4">
        <v>120059</v>
      </c>
      <c r="I1229" s="4">
        <v>116200</v>
      </c>
    </row>
    <row r="1230" spans="1:9" x14ac:dyDescent="0.3">
      <c r="A1230" s="2" t="s">
        <v>1262</v>
      </c>
      <c r="B1230" s="3">
        <v>45834</v>
      </c>
      <c r="C1230" s="2" t="s">
        <v>55</v>
      </c>
      <c r="D1230" s="2" t="s">
        <v>11</v>
      </c>
      <c r="E1230" s="2" t="s">
        <v>37</v>
      </c>
      <c r="F1230" s="2" t="s">
        <v>26</v>
      </c>
      <c r="G1230" s="2" t="s">
        <v>14</v>
      </c>
      <c r="H1230" s="4">
        <v>84561</v>
      </c>
      <c r="I1230" s="4">
        <v>81800</v>
      </c>
    </row>
    <row r="1231" spans="1:9" x14ac:dyDescent="0.3">
      <c r="A1231" s="2" t="s">
        <v>1263</v>
      </c>
      <c r="B1231" s="3">
        <v>45835</v>
      </c>
      <c r="C1231" s="2" t="s">
        <v>62</v>
      </c>
      <c r="D1231" s="2" t="s">
        <v>11</v>
      </c>
      <c r="E1231" s="2" t="s">
        <v>22</v>
      </c>
      <c r="F1231" s="2" t="s">
        <v>46</v>
      </c>
      <c r="G1231" s="2" t="s">
        <v>19</v>
      </c>
      <c r="H1231" s="4">
        <v>79903</v>
      </c>
      <c r="I1231" s="4">
        <v>68800</v>
      </c>
    </row>
    <row r="1232" spans="1:9" x14ac:dyDescent="0.3">
      <c r="A1232" s="2" t="s">
        <v>1264</v>
      </c>
      <c r="B1232" s="3">
        <v>45835</v>
      </c>
      <c r="C1232" s="2" t="s">
        <v>62</v>
      </c>
      <c r="D1232" s="2" t="s">
        <v>11</v>
      </c>
      <c r="E1232" s="2" t="s">
        <v>22</v>
      </c>
      <c r="F1232" s="2" t="s">
        <v>23</v>
      </c>
      <c r="G1232" s="2" t="s">
        <v>14</v>
      </c>
      <c r="H1232" s="4">
        <v>219742</v>
      </c>
      <c r="I1232" s="4">
        <v>227100</v>
      </c>
    </row>
    <row r="1233" spans="1:9" x14ac:dyDescent="0.3">
      <c r="A1233" s="2" t="s">
        <v>1265</v>
      </c>
      <c r="B1233" s="3">
        <v>45835</v>
      </c>
      <c r="C1233" s="2" t="s">
        <v>36</v>
      </c>
      <c r="D1233" s="2" t="s">
        <v>11</v>
      </c>
      <c r="E1233" s="2" t="s">
        <v>37</v>
      </c>
      <c r="F1233" s="2" t="s">
        <v>13</v>
      </c>
      <c r="G1233" s="2" t="s">
        <v>14</v>
      </c>
      <c r="H1233" s="4">
        <v>116429</v>
      </c>
      <c r="I1233" s="4">
        <v>125800</v>
      </c>
    </row>
    <row r="1234" spans="1:9" x14ac:dyDescent="0.3">
      <c r="A1234" s="2" t="s">
        <v>1266</v>
      </c>
      <c r="B1234" s="3">
        <v>45835</v>
      </c>
      <c r="C1234" s="2" t="s">
        <v>21</v>
      </c>
      <c r="D1234" s="2" t="s">
        <v>11</v>
      </c>
      <c r="E1234" s="2" t="s">
        <v>22</v>
      </c>
      <c r="F1234" s="2" t="s">
        <v>23</v>
      </c>
      <c r="G1234" s="2" t="s">
        <v>14</v>
      </c>
      <c r="H1234" s="4">
        <v>139258</v>
      </c>
      <c r="I1234" s="4">
        <v>152800</v>
      </c>
    </row>
    <row r="1235" spans="1:9" x14ac:dyDescent="0.3">
      <c r="A1235" s="2" t="s">
        <v>1267</v>
      </c>
      <c r="B1235" s="3">
        <v>45835</v>
      </c>
      <c r="C1235" s="2" t="s">
        <v>25</v>
      </c>
      <c r="D1235" s="2" t="s">
        <v>11</v>
      </c>
      <c r="E1235" s="2" t="s">
        <v>22</v>
      </c>
      <c r="F1235" s="2" t="s">
        <v>59</v>
      </c>
      <c r="G1235" s="2" t="s">
        <v>14</v>
      </c>
      <c r="H1235" s="4">
        <v>179834</v>
      </c>
      <c r="I1235" s="4">
        <v>161300</v>
      </c>
    </row>
    <row r="1236" spans="1:9" x14ac:dyDescent="0.3">
      <c r="A1236" s="2" t="s">
        <v>1268</v>
      </c>
      <c r="B1236" s="3">
        <v>45836</v>
      </c>
      <c r="C1236" s="2" t="s">
        <v>62</v>
      </c>
      <c r="D1236" s="2" t="s">
        <v>11</v>
      </c>
      <c r="E1236" s="2" t="s">
        <v>22</v>
      </c>
      <c r="F1236" s="2" t="s">
        <v>56</v>
      </c>
      <c r="G1236" s="2" t="s">
        <v>19</v>
      </c>
      <c r="H1236" s="4">
        <v>21308</v>
      </c>
      <c r="I1236" s="4">
        <v>22500</v>
      </c>
    </row>
    <row r="1237" spans="1:9" x14ac:dyDescent="0.3">
      <c r="A1237" s="2" t="s">
        <v>1269</v>
      </c>
      <c r="B1237" s="3">
        <v>45836</v>
      </c>
      <c r="C1237" s="2" t="s">
        <v>36</v>
      </c>
      <c r="D1237" s="2" t="s">
        <v>11</v>
      </c>
      <c r="E1237" s="2" t="s">
        <v>37</v>
      </c>
      <c r="F1237" s="2" t="s">
        <v>46</v>
      </c>
      <c r="G1237" s="2" t="s">
        <v>19</v>
      </c>
      <c r="H1237" s="4">
        <v>53529</v>
      </c>
      <c r="I1237" s="4">
        <v>47300</v>
      </c>
    </row>
    <row r="1238" spans="1:9" x14ac:dyDescent="0.3">
      <c r="A1238" s="2" t="s">
        <v>1270</v>
      </c>
      <c r="B1238" s="3">
        <v>45836</v>
      </c>
      <c r="C1238" s="2" t="s">
        <v>31</v>
      </c>
      <c r="D1238" s="2" t="s">
        <v>11</v>
      </c>
      <c r="E1238" s="2" t="s">
        <v>17</v>
      </c>
      <c r="F1238" s="2" t="s">
        <v>12</v>
      </c>
      <c r="G1238" s="2" t="s">
        <v>14</v>
      </c>
      <c r="H1238" s="4">
        <v>212507</v>
      </c>
      <c r="I1238" s="4">
        <v>208900</v>
      </c>
    </row>
    <row r="1239" spans="1:9" x14ac:dyDescent="0.3">
      <c r="A1239" s="2" t="s">
        <v>1271</v>
      </c>
      <c r="B1239" s="3">
        <v>45837</v>
      </c>
      <c r="C1239" s="2" t="s">
        <v>62</v>
      </c>
      <c r="D1239" s="2" t="s">
        <v>11</v>
      </c>
      <c r="E1239" s="2" t="s">
        <v>22</v>
      </c>
      <c r="F1239" s="2" t="s">
        <v>46</v>
      </c>
      <c r="G1239" s="2" t="s">
        <v>19</v>
      </c>
      <c r="H1239" s="4">
        <v>98851</v>
      </c>
      <c r="I1239" s="4">
        <v>90500</v>
      </c>
    </row>
    <row r="1240" spans="1:9" x14ac:dyDescent="0.3">
      <c r="A1240" s="2" t="s">
        <v>1272</v>
      </c>
      <c r="B1240" s="3">
        <v>45837</v>
      </c>
      <c r="C1240" s="2" t="s">
        <v>62</v>
      </c>
      <c r="D1240" s="2" t="s">
        <v>11</v>
      </c>
      <c r="E1240" s="2" t="s">
        <v>22</v>
      </c>
      <c r="F1240" s="2" t="s">
        <v>26</v>
      </c>
      <c r="G1240" s="2" t="s">
        <v>14</v>
      </c>
      <c r="H1240" s="4">
        <v>122553</v>
      </c>
      <c r="I1240" s="4">
        <v>144300</v>
      </c>
    </row>
    <row r="1241" spans="1:9" x14ac:dyDescent="0.3">
      <c r="A1241" s="2" t="s">
        <v>1273</v>
      </c>
      <c r="B1241" s="3">
        <v>45837</v>
      </c>
      <c r="C1241" s="2" t="s">
        <v>10</v>
      </c>
      <c r="D1241" s="2" t="s">
        <v>11</v>
      </c>
      <c r="E1241" s="2" t="s">
        <v>12</v>
      </c>
      <c r="F1241" s="2" t="s">
        <v>56</v>
      </c>
      <c r="G1241" s="2" t="s">
        <v>19</v>
      </c>
      <c r="H1241" s="4">
        <v>67033</v>
      </c>
      <c r="I1241" s="4">
        <v>65600</v>
      </c>
    </row>
    <row r="1242" spans="1:9" x14ac:dyDescent="0.3">
      <c r="A1242" s="2" t="s">
        <v>1274</v>
      </c>
      <c r="B1242" s="3">
        <v>45837</v>
      </c>
      <c r="C1242" s="2" t="s">
        <v>21</v>
      </c>
      <c r="D1242" s="2" t="s">
        <v>11</v>
      </c>
      <c r="E1242" s="2" t="s">
        <v>22</v>
      </c>
      <c r="F1242" s="2" t="s">
        <v>56</v>
      </c>
      <c r="G1242" s="2" t="s">
        <v>19</v>
      </c>
      <c r="H1242" s="4">
        <v>84136</v>
      </c>
      <c r="I1242" s="4">
        <v>84100</v>
      </c>
    </row>
    <row r="1243" spans="1:9" x14ac:dyDescent="0.3">
      <c r="A1243" s="2" t="s">
        <v>1275</v>
      </c>
      <c r="B1243" s="3">
        <v>45837</v>
      </c>
      <c r="C1243" s="2" t="s">
        <v>31</v>
      </c>
      <c r="D1243" s="2" t="s">
        <v>11</v>
      </c>
      <c r="E1243" s="2" t="s">
        <v>17</v>
      </c>
      <c r="F1243" s="2" t="s">
        <v>12</v>
      </c>
      <c r="G1243" s="2" t="s">
        <v>14</v>
      </c>
      <c r="H1243" s="4">
        <v>57703</v>
      </c>
      <c r="I1243" s="4">
        <v>60600</v>
      </c>
    </row>
    <row r="1244" spans="1:9" x14ac:dyDescent="0.3">
      <c r="A1244" s="2" t="s">
        <v>1276</v>
      </c>
      <c r="B1244" s="3">
        <v>45837</v>
      </c>
      <c r="C1244" s="2" t="s">
        <v>55</v>
      </c>
      <c r="D1244" s="2" t="s">
        <v>11</v>
      </c>
      <c r="E1244" s="2" t="s">
        <v>37</v>
      </c>
      <c r="F1244" s="2" t="s">
        <v>46</v>
      </c>
      <c r="G1244" s="2" t="s">
        <v>19</v>
      </c>
      <c r="H1244" s="4">
        <v>12929</v>
      </c>
      <c r="I1244" s="4">
        <v>12800</v>
      </c>
    </row>
    <row r="1245" spans="1:9" x14ac:dyDescent="0.3">
      <c r="A1245" s="2" t="s">
        <v>1277</v>
      </c>
      <c r="B1245" s="3">
        <v>45837</v>
      </c>
      <c r="C1245" s="2" t="s">
        <v>55</v>
      </c>
      <c r="D1245" s="2" t="s">
        <v>11</v>
      </c>
      <c r="E1245" s="2" t="s">
        <v>37</v>
      </c>
      <c r="F1245" s="2" t="s">
        <v>59</v>
      </c>
      <c r="G1245" s="2" t="s">
        <v>14</v>
      </c>
      <c r="H1245" s="4">
        <v>106637</v>
      </c>
      <c r="I1245" s="4">
        <v>112700</v>
      </c>
    </row>
    <row r="1246" spans="1:9" x14ac:dyDescent="0.3">
      <c r="A1246" s="2" t="s">
        <v>1278</v>
      </c>
      <c r="B1246" s="3">
        <v>45838</v>
      </c>
      <c r="C1246" s="2" t="s">
        <v>62</v>
      </c>
      <c r="D1246" s="2" t="s">
        <v>11</v>
      </c>
      <c r="E1246" s="2" t="s">
        <v>22</v>
      </c>
      <c r="F1246" s="2" t="s">
        <v>13</v>
      </c>
      <c r="G1246" s="2" t="s">
        <v>14</v>
      </c>
      <c r="H1246" s="4">
        <v>143228</v>
      </c>
      <c r="I1246" s="4">
        <v>156200</v>
      </c>
    </row>
    <row r="1247" spans="1:9" x14ac:dyDescent="0.3">
      <c r="A1247" s="2" t="s">
        <v>1279</v>
      </c>
      <c r="B1247" s="3">
        <v>45838</v>
      </c>
      <c r="C1247" s="2" t="s">
        <v>10</v>
      </c>
      <c r="D1247" s="2" t="s">
        <v>11</v>
      </c>
      <c r="E1247" s="2" t="s">
        <v>12</v>
      </c>
      <c r="F1247" s="2" t="s">
        <v>26</v>
      </c>
      <c r="G1247" s="2" t="s">
        <v>14</v>
      </c>
      <c r="H1247" s="4">
        <v>157447</v>
      </c>
      <c r="I1247" s="4">
        <v>124400</v>
      </c>
    </row>
    <row r="1248" spans="1:9" x14ac:dyDescent="0.3">
      <c r="A1248" s="2" t="s">
        <v>1280</v>
      </c>
      <c r="B1248" s="3">
        <v>45838</v>
      </c>
      <c r="C1248" s="2" t="s">
        <v>16</v>
      </c>
      <c r="D1248" s="2" t="s">
        <v>11</v>
      </c>
      <c r="E1248" s="2" t="s">
        <v>17</v>
      </c>
      <c r="F1248" s="2" t="s">
        <v>39</v>
      </c>
      <c r="G1248" s="2" t="s">
        <v>19</v>
      </c>
      <c r="H1248" s="4">
        <v>39616</v>
      </c>
      <c r="I1248" s="4">
        <v>40200</v>
      </c>
    </row>
    <row r="1249" spans="1:9" x14ac:dyDescent="0.3">
      <c r="A1249" s="2" t="s">
        <v>1281</v>
      </c>
      <c r="B1249" s="3">
        <v>45838</v>
      </c>
      <c r="C1249" s="2" t="s">
        <v>31</v>
      </c>
      <c r="D1249" s="2" t="s">
        <v>11</v>
      </c>
      <c r="E1249" s="2" t="s">
        <v>17</v>
      </c>
      <c r="F1249" s="2" t="s">
        <v>37</v>
      </c>
      <c r="G1249" s="2" t="s">
        <v>14</v>
      </c>
      <c r="H1249" s="4">
        <v>207010</v>
      </c>
      <c r="I1249" s="4">
        <v>174800</v>
      </c>
    </row>
    <row r="1250" spans="1:9" x14ac:dyDescent="0.3">
      <c r="A1250" s="2" t="s">
        <v>1282</v>
      </c>
      <c r="B1250" s="3">
        <v>45839</v>
      </c>
      <c r="C1250" s="2" t="s">
        <v>62</v>
      </c>
      <c r="D1250" s="2" t="s">
        <v>11</v>
      </c>
      <c r="E1250" s="2" t="s">
        <v>22</v>
      </c>
      <c r="F1250" s="2" t="s">
        <v>33</v>
      </c>
      <c r="G1250" s="2" t="s">
        <v>19</v>
      </c>
      <c r="H1250" s="4">
        <v>43085</v>
      </c>
      <c r="I1250" s="4">
        <v>47900</v>
      </c>
    </row>
    <row r="1251" spans="1:9" x14ac:dyDescent="0.3">
      <c r="A1251" s="2" t="s">
        <v>1283</v>
      </c>
      <c r="B1251" s="3">
        <v>45839</v>
      </c>
      <c r="C1251" s="2" t="s">
        <v>62</v>
      </c>
      <c r="D1251" s="2" t="s">
        <v>11</v>
      </c>
      <c r="E1251" s="2" t="s">
        <v>22</v>
      </c>
      <c r="F1251" s="2" t="s">
        <v>46</v>
      </c>
      <c r="G1251" s="2" t="s">
        <v>19</v>
      </c>
      <c r="H1251" s="4">
        <v>41993</v>
      </c>
      <c r="I1251" s="4">
        <v>42900</v>
      </c>
    </row>
    <row r="1252" spans="1:9" x14ac:dyDescent="0.3">
      <c r="A1252" s="2" t="s">
        <v>1284</v>
      </c>
      <c r="B1252" s="3">
        <v>45839</v>
      </c>
      <c r="C1252" s="2" t="s">
        <v>62</v>
      </c>
      <c r="D1252" s="2" t="s">
        <v>11</v>
      </c>
      <c r="E1252" s="2" t="s">
        <v>22</v>
      </c>
      <c r="F1252" s="2" t="s">
        <v>59</v>
      </c>
      <c r="G1252" s="2" t="s">
        <v>14</v>
      </c>
      <c r="H1252" s="4">
        <v>182942</v>
      </c>
      <c r="I1252" s="4">
        <v>178600</v>
      </c>
    </row>
    <row r="1253" spans="1:9" x14ac:dyDescent="0.3">
      <c r="A1253" s="2" t="s">
        <v>1285</v>
      </c>
      <c r="B1253" s="3">
        <v>45839</v>
      </c>
      <c r="C1253" s="2" t="s">
        <v>10</v>
      </c>
      <c r="D1253" s="2" t="s">
        <v>11</v>
      </c>
      <c r="E1253" s="2" t="s">
        <v>12</v>
      </c>
      <c r="F1253" s="2" t="s">
        <v>37</v>
      </c>
      <c r="G1253" s="2" t="s">
        <v>14</v>
      </c>
      <c r="H1253" s="4">
        <v>153096</v>
      </c>
      <c r="I1253" s="4">
        <v>145500</v>
      </c>
    </row>
    <row r="1254" spans="1:9" x14ac:dyDescent="0.3">
      <c r="A1254" s="2" t="s">
        <v>1286</v>
      </c>
      <c r="B1254" s="3">
        <v>45839</v>
      </c>
      <c r="C1254" s="2" t="s">
        <v>16</v>
      </c>
      <c r="D1254" s="2" t="s">
        <v>11</v>
      </c>
      <c r="E1254" s="2" t="s">
        <v>17</v>
      </c>
      <c r="F1254" s="2" t="s">
        <v>33</v>
      </c>
      <c r="G1254" s="2" t="s">
        <v>19</v>
      </c>
      <c r="H1254" s="4">
        <v>77738</v>
      </c>
      <c r="I1254" s="4">
        <v>76500</v>
      </c>
    </row>
    <row r="1255" spans="1:9" x14ac:dyDescent="0.3">
      <c r="A1255" s="2" t="s">
        <v>1287</v>
      </c>
      <c r="B1255" s="3">
        <v>45839</v>
      </c>
      <c r="C1255" s="2" t="s">
        <v>21</v>
      </c>
      <c r="D1255" s="2" t="s">
        <v>11</v>
      </c>
      <c r="E1255" s="2" t="s">
        <v>22</v>
      </c>
      <c r="F1255" s="2" t="s">
        <v>59</v>
      </c>
      <c r="G1255" s="2" t="s">
        <v>14</v>
      </c>
      <c r="H1255" s="4">
        <v>174493</v>
      </c>
      <c r="I1255" s="4">
        <v>186900</v>
      </c>
    </row>
    <row r="1256" spans="1:9" x14ac:dyDescent="0.3">
      <c r="A1256" s="2" t="s">
        <v>1288</v>
      </c>
      <c r="B1256" s="3">
        <v>45839</v>
      </c>
      <c r="C1256" s="2" t="s">
        <v>25</v>
      </c>
      <c r="D1256" s="2" t="s">
        <v>11</v>
      </c>
      <c r="E1256" s="2" t="s">
        <v>22</v>
      </c>
      <c r="F1256" s="2" t="s">
        <v>46</v>
      </c>
      <c r="G1256" s="2" t="s">
        <v>19</v>
      </c>
      <c r="H1256" s="4">
        <v>51616</v>
      </c>
      <c r="I1256" s="4">
        <v>52600</v>
      </c>
    </row>
    <row r="1257" spans="1:9" x14ac:dyDescent="0.3">
      <c r="A1257" s="2" t="s">
        <v>1289</v>
      </c>
      <c r="B1257" s="3">
        <v>45839</v>
      </c>
      <c r="C1257" s="2" t="s">
        <v>25</v>
      </c>
      <c r="D1257" s="2" t="s">
        <v>11</v>
      </c>
      <c r="E1257" s="2" t="s">
        <v>22</v>
      </c>
      <c r="F1257" s="2" t="s">
        <v>23</v>
      </c>
      <c r="G1257" s="2" t="s">
        <v>14</v>
      </c>
      <c r="H1257" s="4">
        <v>208485</v>
      </c>
      <c r="I1257" s="4">
        <v>220400</v>
      </c>
    </row>
    <row r="1258" spans="1:9" x14ac:dyDescent="0.3">
      <c r="A1258" s="2" t="s">
        <v>1290</v>
      </c>
      <c r="B1258" s="3">
        <v>45839</v>
      </c>
      <c r="C1258" s="2" t="s">
        <v>25</v>
      </c>
      <c r="D1258" s="2" t="s">
        <v>11</v>
      </c>
      <c r="E1258" s="2" t="s">
        <v>22</v>
      </c>
      <c r="F1258" s="2" t="s">
        <v>59</v>
      </c>
      <c r="G1258" s="2" t="s">
        <v>14</v>
      </c>
      <c r="H1258" s="4">
        <v>142044</v>
      </c>
      <c r="I1258" s="4">
        <v>131900</v>
      </c>
    </row>
    <row r="1259" spans="1:9" x14ac:dyDescent="0.3">
      <c r="A1259" s="2" t="s">
        <v>1291</v>
      </c>
      <c r="B1259" s="3">
        <v>45839</v>
      </c>
      <c r="C1259" s="2" t="s">
        <v>25</v>
      </c>
      <c r="D1259" s="2" t="s">
        <v>11</v>
      </c>
      <c r="E1259" s="2" t="s">
        <v>22</v>
      </c>
      <c r="F1259" s="2" t="s">
        <v>59</v>
      </c>
      <c r="G1259" s="2" t="s">
        <v>14</v>
      </c>
      <c r="H1259" s="4">
        <v>184473</v>
      </c>
      <c r="I1259" s="4">
        <v>166800</v>
      </c>
    </row>
    <row r="1260" spans="1:9" x14ac:dyDescent="0.3">
      <c r="A1260" s="2" t="s">
        <v>1292</v>
      </c>
      <c r="B1260" s="3">
        <v>45839</v>
      </c>
      <c r="C1260" s="2" t="s">
        <v>55</v>
      </c>
      <c r="D1260" s="2" t="s">
        <v>11</v>
      </c>
      <c r="E1260" s="2" t="s">
        <v>37</v>
      </c>
      <c r="F1260" s="2" t="s">
        <v>39</v>
      </c>
      <c r="G1260" s="2" t="s">
        <v>19</v>
      </c>
      <c r="H1260" s="4">
        <v>85189</v>
      </c>
      <c r="I1260" s="4">
        <v>100000</v>
      </c>
    </row>
    <row r="1261" spans="1:9" x14ac:dyDescent="0.3">
      <c r="A1261" s="2" t="s">
        <v>1293</v>
      </c>
      <c r="B1261" s="3">
        <v>45839</v>
      </c>
      <c r="C1261" s="2" t="s">
        <v>55</v>
      </c>
      <c r="D1261" s="2" t="s">
        <v>11</v>
      </c>
      <c r="E1261" s="2" t="s">
        <v>37</v>
      </c>
      <c r="F1261" s="2" t="s">
        <v>59</v>
      </c>
      <c r="G1261" s="2" t="s">
        <v>14</v>
      </c>
      <c r="H1261" s="4">
        <v>113417</v>
      </c>
      <c r="I1261" s="4">
        <v>103300</v>
      </c>
    </row>
    <row r="1262" spans="1:9" x14ac:dyDescent="0.3">
      <c r="A1262" s="2" t="s">
        <v>1294</v>
      </c>
      <c r="B1262" s="3">
        <v>45840</v>
      </c>
      <c r="C1262" s="2" t="s">
        <v>10</v>
      </c>
      <c r="D1262" s="2" t="s">
        <v>11</v>
      </c>
      <c r="E1262" s="2" t="s">
        <v>12</v>
      </c>
      <c r="F1262" s="2" t="s">
        <v>56</v>
      </c>
      <c r="G1262" s="2" t="s">
        <v>19</v>
      </c>
      <c r="H1262" s="4">
        <v>77858</v>
      </c>
      <c r="I1262" s="4">
        <v>90000</v>
      </c>
    </row>
    <row r="1263" spans="1:9" x14ac:dyDescent="0.3">
      <c r="A1263" s="2" t="s">
        <v>1295</v>
      </c>
      <c r="B1263" s="3">
        <v>45840</v>
      </c>
      <c r="C1263" s="2" t="s">
        <v>16</v>
      </c>
      <c r="D1263" s="2" t="s">
        <v>11</v>
      </c>
      <c r="E1263" s="2" t="s">
        <v>17</v>
      </c>
      <c r="F1263" s="2" t="s">
        <v>18</v>
      </c>
      <c r="G1263" s="2" t="s">
        <v>19</v>
      </c>
      <c r="H1263" s="4">
        <v>44287</v>
      </c>
      <c r="I1263" s="4">
        <v>46900</v>
      </c>
    </row>
    <row r="1264" spans="1:9" x14ac:dyDescent="0.3">
      <c r="A1264" s="2" t="s">
        <v>1296</v>
      </c>
      <c r="B1264" s="3">
        <v>45840</v>
      </c>
      <c r="C1264" s="2" t="s">
        <v>16</v>
      </c>
      <c r="D1264" s="2" t="s">
        <v>11</v>
      </c>
      <c r="E1264" s="2" t="s">
        <v>17</v>
      </c>
      <c r="F1264" s="2" t="s">
        <v>13</v>
      </c>
      <c r="G1264" s="2" t="s">
        <v>14</v>
      </c>
      <c r="H1264" s="4">
        <v>28462</v>
      </c>
      <c r="I1264" s="4">
        <v>24300</v>
      </c>
    </row>
    <row r="1265" spans="1:9" x14ac:dyDescent="0.3">
      <c r="A1265" s="2" t="s">
        <v>1297</v>
      </c>
      <c r="B1265" s="3">
        <v>45840</v>
      </c>
      <c r="C1265" s="2" t="s">
        <v>31</v>
      </c>
      <c r="D1265" s="2" t="s">
        <v>11</v>
      </c>
      <c r="E1265" s="2" t="s">
        <v>17</v>
      </c>
      <c r="F1265" s="2" t="s">
        <v>33</v>
      </c>
      <c r="G1265" s="2" t="s">
        <v>19</v>
      </c>
      <c r="H1265" s="4">
        <v>84498</v>
      </c>
      <c r="I1265" s="4">
        <v>88700</v>
      </c>
    </row>
    <row r="1266" spans="1:9" x14ac:dyDescent="0.3">
      <c r="A1266" s="2" t="s">
        <v>1298</v>
      </c>
      <c r="B1266" s="3">
        <v>45840</v>
      </c>
      <c r="C1266" s="2" t="s">
        <v>31</v>
      </c>
      <c r="D1266" s="2" t="s">
        <v>11</v>
      </c>
      <c r="E1266" s="2" t="s">
        <v>17</v>
      </c>
      <c r="F1266" s="2" t="s">
        <v>42</v>
      </c>
      <c r="G1266" s="2" t="s">
        <v>19</v>
      </c>
      <c r="H1266" s="4">
        <v>116364</v>
      </c>
      <c r="I1266" s="4">
        <v>123500</v>
      </c>
    </row>
    <row r="1267" spans="1:9" x14ac:dyDescent="0.3">
      <c r="A1267" s="2" t="s">
        <v>1299</v>
      </c>
      <c r="B1267" s="3">
        <v>45840</v>
      </c>
      <c r="C1267" s="2" t="s">
        <v>55</v>
      </c>
      <c r="D1267" s="2" t="s">
        <v>11</v>
      </c>
      <c r="E1267" s="2" t="s">
        <v>37</v>
      </c>
      <c r="F1267" s="2" t="s">
        <v>23</v>
      </c>
      <c r="G1267" s="2" t="s">
        <v>14</v>
      </c>
      <c r="H1267" s="4">
        <v>143935</v>
      </c>
      <c r="I1267" s="4">
        <v>160400</v>
      </c>
    </row>
    <row r="1268" spans="1:9" x14ac:dyDescent="0.3">
      <c r="A1268" s="2" t="s">
        <v>1300</v>
      </c>
      <c r="B1268" s="3">
        <v>45841</v>
      </c>
      <c r="C1268" s="2" t="s">
        <v>16</v>
      </c>
      <c r="D1268" s="2" t="s">
        <v>11</v>
      </c>
      <c r="E1268" s="2" t="s">
        <v>17</v>
      </c>
      <c r="F1268" s="2" t="s">
        <v>37</v>
      </c>
      <c r="G1268" s="2" t="s">
        <v>14</v>
      </c>
      <c r="H1268" s="4">
        <v>76554</v>
      </c>
      <c r="I1268" s="4">
        <v>77300</v>
      </c>
    </row>
    <row r="1269" spans="1:9" x14ac:dyDescent="0.3">
      <c r="A1269" s="2" t="s">
        <v>1301</v>
      </c>
      <c r="B1269" s="3">
        <v>45841</v>
      </c>
      <c r="C1269" s="2" t="s">
        <v>21</v>
      </c>
      <c r="D1269" s="2" t="s">
        <v>11</v>
      </c>
      <c r="E1269" s="2" t="s">
        <v>22</v>
      </c>
      <c r="F1269" s="2" t="s">
        <v>26</v>
      </c>
      <c r="G1269" s="2" t="s">
        <v>14</v>
      </c>
      <c r="H1269" s="4">
        <v>212196</v>
      </c>
      <c r="I1269" s="4">
        <v>231500</v>
      </c>
    </row>
    <row r="1270" spans="1:9" x14ac:dyDescent="0.3">
      <c r="A1270" s="2" t="s">
        <v>1302</v>
      </c>
      <c r="B1270" s="3">
        <v>45841</v>
      </c>
      <c r="C1270" s="2" t="s">
        <v>21</v>
      </c>
      <c r="D1270" s="2" t="s">
        <v>11</v>
      </c>
      <c r="E1270" s="2" t="s">
        <v>22</v>
      </c>
      <c r="F1270" s="2" t="s">
        <v>13</v>
      </c>
      <c r="G1270" s="2" t="s">
        <v>14</v>
      </c>
      <c r="H1270" s="4">
        <v>79862</v>
      </c>
      <c r="I1270" s="4">
        <v>76600</v>
      </c>
    </row>
    <row r="1271" spans="1:9" x14ac:dyDescent="0.3">
      <c r="A1271" s="2" t="s">
        <v>1303</v>
      </c>
      <c r="B1271" s="3">
        <v>45841</v>
      </c>
      <c r="C1271" s="2" t="s">
        <v>21</v>
      </c>
      <c r="D1271" s="2" t="s">
        <v>11</v>
      </c>
      <c r="E1271" s="2" t="s">
        <v>22</v>
      </c>
      <c r="F1271" s="2" t="s">
        <v>23</v>
      </c>
      <c r="G1271" s="2" t="s">
        <v>14</v>
      </c>
      <c r="H1271" s="4">
        <v>58947</v>
      </c>
      <c r="I1271" s="4">
        <v>59600</v>
      </c>
    </row>
    <row r="1272" spans="1:9" x14ac:dyDescent="0.3">
      <c r="A1272" s="2" t="s">
        <v>1304</v>
      </c>
      <c r="B1272" s="3">
        <v>45841</v>
      </c>
      <c r="C1272" s="2" t="s">
        <v>31</v>
      </c>
      <c r="D1272" s="2" t="s">
        <v>11</v>
      </c>
      <c r="E1272" s="2" t="s">
        <v>17</v>
      </c>
      <c r="F1272" s="2" t="s">
        <v>46</v>
      </c>
      <c r="G1272" s="2" t="s">
        <v>19</v>
      </c>
      <c r="H1272" s="4">
        <v>70311</v>
      </c>
      <c r="I1272" s="4">
        <v>71600</v>
      </c>
    </row>
    <row r="1273" spans="1:9" x14ac:dyDescent="0.3">
      <c r="A1273" s="2" t="s">
        <v>1305</v>
      </c>
      <c r="B1273" s="3">
        <v>45842</v>
      </c>
      <c r="C1273" s="2" t="s">
        <v>62</v>
      </c>
      <c r="D1273" s="2" t="s">
        <v>11</v>
      </c>
      <c r="E1273" s="2" t="s">
        <v>22</v>
      </c>
      <c r="F1273" s="2" t="s">
        <v>37</v>
      </c>
      <c r="G1273" s="2" t="s">
        <v>14</v>
      </c>
      <c r="H1273" s="4">
        <v>44314</v>
      </c>
      <c r="I1273" s="4">
        <v>48400</v>
      </c>
    </row>
    <row r="1274" spans="1:9" x14ac:dyDescent="0.3">
      <c r="A1274" s="2" t="s">
        <v>1306</v>
      </c>
      <c r="B1274" s="3">
        <v>45842</v>
      </c>
      <c r="C1274" s="2" t="s">
        <v>10</v>
      </c>
      <c r="D1274" s="2" t="s">
        <v>11</v>
      </c>
      <c r="E1274" s="2" t="s">
        <v>12</v>
      </c>
      <c r="F1274" s="2" t="s">
        <v>42</v>
      </c>
      <c r="G1274" s="2" t="s">
        <v>19</v>
      </c>
      <c r="H1274" s="4">
        <v>19151</v>
      </c>
      <c r="I1274" s="4">
        <v>20100</v>
      </c>
    </row>
    <row r="1275" spans="1:9" x14ac:dyDescent="0.3">
      <c r="A1275" s="2" t="s">
        <v>1307</v>
      </c>
      <c r="B1275" s="3">
        <v>45842</v>
      </c>
      <c r="C1275" s="2" t="s">
        <v>10</v>
      </c>
      <c r="D1275" s="2" t="s">
        <v>11</v>
      </c>
      <c r="E1275" s="2" t="s">
        <v>12</v>
      </c>
      <c r="F1275" s="2" t="s">
        <v>33</v>
      </c>
      <c r="G1275" s="2" t="s">
        <v>19</v>
      </c>
      <c r="H1275" s="4">
        <v>31555</v>
      </c>
      <c r="I1275" s="4">
        <v>31500</v>
      </c>
    </row>
    <row r="1276" spans="1:9" x14ac:dyDescent="0.3">
      <c r="A1276" s="2" t="s">
        <v>1308</v>
      </c>
      <c r="B1276" s="3">
        <v>45842</v>
      </c>
      <c r="C1276" s="2" t="s">
        <v>16</v>
      </c>
      <c r="D1276" s="2" t="s">
        <v>11</v>
      </c>
      <c r="E1276" s="2" t="s">
        <v>17</v>
      </c>
      <c r="F1276" s="2" t="s">
        <v>12</v>
      </c>
      <c r="G1276" s="2" t="s">
        <v>14</v>
      </c>
      <c r="H1276" s="4">
        <v>213362</v>
      </c>
      <c r="I1276" s="4">
        <v>192700</v>
      </c>
    </row>
    <row r="1277" spans="1:9" x14ac:dyDescent="0.3">
      <c r="A1277" s="2" t="s">
        <v>1309</v>
      </c>
      <c r="B1277" s="3">
        <v>45842</v>
      </c>
      <c r="C1277" s="2" t="s">
        <v>36</v>
      </c>
      <c r="D1277" s="2" t="s">
        <v>11</v>
      </c>
      <c r="E1277" s="2" t="s">
        <v>37</v>
      </c>
      <c r="F1277" s="2" t="s">
        <v>37</v>
      </c>
      <c r="G1277" s="2" t="s">
        <v>14</v>
      </c>
      <c r="H1277" s="4">
        <v>200484</v>
      </c>
      <c r="I1277" s="4">
        <v>202500</v>
      </c>
    </row>
    <row r="1278" spans="1:9" x14ac:dyDescent="0.3">
      <c r="A1278" s="2" t="s">
        <v>1310</v>
      </c>
      <c r="B1278" s="3">
        <v>45842</v>
      </c>
      <c r="C1278" s="2" t="s">
        <v>21</v>
      </c>
      <c r="D1278" s="2" t="s">
        <v>11</v>
      </c>
      <c r="E1278" s="2" t="s">
        <v>22</v>
      </c>
      <c r="F1278" s="2" t="s">
        <v>39</v>
      </c>
      <c r="G1278" s="2" t="s">
        <v>19</v>
      </c>
      <c r="H1278" s="4">
        <v>98547</v>
      </c>
      <c r="I1278" s="4">
        <v>107700</v>
      </c>
    </row>
    <row r="1279" spans="1:9" x14ac:dyDescent="0.3">
      <c r="A1279" s="2" t="s">
        <v>1311</v>
      </c>
      <c r="B1279" s="3">
        <v>45842</v>
      </c>
      <c r="C1279" s="2" t="s">
        <v>21</v>
      </c>
      <c r="D1279" s="2" t="s">
        <v>11</v>
      </c>
      <c r="E1279" s="2" t="s">
        <v>22</v>
      </c>
      <c r="F1279" s="2" t="s">
        <v>13</v>
      </c>
      <c r="G1279" s="2" t="s">
        <v>14</v>
      </c>
      <c r="H1279" s="4">
        <v>223035</v>
      </c>
      <c r="I1279" s="4">
        <v>206900</v>
      </c>
    </row>
    <row r="1280" spans="1:9" x14ac:dyDescent="0.3">
      <c r="A1280" s="2" t="s">
        <v>1312</v>
      </c>
      <c r="B1280" s="3">
        <v>45842</v>
      </c>
      <c r="C1280" s="2" t="s">
        <v>31</v>
      </c>
      <c r="D1280" s="2" t="s">
        <v>11</v>
      </c>
      <c r="E1280" s="2" t="s">
        <v>17</v>
      </c>
      <c r="F1280" s="2" t="s">
        <v>59</v>
      </c>
      <c r="G1280" s="2" t="s">
        <v>14</v>
      </c>
      <c r="H1280" s="4">
        <v>152669</v>
      </c>
      <c r="I1280" s="4">
        <v>148900</v>
      </c>
    </row>
    <row r="1281" spans="1:9" x14ac:dyDescent="0.3">
      <c r="A1281" s="2" t="s">
        <v>1313</v>
      </c>
      <c r="B1281" s="3">
        <v>45842</v>
      </c>
      <c r="C1281" s="2" t="s">
        <v>31</v>
      </c>
      <c r="D1281" s="2" t="s">
        <v>11</v>
      </c>
      <c r="E1281" s="2" t="s">
        <v>17</v>
      </c>
      <c r="F1281" s="2" t="s">
        <v>26</v>
      </c>
      <c r="G1281" s="2" t="s">
        <v>14</v>
      </c>
      <c r="H1281" s="4">
        <v>55642</v>
      </c>
      <c r="I1281" s="4">
        <v>58500</v>
      </c>
    </row>
    <row r="1282" spans="1:9" x14ac:dyDescent="0.3">
      <c r="A1282" s="2" t="s">
        <v>1314</v>
      </c>
      <c r="B1282" s="3">
        <v>45843</v>
      </c>
      <c r="C1282" s="2" t="s">
        <v>16</v>
      </c>
      <c r="D1282" s="2" t="s">
        <v>11</v>
      </c>
      <c r="E1282" s="2" t="s">
        <v>17</v>
      </c>
      <c r="F1282" s="2" t="s">
        <v>26</v>
      </c>
      <c r="G1282" s="2" t="s">
        <v>14</v>
      </c>
      <c r="H1282" s="4">
        <v>237973</v>
      </c>
      <c r="I1282" s="4">
        <v>254400</v>
      </c>
    </row>
    <row r="1283" spans="1:9" x14ac:dyDescent="0.3">
      <c r="A1283" s="2" t="s">
        <v>1315</v>
      </c>
      <c r="B1283" s="3">
        <v>45843</v>
      </c>
      <c r="C1283" s="2" t="s">
        <v>36</v>
      </c>
      <c r="D1283" s="2" t="s">
        <v>11</v>
      </c>
      <c r="E1283" s="2" t="s">
        <v>37</v>
      </c>
      <c r="F1283" s="2" t="s">
        <v>26</v>
      </c>
      <c r="G1283" s="2" t="s">
        <v>14</v>
      </c>
      <c r="H1283" s="4">
        <v>68829</v>
      </c>
      <c r="I1283" s="4">
        <v>56000</v>
      </c>
    </row>
    <row r="1284" spans="1:9" x14ac:dyDescent="0.3">
      <c r="A1284" s="2" t="s">
        <v>1316</v>
      </c>
      <c r="B1284" s="3">
        <v>45843</v>
      </c>
      <c r="C1284" s="2" t="s">
        <v>36</v>
      </c>
      <c r="D1284" s="2" t="s">
        <v>11</v>
      </c>
      <c r="E1284" s="2" t="s">
        <v>37</v>
      </c>
      <c r="F1284" s="2" t="s">
        <v>59</v>
      </c>
      <c r="G1284" s="2" t="s">
        <v>14</v>
      </c>
      <c r="H1284" s="4">
        <v>113181</v>
      </c>
      <c r="I1284" s="4">
        <v>116900</v>
      </c>
    </row>
    <row r="1285" spans="1:9" x14ac:dyDescent="0.3">
      <c r="A1285" s="2" t="s">
        <v>1317</v>
      </c>
      <c r="B1285" s="3">
        <v>45843</v>
      </c>
      <c r="C1285" s="2" t="s">
        <v>25</v>
      </c>
      <c r="D1285" s="2" t="s">
        <v>11</v>
      </c>
      <c r="E1285" s="2" t="s">
        <v>22</v>
      </c>
      <c r="F1285" s="2" t="s">
        <v>13</v>
      </c>
      <c r="G1285" s="2" t="s">
        <v>14</v>
      </c>
      <c r="H1285" s="4">
        <v>168027</v>
      </c>
      <c r="I1285" s="4">
        <v>164100</v>
      </c>
    </row>
    <row r="1286" spans="1:9" x14ac:dyDescent="0.3">
      <c r="A1286" s="2" t="s">
        <v>1318</v>
      </c>
      <c r="B1286" s="3">
        <v>45843</v>
      </c>
      <c r="C1286" s="2" t="s">
        <v>55</v>
      </c>
      <c r="D1286" s="2" t="s">
        <v>11</v>
      </c>
      <c r="E1286" s="2" t="s">
        <v>37</v>
      </c>
      <c r="F1286" s="2" t="s">
        <v>13</v>
      </c>
      <c r="G1286" s="2" t="s">
        <v>14</v>
      </c>
      <c r="H1286" s="4">
        <v>144204</v>
      </c>
      <c r="I1286" s="4">
        <v>142700</v>
      </c>
    </row>
    <row r="1287" spans="1:9" x14ac:dyDescent="0.3">
      <c r="A1287" s="2" t="s">
        <v>1319</v>
      </c>
      <c r="B1287" s="3">
        <v>45844</v>
      </c>
      <c r="C1287" s="2" t="s">
        <v>62</v>
      </c>
      <c r="D1287" s="2" t="s">
        <v>11</v>
      </c>
      <c r="E1287" s="2" t="s">
        <v>22</v>
      </c>
      <c r="F1287" s="2" t="s">
        <v>12</v>
      </c>
      <c r="G1287" s="2" t="s">
        <v>14</v>
      </c>
      <c r="H1287" s="4">
        <v>168320</v>
      </c>
      <c r="I1287" s="4">
        <v>168100</v>
      </c>
    </row>
    <row r="1288" spans="1:9" x14ac:dyDescent="0.3">
      <c r="A1288" s="2" t="s">
        <v>1320</v>
      </c>
      <c r="B1288" s="3">
        <v>45844</v>
      </c>
      <c r="C1288" s="2" t="s">
        <v>10</v>
      </c>
      <c r="D1288" s="2" t="s">
        <v>11</v>
      </c>
      <c r="E1288" s="2" t="s">
        <v>12</v>
      </c>
      <c r="F1288" s="2" t="s">
        <v>56</v>
      </c>
      <c r="G1288" s="2" t="s">
        <v>19</v>
      </c>
      <c r="H1288" s="4">
        <v>51811</v>
      </c>
      <c r="I1288" s="4">
        <v>53300</v>
      </c>
    </row>
    <row r="1289" spans="1:9" x14ac:dyDescent="0.3">
      <c r="A1289" s="2" t="s">
        <v>1321</v>
      </c>
      <c r="B1289" s="3">
        <v>45844</v>
      </c>
      <c r="C1289" s="2" t="s">
        <v>16</v>
      </c>
      <c r="D1289" s="2" t="s">
        <v>11</v>
      </c>
      <c r="E1289" s="2" t="s">
        <v>17</v>
      </c>
      <c r="F1289" s="2" t="s">
        <v>18</v>
      </c>
      <c r="G1289" s="2" t="s">
        <v>19</v>
      </c>
      <c r="H1289" s="4">
        <v>40952</v>
      </c>
      <c r="I1289" s="4">
        <v>44000</v>
      </c>
    </row>
    <row r="1290" spans="1:9" x14ac:dyDescent="0.3">
      <c r="A1290" s="2" t="s">
        <v>1322</v>
      </c>
      <c r="B1290" s="3">
        <v>45844</v>
      </c>
      <c r="C1290" s="2" t="s">
        <v>36</v>
      </c>
      <c r="D1290" s="2" t="s">
        <v>11</v>
      </c>
      <c r="E1290" s="2" t="s">
        <v>37</v>
      </c>
      <c r="F1290" s="2" t="s">
        <v>26</v>
      </c>
      <c r="G1290" s="2" t="s">
        <v>14</v>
      </c>
      <c r="H1290" s="4">
        <v>131132</v>
      </c>
      <c r="I1290" s="4">
        <v>134000</v>
      </c>
    </row>
    <row r="1291" spans="1:9" x14ac:dyDescent="0.3">
      <c r="A1291" s="2" t="s">
        <v>1323</v>
      </c>
      <c r="B1291" s="3">
        <v>45844</v>
      </c>
      <c r="C1291" s="2" t="s">
        <v>25</v>
      </c>
      <c r="D1291" s="2" t="s">
        <v>11</v>
      </c>
      <c r="E1291" s="2" t="s">
        <v>22</v>
      </c>
      <c r="F1291" s="2" t="s">
        <v>23</v>
      </c>
      <c r="G1291" s="2" t="s">
        <v>14</v>
      </c>
      <c r="H1291" s="4">
        <v>54193</v>
      </c>
      <c r="I1291" s="4">
        <v>59300</v>
      </c>
    </row>
    <row r="1292" spans="1:9" x14ac:dyDescent="0.3">
      <c r="A1292" s="2" t="s">
        <v>1324</v>
      </c>
      <c r="B1292" s="3">
        <v>45844</v>
      </c>
      <c r="C1292" s="2" t="s">
        <v>55</v>
      </c>
      <c r="D1292" s="2" t="s">
        <v>11</v>
      </c>
      <c r="E1292" s="2" t="s">
        <v>37</v>
      </c>
      <c r="F1292" s="2" t="s">
        <v>39</v>
      </c>
      <c r="G1292" s="2" t="s">
        <v>19</v>
      </c>
      <c r="H1292" s="4">
        <v>90243</v>
      </c>
      <c r="I1292" s="4">
        <v>95000</v>
      </c>
    </row>
    <row r="1293" spans="1:9" x14ac:dyDescent="0.3">
      <c r="A1293" s="2" t="s">
        <v>1325</v>
      </c>
      <c r="B1293" s="3">
        <v>45844</v>
      </c>
      <c r="C1293" s="2" t="s">
        <v>55</v>
      </c>
      <c r="D1293" s="2" t="s">
        <v>11</v>
      </c>
      <c r="E1293" s="2" t="s">
        <v>37</v>
      </c>
      <c r="F1293" s="2" t="s">
        <v>37</v>
      </c>
      <c r="G1293" s="2" t="s">
        <v>14</v>
      </c>
      <c r="H1293" s="4">
        <v>69127</v>
      </c>
      <c r="I1293" s="4">
        <v>77100</v>
      </c>
    </row>
    <row r="1294" spans="1:9" x14ac:dyDescent="0.3">
      <c r="A1294" s="2" t="s">
        <v>1326</v>
      </c>
      <c r="B1294" s="3">
        <v>45845</v>
      </c>
      <c r="C1294" s="2" t="s">
        <v>62</v>
      </c>
      <c r="D1294" s="2" t="s">
        <v>11</v>
      </c>
      <c r="E1294" s="2" t="s">
        <v>22</v>
      </c>
      <c r="F1294" s="2" t="s">
        <v>23</v>
      </c>
      <c r="G1294" s="2" t="s">
        <v>14</v>
      </c>
      <c r="H1294" s="4">
        <v>221569</v>
      </c>
      <c r="I1294" s="4">
        <v>220600</v>
      </c>
    </row>
    <row r="1295" spans="1:9" x14ac:dyDescent="0.3">
      <c r="A1295" s="2" t="s">
        <v>1327</v>
      </c>
      <c r="B1295" s="3">
        <v>45845</v>
      </c>
      <c r="C1295" s="2" t="s">
        <v>36</v>
      </c>
      <c r="D1295" s="2" t="s">
        <v>11</v>
      </c>
      <c r="E1295" s="2" t="s">
        <v>37</v>
      </c>
      <c r="F1295" s="2" t="s">
        <v>56</v>
      </c>
      <c r="G1295" s="2" t="s">
        <v>19</v>
      </c>
      <c r="H1295" s="4">
        <v>97784</v>
      </c>
      <c r="I1295" s="4">
        <v>86100</v>
      </c>
    </row>
    <row r="1296" spans="1:9" x14ac:dyDescent="0.3">
      <c r="A1296" s="2" t="s">
        <v>1328</v>
      </c>
      <c r="B1296" s="3">
        <v>45845</v>
      </c>
      <c r="C1296" s="2" t="s">
        <v>21</v>
      </c>
      <c r="D1296" s="2" t="s">
        <v>11</v>
      </c>
      <c r="E1296" s="2" t="s">
        <v>22</v>
      </c>
      <c r="F1296" s="2" t="s">
        <v>37</v>
      </c>
      <c r="G1296" s="2" t="s">
        <v>14</v>
      </c>
      <c r="H1296" s="4">
        <v>221780</v>
      </c>
      <c r="I1296" s="4">
        <v>173000</v>
      </c>
    </row>
    <row r="1297" spans="1:9" x14ac:dyDescent="0.3">
      <c r="A1297" s="2" t="s">
        <v>1329</v>
      </c>
      <c r="B1297" s="3">
        <v>45845</v>
      </c>
      <c r="C1297" s="2" t="s">
        <v>25</v>
      </c>
      <c r="D1297" s="2" t="s">
        <v>11</v>
      </c>
      <c r="E1297" s="2" t="s">
        <v>22</v>
      </c>
      <c r="F1297" s="2" t="s">
        <v>18</v>
      </c>
      <c r="G1297" s="2" t="s">
        <v>19</v>
      </c>
      <c r="H1297" s="4">
        <v>110893</v>
      </c>
      <c r="I1297" s="4">
        <v>114900</v>
      </c>
    </row>
    <row r="1298" spans="1:9" x14ac:dyDescent="0.3">
      <c r="A1298" s="2" t="s">
        <v>1330</v>
      </c>
      <c r="B1298" s="3">
        <v>45845</v>
      </c>
      <c r="C1298" s="2" t="s">
        <v>31</v>
      </c>
      <c r="D1298" s="2" t="s">
        <v>11</v>
      </c>
      <c r="E1298" s="2" t="s">
        <v>17</v>
      </c>
      <c r="F1298" s="2" t="s">
        <v>42</v>
      </c>
      <c r="G1298" s="2" t="s">
        <v>19</v>
      </c>
      <c r="H1298" s="4">
        <v>35347</v>
      </c>
      <c r="I1298" s="4">
        <v>34200</v>
      </c>
    </row>
    <row r="1299" spans="1:9" x14ac:dyDescent="0.3">
      <c r="A1299" s="2" t="s">
        <v>1331</v>
      </c>
      <c r="B1299" s="3">
        <v>45845</v>
      </c>
      <c r="C1299" s="2" t="s">
        <v>31</v>
      </c>
      <c r="D1299" s="2" t="s">
        <v>11</v>
      </c>
      <c r="E1299" s="2" t="s">
        <v>17</v>
      </c>
      <c r="F1299" s="2" t="s">
        <v>42</v>
      </c>
      <c r="G1299" s="2" t="s">
        <v>19</v>
      </c>
      <c r="H1299" s="4">
        <v>65240</v>
      </c>
      <c r="I1299" s="4">
        <v>65200</v>
      </c>
    </row>
    <row r="1300" spans="1:9" x14ac:dyDescent="0.3">
      <c r="A1300" s="2" t="s">
        <v>1332</v>
      </c>
      <c r="B1300" s="3">
        <v>45846</v>
      </c>
      <c r="C1300" s="2" t="s">
        <v>62</v>
      </c>
      <c r="D1300" s="2" t="s">
        <v>11</v>
      </c>
      <c r="E1300" s="2" t="s">
        <v>22</v>
      </c>
      <c r="F1300" s="2" t="s">
        <v>42</v>
      </c>
      <c r="G1300" s="2" t="s">
        <v>19</v>
      </c>
      <c r="H1300" s="4">
        <v>57963</v>
      </c>
      <c r="I1300" s="4">
        <v>59900</v>
      </c>
    </row>
    <row r="1301" spans="1:9" x14ac:dyDescent="0.3">
      <c r="A1301" s="2" t="s">
        <v>1333</v>
      </c>
      <c r="B1301" s="3">
        <v>45846</v>
      </c>
      <c r="C1301" s="2" t="s">
        <v>62</v>
      </c>
      <c r="D1301" s="2" t="s">
        <v>11</v>
      </c>
      <c r="E1301" s="2" t="s">
        <v>22</v>
      </c>
      <c r="F1301" s="2" t="s">
        <v>56</v>
      </c>
      <c r="G1301" s="2" t="s">
        <v>19</v>
      </c>
      <c r="H1301" s="4">
        <v>52949</v>
      </c>
      <c r="I1301" s="4">
        <v>49300</v>
      </c>
    </row>
    <row r="1302" spans="1:9" x14ac:dyDescent="0.3">
      <c r="A1302" s="2" t="s">
        <v>1334</v>
      </c>
      <c r="B1302" s="3">
        <v>45846</v>
      </c>
      <c r="C1302" s="2" t="s">
        <v>10</v>
      </c>
      <c r="D1302" s="2" t="s">
        <v>11</v>
      </c>
      <c r="E1302" s="2" t="s">
        <v>12</v>
      </c>
      <c r="F1302" s="2" t="s">
        <v>42</v>
      </c>
      <c r="G1302" s="2" t="s">
        <v>19</v>
      </c>
      <c r="H1302" s="4">
        <v>87977</v>
      </c>
      <c r="I1302" s="4">
        <v>93300</v>
      </c>
    </row>
    <row r="1303" spans="1:9" x14ac:dyDescent="0.3">
      <c r="A1303" s="2" t="s">
        <v>1335</v>
      </c>
      <c r="B1303" s="3">
        <v>45846</v>
      </c>
      <c r="C1303" s="2" t="s">
        <v>10</v>
      </c>
      <c r="D1303" s="2" t="s">
        <v>11</v>
      </c>
      <c r="E1303" s="2" t="s">
        <v>12</v>
      </c>
      <c r="F1303" s="2" t="s">
        <v>23</v>
      </c>
      <c r="G1303" s="2" t="s">
        <v>14</v>
      </c>
      <c r="H1303" s="4">
        <v>123999</v>
      </c>
      <c r="I1303" s="4">
        <v>124900</v>
      </c>
    </row>
    <row r="1304" spans="1:9" x14ac:dyDescent="0.3">
      <c r="A1304" s="2" t="s">
        <v>1336</v>
      </c>
      <c r="B1304" s="3">
        <v>45846</v>
      </c>
      <c r="C1304" s="2" t="s">
        <v>36</v>
      </c>
      <c r="D1304" s="2" t="s">
        <v>11</v>
      </c>
      <c r="E1304" s="2" t="s">
        <v>37</v>
      </c>
      <c r="F1304" s="2" t="s">
        <v>46</v>
      </c>
      <c r="G1304" s="2" t="s">
        <v>19</v>
      </c>
      <c r="H1304" s="4">
        <v>87202</v>
      </c>
      <c r="I1304" s="4">
        <v>81900</v>
      </c>
    </row>
    <row r="1305" spans="1:9" x14ac:dyDescent="0.3">
      <c r="A1305" s="2" t="s">
        <v>1337</v>
      </c>
      <c r="B1305" s="3">
        <v>45846</v>
      </c>
      <c r="C1305" s="2" t="s">
        <v>21</v>
      </c>
      <c r="D1305" s="2" t="s">
        <v>11</v>
      </c>
      <c r="E1305" s="2" t="s">
        <v>22</v>
      </c>
      <c r="F1305" s="2" t="s">
        <v>23</v>
      </c>
      <c r="G1305" s="2" t="s">
        <v>14</v>
      </c>
      <c r="H1305" s="4">
        <v>158885</v>
      </c>
      <c r="I1305" s="4">
        <v>155200</v>
      </c>
    </row>
    <row r="1306" spans="1:9" x14ac:dyDescent="0.3">
      <c r="A1306" s="2" t="s">
        <v>1338</v>
      </c>
      <c r="B1306" s="3">
        <v>45846</v>
      </c>
      <c r="C1306" s="2" t="s">
        <v>21</v>
      </c>
      <c r="D1306" s="2" t="s">
        <v>11</v>
      </c>
      <c r="E1306" s="2" t="s">
        <v>22</v>
      </c>
      <c r="F1306" s="2" t="s">
        <v>59</v>
      </c>
      <c r="G1306" s="2" t="s">
        <v>14</v>
      </c>
      <c r="H1306" s="4">
        <v>67518</v>
      </c>
      <c r="I1306" s="4">
        <v>67000</v>
      </c>
    </row>
    <row r="1307" spans="1:9" x14ac:dyDescent="0.3">
      <c r="A1307" s="2" t="s">
        <v>1339</v>
      </c>
      <c r="B1307" s="3">
        <v>45846</v>
      </c>
      <c r="C1307" s="2" t="s">
        <v>31</v>
      </c>
      <c r="D1307" s="2" t="s">
        <v>11</v>
      </c>
      <c r="E1307" s="2" t="s">
        <v>17</v>
      </c>
      <c r="F1307" s="2" t="s">
        <v>33</v>
      </c>
      <c r="G1307" s="2" t="s">
        <v>19</v>
      </c>
      <c r="H1307" s="4">
        <v>51512</v>
      </c>
      <c r="I1307" s="4">
        <v>52000</v>
      </c>
    </row>
    <row r="1308" spans="1:9" x14ac:dyDescent="0.3">
      <c r="A1308" s="2" t="s">
        <v>1340</v>
      </c>
      <c r="B1308" s="3">
        <v>45847</v>
      </c>
      <c r="C1308" s="2" t="s">
        <v>16</v>
      </c>
      <c r="D1308" s="2" t="s">
        <v>11</v>
      </c>
      <c r="E1308" s="2" t="s">
        <v>17</v>
      </c>
      <c r="F1308" s="2" t="s">
        <v>33</v>
      </c>
      <c r="G1308" s="2" t="s">
        <v>19</v>
      </c>
      <c r="H1308" s="4">
        <v>88701</v>
      </c>
      <c r="I1308" s="4">
        <v>95300</v>
      </c>
    </row>
    <row r="1309" spans="1:9" x14ac:dyDescent="0.3">
      <c r="A1309" s="2" t="s">
        <v>1341</v>
      </c>
      <c r="B1309" s="3">
        <v>45847</v>
      </c>
      <c r="C1309" s="2" t="s">
        <v>36</v>
      </c>
      <c r="D1309" s="2" t="s">
        <v>11</v>
      </c>
      <c r="E1309" s="2" t="s">
        <v>37</v>
      </c>
      <c r="F1309" s="2" t="s">
        <v>42</v>
      </c>
      <c r="G1309" s="2" t="s">
        <v>19</v>
      </c>
      <c r="H1309" s="4">
        <v>47659</v>
      </c>
      <c r="I1309" s="4">
        <v>37700</v>
      </c>
    </row>
    <row r="1310" spans="1:9" x14ac:dyDescent="0.3">
      <c r="A1310" s="2" t="s">
        <v>1342</v>
      </c>
      <c r="B1310" s="3">
        <v>45847</v>
      </c>
      <c r="C1310" s="2" t="s">
        <v>21</v>
      </c>
      <c r="D1310" s="2" t="s">
        <v>11</v>
      </c>
      <c r="E1310" s="2" t="s">
        <v>22</v>
      </c>
      <c r="F1310" s="2" t="s">
        <v>37</v>
      </c>
      <c r="G1310" s="2" t="s">
        <v>14</v>
      </c>
      <c r="H1310" s="4">
        <v>213478</v>
      </c>
      <c r="I1310" s="4">
        <v>237500</v>
      </c>
    </row>
    <row r="1311" spans="1:9" x14ac:dyDescent="0.3">
      <c r="A1311" s="2" t="s">
        <v>1343</v>
      </c>
      <c r="B1311" s="3">
        <v>45847</v>
      </c>
      <c r="C1311" s="2" t="s">
        <v>25</v>
      </c>
      <c r="D1311" s="2" t="s">
        <v>11</v>
      </c>
      <c r="E1311" s="2" t="s">
        <v>22</v>
      </c>
      <c r="F1311" s="2" t="s">
        <v>59</v>
      </c>
      <c r="G1311" s="2" t="s">
        <v>14</v>
      </c>
      <c r="H1311" s="4">
        <v>72592</v>
      </c>
      <c r="I1311" s="4">
        <v>71400</v>
      </c>
    </row>
    <row r="1312" spans="1:9" x14ac:dyDescent="0.3">
      <c r="A1312" s="2" t="s">
        <v>1344</v>
      </c>
      <c r="B1312" s="3">
        <v>45847</v>
      </c>
      <c r="C1312" s="2" t="s">
        <v>31</v>
      </c>
      <c r="D1312" s="2" t="s">
        <v>11</v>
      </c>
      <c r="E1312" s="2" t="s">
        <v>17</v>
      </c>
      <c r="F1312" s="2" t="s">
        <v>46</v>
      </c>
      <c r="G1312" s="2" t="s">
        <v>19</v>
      </c>
      <c r="H1312" s="4">
        <v>111779</v>
      </c>
      <c r="I1312" s="4">
        <v>119500</v>
      </c>
    </row>
    <row r="1313" spans="1:9" x14ac:dyDescent="0.3">
      <c r="A1313" s="2" t="s">
        <v>1345</v>
      </c>
      <c r="B1313" s="3">
        <v>45848</v>
      </c>
      <c r="C1313" s="2" t="s">
        <v>62</v>
      </c>
      <c r="D1313" s="2" t="s">
        <v>11</v>
      </c>
      <c r="E1313" s="2" t="s">
        <v>22</v>
      </c>
      <c r="F1313" s="2" t="s">
        <v>23</v>
      </c>
      <c r="G1313" s="2" t="s">
        <v>14</v>
      </c>
      <c r="H1313" s="4">
        <v>32959</v>
      </c>
      <c r="I1313" s="4">
        <v>32900</v>
      </c>
    </row>
    <row r="1314" spans="1:9" x14ac:dyDescent="0.3">
      <c r="A1314" s="2" t="s">
        <v>1346</v>
      </c>
      <c r="B1314" s="3">
        <v>45848</v>
      </c>
      <c r="C1314" s="2" t="s">
        <v>16</v>
      </c>
      <c r="D1314" s="2" t="s">
        <v>11</v>
      </c>
      <c r="E1314" s="2" t="s">
        <v>17</v>
      </c>
      <c r="F1314" s="2" t="s">
        <v>46</v>
      </c>
      <c r="G1314" s="2" t="s">
        <v>19</v>
      </c>
      <c r="H1314" s="4">
        <v>91221</v>
      </c>
      <c r="I1314" s="4">
        <v>90800</v>
      </c>
    </row>
    <row r="1315" spans="1:9" x14ac:dyDescent="0.3">
      <c r="A1315" s="2" t="s">
        <v>1347</v>
      </c>
      <c r="B1315" s="3">
        <v>45848</v>
      </c>
      <c r="C1315" s="2" t="s">
        <v>16</v>
      </c>
      <c r="D1315" s="2" t="s">
        <v>11</v>
      </c>
      <c r="E1315" s="2" t="s">
        <v>17</v>
      </c>
      <c r="F1315" s="2" t="s">
        <v>13</v>
      </c>
      <c r="G1315" s="2" t="s">
        <v>14</v>
      </c>
      <c r="H1315" s="4">
        <v>226786</v>
      </c>
      <c r="I1315" s="4">
        <v>214800</v>
      </c>
    </row>
    <row r="1316" spans="1:9" x14ac:dyDescent="0.3">
      <c r="A1316" s="2" t="s">
        <v>1348</v>
      </c>
      <c r="B1316" s="3">
        <v>45848</v>
      </c>
      <c r="C1316" s="2" t="s">
        <v>36</v>
      </c>
      <c r="D1316" s="2" t="s">
        <v>11</v>
      </c>
      <c r="E1316" s="2" t="s">
        <v>37</v>
      </c>
      <c r="F1316" s="2" t="s">
        <v>39</v>
      </c>
      <c r="G1316" s="2" t="s">
        <v>19</v>
      </c>
      <c r="H1316" s="4">
        <v>74328</v>
      </c>
      <c r="I1316" s="4">
        <v>72300</v>
      </c>
    </row>
    <row r="1317" spans="1:9" x14ac:dyDescent="0.3">
      <c r="A1317" s="2" t="s">
        <v>1349</v>
      </c>
      <c r="B1317" s="3">
        <v>45848</v>
      </c>
      <c r="C1317" s="2" t="s">
        <v>21</v>
      </c>
      <c r="D1317" s="2" t="s">
        <v>11</v>
      </c>
      <c r="E1317" s="2" t="s">
        <v>22</v>
      </c>
      <c r="F1317" s="2" t="s">
        <v>18</v>
      </c>
      <c r="G1317" s="2" t="s">
        <v>19</v>
      </c>
      <c r="H1317" s="4">
        <v>48432</v>
      </c>
      <c r="I1317" s="4">
        <v>46600</v>
      </c>
    </row>
    <row r="1318" spans="1:9" x14ac:dyDescent="0.3">
      <c r="A1318" s="2" t="s">
        <v>1350</v>
      </c>
      <c r="B1318" s="3">
        <v>45848</v>
      </c>
      <c r="C1318" s="2" t="s">
        <v>21</v>
      </c>
      <c r="D1318" s="2" t="s">
        <v>11</v>
      </c>
      <c r="E1318" s="2" t="s">
        <v>22</v>
      </c>
      <c r="F1318" s="2" t="s">
        <v>26</v>
      </c>
      <c r="G1318" s="2" t="s">
        <v>14</v>
      </c>
      <c r="H1318" s="4">
        <v>27259</v>
      </c>
      <c r="I1318" s="4">
        <v>27100</v>
      </c>
    </row>
    <row r="1319" spans="1:9" x14ac:dyDescent="0.3">
      <c r="A1319" s="2" t="s">
        <v>1351</v>
      </c>
      <c r="B1319" s="3">
        <v>45848</v>
      </c>
      <c r="C1319" s="2" t="s">
        <v>25</v>
      </c>
      <c r="D1319" s="2" t="s">
        <v>11</v>
      </c>
      <c r="E1319" s="2" t="s">
        <v>22</v>
      </c>
      <c r="F1319" s="2" t="s">
        <v>46</v>
      </c>
      <c r="G1319" s="2" t="s">
        <v>19</v>
      </c>
      <c r="H1319" s="4">
        <v>73076</v>
      </c>
      <c r="I1319" s="4">
        <v>72800</v>
      </c>
    </row>
    <row r="1320" spans="1:9" x14ac:dyDescent="0.3">
      <c r="A1320" s="2" t="s">
        <v>1352</v>
      </c>
      <c r="B1320" s="3">
        <v>45848</v>
      </c>
      <c r="C1320" s="2" t="s">
        <v>55</v>
      </c>
      <c r="D1320" s="2" t="s">
        <v>11</v>
      </c>
      <c r="E1320" s="2" t="s">
        <v>37</v>
      </c>
      <c r="F1320" s="2" t="s">
        <v>18</v>
      </c>
      <c r="G1320" s="2" t="s">
        <v>19</v>
      </c>
      <c r="H1320" s="4">
        <v>78690</v>
      </c>
      <c r="I1320" s="4">
        <v>83500</v>
      </c>
    </row>
    <row r="1321" spans="1:9" x14ac:dyDescent="0.3">
      <c r="A1321" s="2" t="s">
        <v>1353</v>
      </c>
      <c r="B1321" s="3">
        <v>45848</v>
      </c>
      <c r="C1321" s="2" t="s">
        <v>55</v>
      </c>
      <c r="D1321" s="2" t="s">
        <v>11</v>
      </c>
      <c r="E1321" s="2" t="s">
        <v>37</v>
      </c>
      <c r="F1321" s="2" t="s">
        <v>13</v>
      </c>
      <c r="G1321" s="2" t="s">
        <v>14</v>
      </c>
      <c r="H1321" s="4">
        <v>51173</v>
      </c>
      <c r="I1321" s="4">
        <v>53600</v>
      </c>
    </row>
    <row r="1322" spans="1:9" x14ac:dyDescent="0.3">
      <c r="A1322" s="2" t="s">
        <v>1354</v>
      </c>
      <c r="B1322" s="3">
        <v>45849</v>
      </c>
      <c r="C1322" s="2" t="s">
        <v>62</v>
      </c>
      <c r="D1322" s="2" t="s">
        <v>11</v>
      </c>
      <c r="E1322" s="2" t="s">
        <v>22</v>
      </c>
      <c r="F1322" s="2" t="s">
        <v>46</v>
      </c>
      <c r="G1322" s="2" t="s">
        <v>19</v>
      </c>
      <c r="H1322" s="4">
        <v>16203</v>
      </c>
      <c r="I1322" s="4">
        <v>16100</v>
      </c>
    </row>
    <row r="1323" spans="1:9" x14ac:dyDescent="0.3">
      <c r="A1323" s="2" t="s">
        <v>1355</v>
      </c>
      <c r="B1323" s="3">
        <v>45849</v>
      </c>
      <c r="C1323" s="2" t="s">
        <v>62</v>
      </c>
      <c r="D1323" s="2" t="s">
        <v>11</v>
      </c>
      <c r="E1323" s="2" t="s">
        <v>22</v>
      </c>
      <c r="F1323" s="2" t="s">
        <v>26</v>
      </c>
      <c r="G1323" s="2" t="s">
        <v>14</v>
      </c>
      <c r="H1323" s="4">
        <v>211310</v>
      </c>
      <c r="I1323" s="4">
        <v>176400</v>
      </c>
    </row>
    <row r="1324" spans="1:9" x14ac:dyDescent="0.3">
      <c r="A1324" s="2" t="s">
        <v>1356</v>
      </c>
      <c r="B1324" s="3">
        <v>45849</v>
      </c>
      <c r="C1324" s="2" t="s">
        <v>10</v>
      </c>
      <c r="D1324" s="2" t="s">
        <v>11</v>
      </c>
      <c r="E1324" s="2" t="s">
        <v>12</v>
      </c>
      <c r="F1324" s="2" t="s">
        <v>59</v>
      </c>
      <c r="G1324" s="2" t="s">
        <v>14</v>
      </c>
      <c r="H1324" s="4">
        <v>75277</v>
      </c>
      <c r="I1324" s="4">
        <v>61700</v>
      </c>
    </row>
    <row r="1325" spans="1:9" x14ac:dyDescent="0.3">
      <c r="A1325" s="2" t="s">
        <v>1357</v>
      </c>
      <c r="B1325" s="3">
        <v>45849</v>
      </c>
      <c r="C1325" s="2" t="s">
        <v>16</v>
      </c>
      <c r="D1325" s="2" t="s">
        <v>11</v>
      </c>
      <c r="E1325" s="2" t="s">
        <v>17</v>
      </c>
      <c r="F1325" s="2" t="s">
        <v>33</v>
      </c>
      <c r="G1325" s="2" t="s">
        <v>19</v>
      </c>
      <c r="H1325" s="4">
        <v>57971</v>
      </c>
      <c r="I1325" s="4">
        <v>56200</v>
      </c>
    </row>
    <row r="1326" spans="1:9" x14ac:dyDescent="0.3">
      <c r="A1326" s="2" t="s">
        <v>1358</v>
      </c>
      <c r="B1326" s="3">
        <v>45849</v>
      </c>
      <c r="C1326" s="2" t="s">
        <v>16</v>
      </c>
      <c r="D1326" s="2" t="s">
        <v>11</v>
      </c>
      <c r="E1326" s="2" t="s">
        <v>17</v>
      </c>
      <c r="F1326" s="2" t="s">
        <v>23</v>
      </c>
      <c r="G1326" s="2" t="s">
        <v>14</v>
      </c>
      <c r="H1326" s="4">
        <v>226827</v>
      </c>
      <c r="I1326" s="4">
        <v>225300</v>
      </c>
    </row>
    <row r="1327" spans="1:9" x14ac:dyDescent="0.3">
      <c r="A1327" s="2" t="s">
        <v>1359</v>
      </c>
      <c r="B1327" s="3">
        <v>45849</v>
      </c>
      <c r="C1327" s="2" t="s">
        <v>36</v>
      </c>
      <c r="D1327" s="2" t="s">
        <v>11</v>
      </c>
      <c r="E1327" s="2" t="s">
        <v>37</v>
      </c>
      <c r="F1327" s="2" t="s">
        <v>18</v>
      </c>
      <c r="G1327" s="2" t="s">
        <v>19</v>
      </c>
      <c r="H1327" s="4">
        <v>75532</v>
      </c>
      <c r="I1327" s="4">
        <v>76500</v>
      </c>
    </row>
    <row r="1328" spans="1:9" x14ac:dyDescent="0.3">
      <c r="A1328" s="2" t="s">
        <v>1360</v>
      </c>
      <c r="B1328" s="3">
        <v>45849</v>
      </c>
      <c r="C1328" s="2" t="s">
        <v>31</v>
      </c>
      <c r="D1328" s="2" t="s">
        <v>11</v>
      </c>
      <c r="E1328" s="2" t="s">
        <v>17</v>
      </c>
      <c r="F1328" s="2" t="s">
        <v>33</v>
      </c>
      <c r="G1328" s="2" t="s">
        <v>19</v>
      </c>
      <c r="H1328" s="4">
        <v>109911</v>
      </c>
      <c r="I1328" s="4">
        <v>117800</v>
      </c>
    </row>
    <row r="1329" spans="1:9" x14ac:dyDescent="0.3">
      <c r="A1329" s="2" t="s">
        <v>1361</v>
      </c>
      <c r="B1329" s="3">
        <v>45849</v>
      </c>
      <c r="C1329" s="2" t="s">
        <v>31</v>
      </c>
      <c r="D1329" s="2" t="s">
        <v>11</v>
      </c>
      <c r="E1329" s="2" t="s">
        <v>17</v>
      </c>
      <c r="F1329" s="2" t="s">
        <v>26</v>
      </c>
      <c r="G1329" s="2" t="s">
        <v>14</v>
      </c>
      <c r="H1329" s="4">
        <v>90205</v>
      </c>
      <c r="I1329" s="4">
        <v>97400</v>
      </c>
    </row>
    <row r="1330" spans="1:9" x14ac:dyDescent="0.3">
      <c r="A1330" s="2" t="s">
        <v>1362</v>
      </c>
      <c r="B1330" s="3">
        <v>45849</v>
      </c>
      <c r="C1330" s="2" t="s">
        <v>55</v>
      </c>
      <c r="D1330" s="2" t="s">
        <v>11</v>
      </c>
      <c r="E1330" s="2" t="s">
        <v>37</v>
      </c>
      <c r="F1330" s="2" t="s">
        <v>56</v>
      </c>
      <c r="G1330" s="2" t="s">
        <v>19</v>
      </c>
      <c r="H1330" s="4">
        <v>73067</v>
      </c>
      <c r="I1330" s="4">
        <v>80000</v>
      </c>
    </row>
    <row r="1331" spans="1:9" x14ac:dyDescent="0.3">
      <c r="A1331" s="2" t="s">
        <v>1363</v>
      </c>
      <c r="B1331" s="3">
        <v>45849</v>
      </c>
      <c r="C1331" s="2" t="s">
        <v>55</v>
      </c>
      <c r="D1331" s="2" t="s">
        <v>11</v>
      </c>
      <c r="E1331" s="2" t="s">
        <v>37</v>
      </c>
      <c r="F1331" s="2" t="s">
        <v>26</v>
      </c>
      <c r="G1331" s="2" t="s">
        <v>14</v>
      </c>
      <c r="H1331" s="4">
        <v>117183</v>
      </c>
      <c r="I1331" s="4">
        <v>117500</v>
      </c>
    </row>
    <row r="1332" spans="1:9" x14ac:dyDescent="0.3">
      <c r="A1332" s="2" t="s">
        <v>1364</v>
      </c>
      <c r="B1332" s="3">
        <v>45850</v>
      </c>
      <c r="C1332" s="2" t="s">
        <v>62</v>
      </c>
      <c r="D1332" s="2" t="s">
        <v>11</v>
      </c>
      <c r="E1332" s="2" t="s">
        <v>22</v>
      </c>
      <c r="F1332" s="2" t="s">
        <v>39</v>
      </c>
      <c r="G1332" s="2" t="s">
        <v>19</v>
      </c>
      <c r="H1332" s="4">
        <v>71559</v>
      </c>
      <c r="I1332" s="4">
        <v>68300</v>
      </c>
    </row>
    <row r="1333" spans="1:9" x14ac:dyDescent="0.3">
      <c r="A1333" s="2" t="s">
        <v>1365</v>
      </c>
      <c r="B1333" s="3">
        <v>45850</v>
      </c>
      <c r="C1333" s="2" t="s">
        <v>62</v>
      </c>
      <c r="D1333" s="2" t="s">
        <v>11</v>
      </c>
      <c r="E1333" s="2" t="s">
        <v>22</v>
      </c>
      <c r="F1333" s="2" t="s">
        <v>59</v>
      </c>
      <c r="G1333" s="2" t="s">
        <v>14</v>
      </c>
      <c r="H1333" s="4">
        <v>47350</v>
      </c>
      <c r="I1333" s="4">
        <v>45200</v>
      </c>
    </row>
    <row r="1334" spans="1:9" x14ac:dyDescent="0.3">
      <c r="A1334" s="2" t="s">
        <v>1366</v>
      </c>
      <c r="B1334" s="3">
        <v>45850</v>
      </c>
      <c r="C1334" s="2" t="s">
        <v>10</v>
      </c>
      <c r="D1334" s="2" t="s">
        <v>11</v>
      </c>
      <c r="E1334" s="2" t="s">
        <v>12</v>
      </c>
      <c r="F1334" s="2" t="s">
        <v>46</v>
      </c>
      <c r="G1334" s="2" t="s">
        <v>19</v>
      </c>
      <c r="H1334" s="4">
        <v>68866</v>
      </c>
      <c r="I1334" s="4">
        <v>64200</v>
      </c>
    </row>
    <row r="1335" spans="1:9" x14ac:dyDescent="0.3">
      <c r="A1335" s="2" t="s">
        <v>1367</v>
      </c>
      <c r="B1335" s="3">
        <v>45850</v>
      </c>
      <c r="C1335" s="2" t="s">
        <v>16</v>
      </c>
      <c r="D1335" s="2" t="s">
        <v>11</v>
      </c>
      <c r="E1335" s="2" t="s">
        <v>17</v>
      </c>
      <c r="F1335" s="2" t="s">
        <v>59</v>
      </c>
      <c r="G1335" s="2" t="s">
        <v>14</v>
      </c>
      <c r="H1335" s="4">
        <v>37634</v>
      </c>
      <c r="I1335" s="4">
        <v>36300</v>
      </c>
    </row>
    <row r="1336" spans="1:9" x14ac:dyDescent="0.3">
      <c r="A1336" s="2" t="s">
        <v>1368</v>
      </c>
      <c r="B1336" s="3">
        <v>45850</v>
      </c>
      <c r="C1336" s="2" t="s">
        <v>36</v>
      </c>
      <c r="D1336" s="2" t="s">
        <v>11</v>
      </c>
      <c r="E1336" s="2" t="s">
        <v>37</v>
      </c>
      <c r="F1336" s="2" t="s">
        <v>13</v>
      </c>
      <c r="G1336" s="2" t="s">
        <v>14</v>
      </c>
      <c r="H1336" s="4">
        <v>131964</v>
      </c>
      <c r="I1336" s="4">
        <v>147600</v>
      </c>
    </row>
    <row r="1337" spans="1:9" x14ac:dyDescent="0.3">
      <c r="A1337" s="2" t="s">
        <v>1369</v>
      </c>
      <c r="B1337" s="3">
        <v>45850</v>
      </c>
      <c r="C1337" s="2" t="s">
        <v>21</v>
      </c>
      <c r="D1337" s="2" t="s">
        <v>11</v>
      </c>
      <c r="E1337" s="2" t="s">
        <v>22</v>
      </c>
      <c r="F1337" s="2" t="s">
        <v>12</v>
      </c>
      <c r="G1337" s="2" t="s">
        <v>14</v>
      </c>
      <c r="H1337" s="4">
        <v>118583</v>
      </c>
      <c r="I1337" s="4">
        <v>132300</v>
      </c>
    </row>
    <row r="1338" spans="1:9" x14ac:dyDescent="0.3">
      <c r="A1338" s="2" t="s">
        <v>1370</v>
      </c>
      <c r="B1338" s="3">
        <v>45850</v>
      </c>
      <c r="C1338" s="2" t="s">
        <v>21</v>
      </c>
      <c r="D1338" s="2" t="s">
        <v>11</v>
      </c>
      <c r="E1338" s="2" t="s">
        <v>22</v>
      </c>
      <c r="F1338" s="2" t="s">
        <v>59</v>
      </c>
      <c r="G1338" s="2" t="s">
        <v>14</v>
      </c>
      <c r="H1338" s="4">
        <v>120411</v>
      </c>
      <c r="I1338" s="4">
        <v>127600</v>
      </c>
    </row>
    <row r="1339" spans="1:9" x14ac:dyDescent="0.3">
      <c r="A1339" s="2" t="s">
        <v>1371</v>
      </c>
      <c r="B1339" s="3">
        <v>45850</v>
      </c>
      <c r="C1339" s="2" t="s">
        <v>25</v>
      </c>
      <c r="D1339" s="2" t="s">
        <v>11</v>
      </c>
      <c r="E1339" s="2" t="s">
        <v>22</v>
      </c>
      <c r="F1339" s="2" t="s">
        <v>39</v>
      </c>
      <c r="G1339" s="2" t="s">
        <v>19</v>
      </c>
      <c r="H1339" s="4">
        <v>71485</v>
      </c>
      <c r="I1339" s="4">
        <v>78200</v>
      </c>
    </row>
    <row r="1340" spans="1:9" x14ac:dyDescent="0.3">
      <c r="A1340" s="2" t="s">
        <v>1372</v>
      </c>
      <c r="B1340" s="3">
        <v>45850</v>
      </c>
      <c r="C1340" s="2" t="s">
        <v>25</v>
      </c>
      <c r="D1340" s="2" t="s">
        <v>11</v>
      </c>
      <c r="E1340" s="2" t="s">
        <v>22</v>
      </c>
      <c r="F1340" s="2" t="s">
        <v>56</v>
      </c>
      <c r="G1340" s="2" t="s">
        <v>19</v>
      </c>
      <c r="H1340" s="4">
        <v>36027</v>
      </c>
      <c r="I1340" s="4">
        <v>35200</v>
      </c>
    </row>
    <row r="1341" spans="1:9" x14ac:dyDescent="0.3">
      <c r="A1341" s="2" t="s">
        <v>1373</v>
      </c>
      <c r="B1341" s="3">
        <v>45850</v>
      </c>
      <c r="C1341" s="2" t="s">
        <v>25</v>
      </c>
      <c r="D1341" s="2" t="s">
        <v>11</v>
      </c>
      <c r="E1341" s="2" t="s">
        <v>22</v>
      </c>
      <c r="F1341" s="2" t="s">
        <v>23</v>
      </c>
      <c r="G1341" s="2" t="s">
        <v>14</v>
      </c>
      <c r="H1341" s="4">
        <v>163610</v>
      </c>
      <c r="I1341" s="4">
        <v>149200</v>
      </c>
    </row>
    <row r="1342" spans="1:9" x14ac:dyDescent="0.3">
      <c r="A1342" s="2" t="s">
        <v>1374</v>
      </c>
      <c r="B1342" s="3">
        <v>45850</v>
      </c>
      <c r="C1342" s="2" t="s">
        <v>31</v>
      </c>
      <c r="D1342" s="2" t="s">
        <v>11</v>
      </c>
      <c r="E1342" s="2" t="s">
        <v>17</v>
      </c>
      <c r="F1342" s="2" t="s">
        <v>33</v>
      </c>
      <c r="G1342" s="2" t="s">
        <v>19</v>
      </c>
      <c r="H1342" s="4">
        <v>87003</v>
      </c>
      <c r="I1342" s="4">
        <v>104100</v>
      </c>
    </row>
    <row r="1343" spans="1:9" x14ac:dyDescent="0.3">
      <c r="A1343" s="2" t="s">
        <v>1375</v>
      </c>
      <c r="B1343" s="3">
        <v>45851</v>
      </c>
      <c r="C1343" s="2" t="s">
        <v>16</v>
      </c>
      <c r="D1343" s="2" t="s">
        <v>11</v>
      </c>
      <c r="E1343" s="2" t="s">
        <v>17</v>
      </c>
      <c r="F1343" s="2" t="s">
        <v>26</v>
      </c>
      <c r="G1343" s="2" t="s">
        <v>14</v>
      </c>
      <c r="H1343" s="4">
        <v>25831</v>
      </c>
      <c r="I1343" s="4">
        <v>28400</v>
      </c>
    </row>
    <row r="1344" spans="1:9" x14ac:dyDescent="0.3">
      <c r="A1344" s="2" t="s">
        <v>1376</v>
      </c>
      <c r="B1344" s="3">
        <v>45851</v>
      </c>
      <c r="C1344" s="2" t="s">
        <v>36</v>
      </c>
      <c r="D1344" s="2" t="s">
        <v>11</v>
      </c>
      <c r="E1344" s="2" t="s">
        <v>37</v>
      </c>
      <c r="F1344" s="2" t="s">
        <v>12</v>
      </c>
      <c r="G1344" s="2" t="s">
        <v>14</v>
      </c>
      <c r="H1344" s="4">
        <v>124080</v>
      </c>
      <c r="I1344" s="4">
        <v>117700</v>
      </c>
    </row>
    <row r="1345" spans="1:9" x14ac:dyDescent="0.3">
      <c r="A1345" s="2" t="s">
        <v>1377</v>
      </c>
      <c r="B1345" s="3">
        <v>45851</v>
      </c>
      <c r="C1345" s="2" t="s">
        <v>21</v>
      </c>
      <c r="D1345" s="2" t="s">
        <v>11</v>
      </c>
      <c r="E1345" s="2" t="s">
        <v>22</v>
      </c>
      <c r="F1345" s="2" t="s">
        <v>46</v>
      </c>
      <c r="G1345" s="2" t="s">
        <v>19</v>
      </c>
      <c r="H1345" s="4">
        <v>116816</v>
      </c>
      <c r="I1345" s="4">
        <v>106900</v>
      </c>
    </row>
    <row r="1346" spans="1:9" x14ac:dyDescent="0.3">
      <c r="A1346" s="2" t="s">
        <v>1378</v>
      </c>
      <c r="B1346" s="3">
        <v>45851</v>
      </c>
      <c r="C1346" s="2" t="s">
        <v>31</v>
      </c>
      <c r="D1346" s="2" t="s">
        <v>11</v>
      </c>
      <c r="E1346" s="2" t="s">
        <v>17</v>
      </c>
      <c r="F1346" s="2" t="s">
        <v>18</v>
      </c>
      <c r="G1346" s="2" t="s">
        <v>19</v>
      </c>
      <c r="H1346" s="4">
        <v>33409</v>
      </c>
      <c r="I1346" s="4">
        <v>34400</v>
      </c>
    </row>
    <row r="1347" spans="1:9" x14ac:dyDescent="0.3">
      <c r="A1347" s="2" t="s">
        <v>1379</v>
      </c>
      <c r="B1347" s="3">
        <v>45851</v>
      </c>
      <c r="C1347" s="2" t="s">
        <v>55</v>
      </c>
      <c r="D1347" s="2" t="s">
        <v>11</v>
      </c>
      <c r="E1347" s="2" t="s">
        <v>37</v>
      </c>
      <c r="F1347" s="2" t="s">
        <v>23</v>
      </c>
      <c r="G1347" s="2" t="s">
        <v>14</v>
      </c>
      <c r="H1347" s="4">
        <v>97773</v>
      </c>
      <c r="I1347" s="4">
        <v>98100</v>
      </c>
    </row>
    <row r="1348" spans="1:9" x14ac:dyDescent="0.3">
      <c r="A1348" s="2" t="s">
        <v>1380</v>
      </c>
      <c r="B1348" s="3">
        <v>45852</v>
      </c>
      <c r="C1348" s="2" t="s">
        <v>62</v>
      </c>
      <c r="D1348" s="2" t="s">
        <v>11</v>
      </c>
      <c r="E1348" s="2" t="s">
        <v>22</v>
      </c>
      <c r="F1348" s="2" t="s">
        <v>13</v>
      </c>
      <c r="G1348" s="2" t="s">
        <v>14</v>
      </c>
      <c r="H1348" s="4">
        <v>157725</v>
      </c>
      <c r="I1348" s="4">
        <v>163300</v>
      </c>
    </row>
    <row r="1349" spans="1:9" x14ac:dyDescent="0.3">
      <c r="A1349" s="2" t="s">
        <v>1381</v>
      </c>
      <c r="B1349" s="3">
        <v>45852</v>
      </c>
      <c r="C1349" s="2" t="s">
        <v>16</v>
      </c>
      <c r="D1349" s="2" t="s">
        <v>11</v>
      </c>
      <c r="E1349" s="2" t="s">
        <v>17</v>
      </c>
      <c r="F1349" s="2" t="s">
        <v>46</v>
      </c>
      <c r="G1349" s="2" t="s">
        <v>19</v>
      </c>
      <c r="H1349" s="4">
        <v>92734</v>
      </c>
      <c r="I1349" s="4">
        <v>88000</v>
      </c>
    </row>
    <row r="1350" spans="1:9" x14ac:dyDescent="0.3">
      <c r="A1350" s="2" t="s">
        <v>1382</v>
      </c>
      <c r="B1350" s="3">
        <v>45852</v>
      </c>
      <c r="C1350" s="2" t="s">
        <v>36</v>
      </c>
      <c r="D1350" s="2" t="s">
        <v>11</v>
      </c>
      <c r="E1350" s="2" t="s">
        <v>37</v>
      </c>
      <c r="F1350" s="2" t="s">
        <v>46</v>
      </c>
      <c r="G1350" s="2" t="s">
        <v>19</v>
      </c>
      <c r="H1350" s="4">
        <v>33055</v>
      </c>
      <c r="I1350" s="4">
        <v>34300</v>
      </c>
    </row>
    <row r="1351" spans="1:9" x14ac:dyDescent="0.3">
      <c r="A1351" s="2" t="s">
        <v>1383</v>
      </c>
      <c r="B1351" s="3">
        <v>45852</v>
      </c>
      <c r="C1351" s="2" t="s">
        <v>36</v>
      </c>
      <c r="D1351" s="2" t="s">
        <v>11</v>
      </c>
      <c r="E1351" s="2" t="s">
        <v>37</v>
      </c>
      <c r="F1351" s="2" t="s">
        <v>39</v>
      </c>
      <c r="G1351" s="2" t="s">
        <v>19</v>
      </c>
      <c r="H1351" s="4">
        <v>17004</v>
      </c>
      <c r="I1351" s="4">
        <v>17800</v>
      </c>
    </row>
    <row r="1352" spans="1:9" x14ac:dyDescent="0.3">
      <c r="A1352" s="2" t="s">
        <v>1384</v>
      </c>
      <c r="B1352" s="3">
        <v>45852</v>
      </c>
      <c r="C1352" s="2" t="s">
        <v>21</v>
      </c>
      <c r="D1352" s="2" t="s">
        <v>11</v>
      </c>
      <c r="E1352" s="2" t="s">
        <v>22</v>
      </c>
      <c r="F1352" s="2" t="s">
        <v>23</v>
      </c>
      <c r="G1352" s="2" t="s">
        <v>14</v>
      </c>
      <c r="H1352" s="4">
        <v>117459</v>
      </c>
      <c r="I1352" s="4">
        <v>131000</v>
      </c>
    </row>
    <row r="1353" spans="1:9" x14ac:dyDescent="0.3">
      <c r="A1353" s="2" t="s">
        <v>1385</v>
      </c>
      <c r="B1353" s="3">
        <v>45852</v>
      </c>
      <c r="C1353" s="2" t="s">
        <v>25</v>
      </c>
      <c r="D1353" s="2" t="s">
        <v>11</v>
      </c>
      <c r="E1353" s="2" t="s">
        <v>22</v>
      </c>
      <c r="F1353" s="2" t="s">
        <v>37</v>
      </c>
      <c r="G1353" s="2" t="s">
        <v>14</v>
      </c>
      <c r="H1353" s="4">
        <v>164842</v>
      </c>
      <c r="I1353" s="4">
        <v>181200</v>
      </c>
    </row>
    <row r="1354" spans="1:9" x14ac:dyDescent="0.3">
      <c r="A1354" s="2" t="s">
        <v>1386</v>
      </c>
      <c r="B1354" s="3">
        <v>45852</v>
      </c>
      <c r="C1354" s="2" t="s">
        <v>31</v>
      </c>
      <c r="D1354" s="2" t="s">
        <v>11</v>
      </c>
      <c r="E1354" s="2" t="s">
        <v>17</v>
      </c>
      <c r="F1354" s="2" t="s">
        <v>13</v>
      </c>
      <c r="G1354" s="2" t="s">
        <v>14</v>
      </c>
      <c r="H1354" s="4">
        <v>143854</v>
      </c>
      <c r="I1354" s="4">
        <v>139100</v>
      </c>
    </row>
    <row r="1355" spans="1:9" x14ac:dyDescent="0.3">
      <c r="A1355" s="2" t="s">
        <v>1387</v>
      </c>
      <c r="B1355" s="3">
        <v>45852</v>
      </c>
      <c r="C1355" s="2" t="s">
        <v>31</v>
      </c>
      <c r="D1355" s="2" t="s">
        <v>11</v>
      </c>
      <c r="E1355" s="2" t="s">
        <v>17</v>
      </c>
      <c r="F1355" s="2" t="s">
        <v>13</v>
      </c>
      <c r="G1355" s="2" t="s">
        <v>14</v>
      </c>
      <c r="H1355" s="4">
        <v>74125</v>
      </c>
      <c r="I1355" s="4">
        <v>71400</v>
      </c>
    </row>
    <row r="1356" spans="1:9" x14ac:dyDescent="0.3">
      <c r="A1356" s="2" t="s">
        <v>1388</v>
      </c>
      <c r="B1356" s="3">
        <v>45853</v>
      </c>
      <c r="C1356" s="2" t="s">
        <v>62</v>
      </c>
      <c r="D1356" s="2" t="s">
        <v>11</v>
      </c>
      <c r="E1356" s="2" t="s">
        <v>22</v>
      </c>
      <c r="F1356" s="2" t="s">
        <v>26</v>
      </c>
      <c r="G1356" s="2" t="s">
        <v>14</v>
      </c>
      <c r="H1356" s="4">
        <v>34137</v>
      </c>
      <c r="I1356" s="4">
        <v>36100</v>
      </c>
    </row>
    <row r="1357" spans="1:9" x14ac:dyDescent="0.3">
      <c r="A1357" s="2" t="s">
        <v>1389</v>
      </c>
      <c r="B1357" s="3">
        <v>45853</v>
      </c>
      <c r="C1357" s="2" t="s">
        <v>21</v>
      </c>
      <c r="D1357" s="2" t="s">
        <v>11</v>
      </c>
      <c r="E1357" s="2" t="s">
        <v>22</v>
      </c>
      <c r="F1357" s="2" t="s">
        <v>46</v>
      </c>
      <c r="G1357" s="2" t="s">
        <v>19</v>
      </c>
      <c r="H1357" s="4">
        <v>13562</v>
      </c>
      <c r="I1357" s="4">
        <v>14400</v>
      </c>
    </row>
    <row r="1358" spans="1:9" x14ac:dyDescent="0.3">
      <c r="A1358" s="2" t="s">
        <v>1390</v>
      </c>
      <c r="B1358" s="3">
        <v>45853</v>
      </c>
      <c r="C1358" s="2" t="s">
        <v>25</v>
      </c>
      <c r="D1358" s="2" t="s">
        <v>11</v>
      </c>
      <c r="E1358" s="2" t="s">
        <v>22</v>
      </c>
      <c r="F1358" s="2" t="s">
        <v>56</v>
      </c>
      <c r="G1358" s="2" t="s">
        <v>19</v>
      </c>
      <c r="H1358" s="4">
        <v>102974</v>
      </c>
      <c r="I1358" s="4">
        <v>96600</v>
      </c>
    </row>
    <row r="1359" spans="1:9" x14ac:dyDescent="0.3">
      <c r="A1359" s="2" t="s">
        <v>1391</v>
      </c>
      <c r="B1359" s="3">
        <v>45853</v>
      </c>
      <c r="C1359" s="2" t="s">
        <v>55</v>
      </c>
      <c r="D1359" s="2" t="s">
        <v>11</v>
      </c>
      <c r="E1359" s="2" t="s">
        <v>37</v>
      </c>
      <c r="F1359" s="2" t="s">
        <v>26</v>
      </c>
      <c r="G1359" s="2" t="s">
        <v>14</v>
      </c>
      <c r="H1359" s="4">
        <v>221548</v>
      </c>
      <c r="I1359" s="4">
        <v>231600</v>
      </c>
    </row>
    <row r="1360" spans="1:9" x14ac:dyDescent="0.3">
      <c r="A1360" s="2" t="s">
        <v>1392</v>
      </c>
      <c r="B1360" s="3">
        <v>45854</v>
      </c>
      <c r="C1360" s="2" t="s">
        <v>62</v>
      </c>
      <c r="D1360" s="2" t="s">
        <v>11</v>
      </c>
      <c r="E1360" s="2" t="s">
        <v>22</v>
      </c>
      <c r="F1360" s="2" t="s">
        <v>46</v>
      </c>
      <c r="G1360" s="2" t="s">
        <v>19</v>
      </c>
      <c r="H1360" s="4">
        <v>51178</v>
      </c>
      <c r="I1360" s="4">
        <v>46400</v>
      </c>
    </row>
    <row r="1361" spans="1:9" x14ac:dyDescent="0.3">
      <c r="A1361" s="2" t="s">
        <v>1393</v>
      </c>
      <c r="B1361" s="3">
        <v>45854</v>
      </c>
      <c r="C1361" s="2" t="s">
        <v>62</v>
      </c>
      <c r="D1361" s="2" t="s">
        <v>11</v>
      </c>
      <c r="E1361" s="2" t="s">
        <v>22</v>
      </c>
      <c r="F1361" s="2" t="s">
        <v>59</v>
      </c>
      <c r="G1361" s="2" t="s">
        <v>14</v>
      </c>
      <c r="H1361" s="4">
        <v>238466</v>
      </c>
      <c r="I1361" s="4">
        <v>255500</v>
      </c>
    </row>
    <row r="1362" spans="1:9" x14ac:dyDescent="0.3">
      <c r="A1362" s="2" t="s">
        <v>1394</v>
      </c>
      <c r="B1362" s="3">
        <v>45854</v>
      </c>
      <c r="C1362" s="2" t="s">
        <v>62</v>
      </c>
      <c r="D1362" s="2" t="s">
        <v>11</v>
      </c>
      <c r="E1362" s="2" t="s">
        <v>22</v>
      </c>
      <c r="F1362" s="2" t="s">
        <v>26</v>
      </c>
      <c r="G1362" s="2" t="s">
        <v>14</v>
      </c>
      <c r="H1362" s="4">
        <v>101807</v>
      </c>
      <c r="I1362" s="4">
        <v>112600</v>
      </c>
    </row>
    <row r="1363" spans="1:9" x14ac:dyDescent="0.3">
      <c r="A1363" s="2" t="s">
        <v>1395</v>
      </c>
      <c r="B1363" s="3">
        <v>45854</v>
      </c>
      <c r="C1363" s="2" t="s">
        <v>10</v>
      </c>
      <c r="D1363" s="2" t="s">
        <v>11</v>
      </c>
      <c r="E1363" s="2" t="s">
        <v>12</v>
      </c>
      <c r="F1363" s="2" t="s">
        <v>33</v>
      </c>
      <c r="G1363" s="2" t="s">
        <v>19</v>
      </c>
      <c r="H1363" s="4">
        <v>80670</v>
      </c>
      <c r="I1363" s="4">
        <v>83600</v>
      </c>
    </row>
    <row r="1364" spans="1:9" x14ac:dyDescent="0.3">
      <c r="A1364" s="2" t="s">
        <v>1396</v>
      </c>
      <c r="B1364" s="3">
        <v>45854</v>
      </c>
      <c r="C1364" s="2" t="s">
        <v>16</v>
      </c>
      <c r="D1364" s="2" t="s">
        <v>11</v>
      </c>
      <c r="E1364" s="2" t="s">
        <v>17</v>
      </c>
      <c r="F1364" s="2" t="s">
        <v>33</v>
      </c>
      <c r="G1364" s="2" t="s">
        <v>19</v>
      </c>
      <c r="H1364" s="4">
        <v>87576</v>
      </c>
      <c r="I1364" s="4">
        <v>96700</v>
      </c>
    </row>
    <row r="1365" spans="1:9" x14ac:dyDescent="0.3">
      <c r="A1365" s="2" t="s">
        <v>1397</v>
      </c>
      <c r="B1365" s="3">
        <v>45854</v>
      </c>
      <c r="C1365" s="2" t="s">
        <v>16</v>
      </c>
      <c r="D1365" s="2" t="s">
        <v>11</v>
      </c>
      <c r="E1365" s="2" t="s">
        <v>17</v>
      </c>
      <c r="F1365" s="2" t="s">
        <v>56</v>
      </c>
      <c r="G1365" s="2" t="s">
        <v>19</v>
      </c>
      <c r="H1365" s="4">
        <v>103435</v>
      </c>
      <c r="I1365" s="4">
        <v>95800</v>
      </c>
    </row>
    <row r="1366" spans="1:9" x14ac:dyDescent="0.3">
      <c r="A1366" s="2" t="s">
        <v>1398</v>
      </c>
      <c r="B1366" s="3">
        <v>45854</v>
      </c>
      <c r="C1366" s="2" t="s">
        <v>21</v>
      </c>
      <c r="D1366" s="2" t="s">
        <v>11</v>
      </c>
      <c r="E1366" s="2" t="s">
        <v>22</v>
      </c>
      <c r="F1366" s="2" t="s">
        <v>33</v>
      </c>
      <c r="G1366" s="2" t="s">
        <v>19</v>
      </c>
      <c r="H1366" s="4">
        <v>52000</v>
      </c>
      <c r="I1366" s="4">
        <v>54700</v>
      </c>
    </row>
    <row r="1367" spans="1:9" x14ac:dyDescent="0.3">
      <c r="A1367" s="2" t="s">
        <v>1399</v>
      </c>
      <c r="B1367" s="3">
        <v>45854</v>
      </c>
      <c r="C1367" s="2" t="s">
        <v>25</v>
      </c>
      <c r="D1367" s="2" t="s">
        <v>11</v>
      </c>
      <c r="E1367" s="2" t="s">
        <v>22</v>
      </c>
      <c r="F1367" s="2" t="s">
        <v>33</v>
      </c>
      <c r="G1367" s="2" t="s">
        <v>19</v>
      </c>
      <c r="H1367" s="4">
        <v>13266</v>
      </c>
      <c r="I1367" s="4">
        <v>14500</v>
      </c>
    </row>
    <row r="1368" spans="1:9" x14ac:dyDescent="0.3">
      <c r="A1368" s="2" t="s">
        <v>1400</v>
      </c>
      <c r="B1368" s="3">
        <v>45854</v>
      </c>
      <c r="C1368" s="2" t="s">
        <v>25</v>
      </c>
      <c r="D1368" s="2" t="s">
        <v>11</v>
      </c>
      <c r="E1368" s="2" t="s">
        <v>22</v>
      </c>
      <c r="F1368" s="2" t="s">
        <v>37</v>
      </c>
      <c r="G1368" s="2" t="s">
        <v>14</v>
      </c>
      <c r="H1368" s="4">
        <v>63232</v>
      </c>
      <c r="I1368" s="4">
        <v>71900</v>
      </c>
    </row>
    <row r="1369" spans="1:9" x14ac:dyDescent="0.3">
      <c r="A1369" s="2" t="s">
        <v>1401</v>
      </c>
      <c r="B1369" s="3">
        <v>45854</v>
      </c>
      <c r="C1369" s="2" t="s">
        <v>31</v>
      </c>
      <c r="D1369" s="2" t="s">
        <v>11</v>
      </c>
      <c r="E1369" s="2" t="s">
        <v>17</v>
      </c>
      <c r="F1369" s="2" t="s">
        <v>59</v>
      </c>
      <c r="G1369" s="2" t="s">
        <v>14</v>
      </c>
      <c r="H1369" s="4">
        <v>146218</v>
      </c>
      <c r="I1369" s="4">
        <v>154700</v>
      </c>
    </row>
    <row r="1370" spans="1:9" x14ac:dyDescent="0.3">
      <c r="A1370" s="2" t="s">
        <v>1402</v>
      </c>
      <c r="B1370" s="3">
        <v>45854</v>
      </c>
      <c r="C1370" s="2" t="s">
        <v>55</v>
      </c>
      <c r="D1370" s="2" t="s">
        <v>11</v>
      </c>
      <c r="E1370" s="2" t="s">
        <v>37</v>
      </c>
      <c r="F1370" s="2" t="s">
        <v>37</v>
      </c>
      <c r="G1370" s="2" t="s">
        <v>14</v>
      </c>
      <c r="H1370" s="4">
        <v>144860</v>
      </c>
      <c r="I1370" s="4">
        <v>149900</v>
      </c>
    </row>
    <row r="1371" spans="1:9" x14ac:dyDescent="0.3">
      <c r="A1371" s="2" t="s">
        <v>1403</v>
      </c>
      <c r="B1371" s="3">
        <v>45854</v>
      </c>
      <c r="C1371" s="2" t="s">
        <v>55</v>
      </c>
      <c r="D1371" s="2" t="s">
        <v>11</v>
      </c>
      <c r="E1371" s="2" t="s">
        <v>37</v>
      </c>
      <c r="F1371" s="2" t="s">
        <v>59</v>
      </c>
      <c r="G1371" s="2" t="s">
        <v>14</v>
      </c>
      <c r="H1371" s="4">
        <v>98433</v>
      </c>
      <c r="I1371" s="4">
        <v>100900</v>
      </c>
    </row>
    <row r="1372" spans="1:9" x14ac:dyDescent="0.3">
      <c r="A1372" s="2" t="s">
        <v>1404</v>
      </c>
      <c r="B1372" s="3">
        <v>45855</v>
      </c>
      <c r="C1372" s="2" t="s">
        <v>62</v>
      </c>
      <c r="D1372" s="2" t="s">
        <v>11</v>
      </c>
      <c r="E1372" s="2" t="s">
        <v>22</v>
      </c>
      <c r="F1372" s="2" t="s">
        <v>42</v>
      </c>
      <c r="G1372" s="2" t="s">
        <v>19</v>
      </c>
      <c r="H1372" s="4">
        <v>56658</v>
      </c>
      <c r="I1372" s="4">
        <v>62000</v>
      </c>
    </row>
    <row r="1373" spans="1:9" x14ac:dyDescent="0.3">
      <c r="A1373" s="2" t="s">
        <v>1405</v>
      </c>
      <c r="B1373" s="3">
        <v>45855</v>
      </c>
      <c r="C1373" s="2" t="s">
        <v>16</v>
      </c>
      <c r="D1373" s="2" t="s">
        <v>11</v>
      </c>
      <c r="E1373" s="2" t="s">
        <v>17</v>
      </c>
      <c r="F1373" s="2" t="s">
        <v>39</v>
      </c>
      <c r="G1373" s="2" t="s">
        <v>19</v>
      </c>
      <c r="H1373" s="4">
        <v>43044</v>
      </c>
      <c r="I1373" s="4">
        <v>38400</v>
      </c>
    </row>
    <row r="1374" spans="1:9" x14ac:dyDescent="0.3">
      <c r="A1374" s="2" t="s">
        <v>1406</v>
      </c>
      <c r="B1374" s="3">
        <v>45855</v>
      </c>
      <c r="C1374" s="2" t="s">
        <v>36</v>
      </c>
      <c r="D1374" s="2" t="s">
        <v>11</v>
      </c>
      <c r="E1374" s="2" t="s">
        <v>37</v>
      </c>
      <c r="F1374" s="2" t="s">
        <v>23</v>
      </c>
      <c r="G1374" s="2" t="s">
        <v>14</v>
      </c>
      <c r="H1374" s="4">
        <v>227465</v>
      </c>
      <c r="I1374" s="4">
        <v>269600</v>
      </c>
    </row>
    <row r="1375" spans="1:9" x14ac:dyDescent="0.3">
      <c r="A1375" s="2" t="s">
        <v>1407</v>
      </c>
      <c r="B1375" s="3">
        <v>45855</v>
      </c>
      <c r="C1375" s="2" t="s">
        <v>21</v>
      </c>
      <c r="D1375" s="2" t="s">
        <v>11</v>
      </c>
      <c r="E1375" s="2" t="s">
        <v>22</v>
      </c>
      <c r="F1375" s="2" t="s">
        <v>39</v>
      </c>
      <c r="G1375" s="2" t="s">
        <v>19</v>
      </c>
      <c r="H1375" s="4">
        <v>57292</v>
      </c>
      <c r="I1375" s="4">
        <v>57400</v>
      </c>
    </row>
    <row r="1376" spans="1:9" x14ac:dyDescent="0.3">
      <c r="A1376" s="2" t="s">
        <v>1408</v>
      </c>
      <c r="B1376" s="3">
        <v>45855</v>
      </c>
      <c r="C1376" s="2" t="s">
        <v>21</v>
      </c>
      <c r="D1376" s="2" t="s">
        <v>11</v>
      </c>
      <c r="E1376" s="2" t="s">
        <v>22</v>
      </c>
      <c r="F1376" s="2" t="s">
        <v>33</v>
      </c>
      <c r="G1376" s="2" t="s">
        <v>19</v>
      </c>
      <c r="H1376" s="4">
        <v>13800</v>
      </c>
      <c r="I1376" s="4">
        <v>14100</v>
      </c>
    </row>
    <row r="1377" spans="1:9" x14ac:dyDescent="0.3">
      <c r="A1377" s="2" t="s">
        <v>1409</v>
      </c>
      <c r="B1377" s="3">
        <v>45855</v>
      </c>
      <c r="C1377" s="2" t="s">
        <v>25</v>
      </c>
      <c r="D1377" s="2" t="s">
        <v>11</v>
      </c>
      <c r="E1377" s="2" t="s">
        <v>22</v>
      </c>
      <c r="F1377" s="2" t="s">
        <v>46</v>
      </c>
      <c r="G1377" s="2" t="s">
        <v>19</v>
      </c>
      <c r="H1377" s="4">
        <v>50737</v>
      </c>
      <c r="I1377" s="4">
        <v>58000</v>
      </c>
    </row>
    <row r="1378" spans="1:9" x14ac:dyDescent="0.3">
      <c r="A1378" s="2" t="s">
        <v>1410</v>
      </c>
      <c r="B1378" s="3">
        <v>45856</v>
      </c>
      <c r="C1378" s="2" t="s">
        <v>62</v>
      </c>
      <c r="D1378" s="2" t="s">
        <v>11</v>
      </c>
      <c r="E1378" s="2" t="s">
        <v>22</v>
      </c>
      <c r="F1378" s="2" t="s">
        <v>56</v>
      </c>
      <c r="G1378" s="2" t="s">
        <v>19</v>
      </c>
      <c r="H1378" s="4">
        <v>23927</v>
      </c>
      <c r="I1378" s="4">
        <v>24400</v>
      </c>
    </row>
    <row r="1379" spans="1:9" x14ac:dyDescent="0.3">
      <c r="A1379" s="2" t="s">
        <v>1411</v>
      </c>
      <c r="B1379" s="3">
        <v>45856</v>
      </c>
      <c r="C1379" s="2" t="s">
        <v>62</v>
      </c>
      <c r="D1379" s="2" t="s">
        <v>11</v>
      </c>
      <c r="E1379" s="2" t="s">
        <v>22</v>
      </c>
      <c r="F1379" s="2" t="s">
        <v>59</v>
      </c>
      <c r="G1379" s="2" t="s">
        <v>14</v>
      </c>
      <c r="H1379" s="4">
        <v>208180</v>
      </c>
      <c r="I1379" s="4">
        <v>203200</v>
      </c>
    </row>
    <row r="1380" spans="1:9" x14ac:dyDescent="0.3">
      <c r="A1380" s="2" t="s">
        <v>1412</v>
      </c>
      <c r="B1380" s="3">
        <v>45856</v>
      </c>
      <c r="C1380" s="2" t="s">
        <v>16</v>
      </c>
      <c r="D1380" s="2" t="s">
        <v>11</v>
      </c>
      <c r="E1380" s="2" t="s">
        <v>17</v>
      </c>
      <c r="F1380" s="2" t="s">
        <v>33</v>
      </c>
      <c r="G1380" s="2" t="s">
        <v>19</v>
      </c>
      <c r="H1380" s="4">
        <v>89288</v>
      </c>
      <c r="I1380" s="4">
        <v>80000</v>
      </c>
    </row>
    <row r="1381" spans="1:9" x14ac:dyDescent="0.3">
      <c r="A1381" s="2" t="s">
        <v>1413</v>
      </c>
      <c r="B1381" s="3">
        <v>45856</v>
      </c>
      <c r="C1381" s="2" t="s">
        <v>36</v>
      </c>
      <c r="D1381" s="2" t="s">
        <v>11</v>
      </c>
      <c r="E1381" s="2" t="s">
        <v>37</v>
      </c>
      <c r="F1381" s="2" t="s">
        <v>59</v>
      </c>
      <c r="G1381" s="2" t="s">
        <v>14</v>
      </c>
      <c r="H1381" s="4">
        <v>148859</v>
      </c>
      <c r="I1381" s="4">
        <v>159200</v>
      </c>
    </row>
    <row r="1382" spans="1:9" x14ac:dyDescent="0.3">
      <c r="A1382" s="2" t="s">
        <v>1414</v>
      </c>
      <c r="B1382" s="3">
        <v>45856</v>
      </c>
      <c r="C1382" s="2" t="s">
        <v>21</v>
      </c>
      <c r="D1382" s="2" t="s">
        <v>11</v>
      </c>
      <c r="E1382" s="2" t="s">
        <v>22</v>
      </c>
      <c r="F1382" s="2" t="s">
        <v>42</v>
      </c>
      <c r="G1382" s="2" t="s">
        <v>19</v>
      </c>
      <c r="H1382" s="4">
        <v>110180</v>
      </c>
      <c r="I1382" s="4">
        <v>111700</v>
      </c>
    </row>
    <row r="1383" spans="1:9" x14ac:dyDescent="0.3">
      <c r="A1383" s="2" t="s">
        <v>1415</v>
      </c>
      <c r="B1383" s="3">
        <v>45856</v>
      </c>
      <c r="C1383" s="2" t="s">
        <v>21</v>
      </c>
      <c r="D1383" s="2" t="s">
        <v>11</v>
      </c>
      <c r="E1383" s="2" t="s">
        <v>22</v>
      </c>
      <c r="F1383" s="2" t="s">
        <v>12</v>
      </c>
      <c r="G1383" s="2" t="s">
        <v>14</v>
      </c>
      <c r="H1383" s="4">
        <v>26960</v>
      </c>
      <c r="I1383" s="4">
        <v>25900</v>
      </c>
    </row>
    <row r="1384" spans="1:9" x14ac:dyDescent="0.3">
      <c r="A1384" s="2" t="s">
        <v>1416</v>
      </c>
      <c r="B1384" s="3">
        <v>45856</v>
      </c>
      <c r="C1384" s="2" t="s">
        <v>21</v>
      </c>
      <c r="D1384" s="2" t="s">
        <v>11</v>
      </c>
      <c r="E1384" s="2" t="s">
        <v>22</v>
      </c>
      <c r="F1384" s="2" t="s">
        <v>23</v>
      </c>
      <c r="G1384" s="2" t="s">
        <v>14</v>
      </c>
      <c r="H1384" s="4">
        <v>32948</v>
      </c>
      <c r="I1384" s="4">
        <v>35100</v>
      </c>
    </row>
    <row r="1385" spans="1:9" x14ac:dyDescent="0.3">
      <c r="A1385" s="2" t="s">
        <v>1417</v>
      </c>
      <c r="B1385" s="3">
        <v>45856</v>
      </c>
      <c r="C1385" s="2" t="s">
        <v>25</v>
      </c>
      <c r="D1385" s="2" t="s">
        <v>11</v>
      </c>
      <c r="E1385" s="2" t="s">
        <v>22</v>
      </c>
      <c r="F1385" s="2" t="s">
        <v>46</v>
      </c>
      <c r="G1385" s="2" t="s">
        <v>19</v>
      </c>
      <c r="H1385" s="4">
        <v>107495</v>
      </c>
      <c r="I1385" s="4">
        <v>104300</v>
      </c>
    </row>
    <row r="1386" spans="1:9" x14ac:dyDescent="0.3">
      <c r="A1386" s="2" t="s">
        <v>1418</v>
      </c>
      <c r="B1386" s="3">
        <v>45856</v>
      </c>
      <c r="C1386" s="2" t="s">
        <v>25</v>
      </c>
      <c r="D1386" s="2" t="s">
        <v>11</v>
      </c>
      <c r="E1386" s="2" t="s">
        <v>22</v>
      </c>
      <c r="F1386" s="2" t="s">
        <v>37</v>
      </c>
      <c r="G1386" s="2" t="s">
        <v>14</v>
      </c>
      <c r="H1386" s="4">
        <v>165645</v>
      </c>
      <c r="I1386" s="4">
        <v>157900</v>
      </c>
    </row>
    <row r="1387" spans="1:9" x14ac:dyDescent="0.3">
      <c r="A1387" s="2" t="s">
        <v>1419</v>
      </c>
      <c r="B1387" s="3">
        <v>45856</v>
      </c>
      <c r="C1387" s="2" t="s">
        <v>31</v>
      </c>
      <c r="D1387" s="2" t="s">
        <v>11</v>
      </c>
      <c r="E1387" s="2" t="s">
        <v>17</v>
      </c>
      <c r="F1387" s="2" t="s">
        <v>12</v>
      </c>
      <c r="G1387" s="2" t="s">
        <v>14</v>
      </c>
      <c r="H1387" s="4">
        <v>175936</v>
      </c>
      <c r="I1387" s="4">
        <v>197300</v>
      </c>
    </row>
    <row r="1388" spans="1:9" x14ac:dyDescent="0.3">
      <c r="A1388" s="2" t="s">
        <v>1420</v>
      </c>
      <c r="B1388" s="3">
        <v>45856</v>
      </c>
      <c r="C1388" s="2" t="s">
        <v>55</v>
      </c>
      <c r="D1388" s="2" t="s">
        <v>11</v>
      </c>
      <c r="E1388" s="2" t="s">
        <v>37</v>
      </c>
      <c r="F1388" s="2" t="s">
        <v>13</v>
      </c>
      <c r="G1388" s="2" t="s">
        <v>14</v>
      </c>
      <c r="H1388" s="4">
        <v>26679</v>
      </c>
      <c r="I1388" s="4">
        <v>26300</v>
      </c>
    </row>
    <row r="1389" spans="1:9" x14ac:dyDescent="0.3">
      <c r="A1389" s="2" t="s">
        <v>1421</v>
      </c>
      <c r="B1389" s="3">
        <v>45857</v>
      </c>
      <c r="C1389" s="2" t="s">
        <v>62</v>
      </c>
      <c r="D1389" s="2" t="s">
        <v>11</v>
      </c>
      <c r="E1389" s="2" t="s">
        <v>22</v>
      </c>
      <c r="F1389" s="2" t="s">
        <v>26</v>
      </c>
      <c r="G1389" s="2" t="s">
        <v>14</v>
      </c>
      <c r="H1389" s="4">
        <v>109744</v>
      </c>
      <c r="I1389" s="4">
        <v>114700</v>
      </c>
    </row>
    <row r="1390" spans="1:9" x14ac:dyDescent="0.3">
      <c r="A1390" s="2" t="s">
        <v>1422</v>
      </c>
      <c r="B1390" s="3">
        <v>45857</v>
      </c>
      <c r="C1390" s="2" t="s">
        <v>25</v>
      </c>
      <c r="D1390" s="2" t="s">
        <v>11</v>
      </c>
      <c r="E1390" s="2" t="s">
        <v>22</v>
      </c>
      <c r="F1390" s="2" t="s">
        <v>12</v>
      </c>
      <c r="G1390" s="2" t="s">
        <v>14</v>
      </c>
      <c r="H1390" s="4">
        <v>106145</v>
      </c>
      <c r="I1390" s="4">
        <v>75000</v>
      </c>
    </row>
    <row r="1391" spans="1:9" x14ac:dyDescent="0.3">
      <c r="A1391" s="2" t="s">
        <v>1423</v>
      </c>
      <c r="B1391" s="3">
        <v>45857</v>
      </c>
      <c r="C1391" s="2" t="s">
        <v>31</v>
      </c>
      <c r="D1391" s="2" t="s">
        <v>11</v>
      </c>
      <c r="E1391" s="2" t="s">
        <v>17</v>
      </c>
      <c r="F1391" s="2" t="s">
        <v>59</v>
      </c>
      <c r="G1391" s="2" t="s">
        <v>14</v>
      </c>
      <c r="H1391" s="4">
        <v>129110</v>
      </c>
      <c r="I1391" s="4">
        <v>119600</v>
      </c>
    </row>
    <row r="1392" spans="1:9" x14ac:dyDescent="0.3">
      <c r="A1392" s="2" t="s">
        <v>1424</v>
      </c>
      <c r="B1392" s="3">
        <v>45857</v>
      </c>
      <c r="C1392" s="2" t="s">
        <v>55</v>
      </c>
      <c r="D1392" s="2" t="s">
        <v>11</v>
      </c>
      <c r="E1392" s="2" t="s">
        <v>37</v>
      </c>
      <c r="F1392" s="2" t="s">
        <v>46</v>
      </c>
      <c r="G1392" s="2" t="s">
        <v>19</v>
      </c>
      <c r="H1392" s="4">
        <v>15357</v>
      </c>
      <c r="I1392" s="4">
        <v>14900</v>
      </c>
    </row>
    <row r="1393" spans="1:9" x14ac:dyDescent="0.3">
      <c r="A1393" s="2" t="s">
        <v>1425</v>
      </c>
      <c r="B1393" s="3">
        <v>45857</v>
      </c>
      <c r="C1393" s="2" t="s">
        <v>55</v>
      </c>
      <c r="D1393" s="2" t="s">
        <v>11</v>
      </c>
      <c r="E1393" s="2" t="s">
        <v>37</v>
      </c>
      <c r="F1393" s="2" t="s">
        <v>37</v>
      </c>
      <c r="G1393" s="2" t="s">
        <v>14</v>
      </c>
      <c r="H1393" s="4">
        <v>192532</v>
      </c>
      <c r="I1393" s="4">
        <v>201700</v>
      </c>
    </row>
    <row r="1394" spans="1:9" x14ac:dyDescent="0.3">
      <c r="A1394" s="2" t="s">
        <v>1426</v>
      </c>
      <c r="B1394" s="3">
        <v>45858</v>
      </c>
      <c r="C1394" s="2" t="s">
        <v>62</v>
      </c>
      <c r="D1394" s="2" t="s">
        <v>11</v>
      </c>
      <c r="E1394" s="2" t="s">
        <v>22</v>
      </c>
      <c r="F1394" s="2" t="s">
        <v>23</v>
      </c>
      <c r="G1394" s="2" t="s">
        <v>14</v>
      </c>
      <c r="H1394" s="4">
        <v>106599</v>
      </c>
      <c r="I1394" s="4">
        <v>109500</v>
      </c>
    </row>
    <row r="1395" spans="1:9" x14ac:dyDescent="0.3">
      <c r="A1395" s="2" t="s">
        <v>1427</v>
      </c>
      <c r="B1395" s="3">
        <v>45858</v>
      </c>
      <c r="C1395" s="2" t="s">
        <v>62</v>
      </c>
      <c r="D1395" s="2" t="s">
        <v>11</v>
      </c>
      <c r="E1395" s="2" t="s">
        <v>22</v>
      </c>
      <c r="F1395" s="2" t="s">
        <v>23</v>
      </c>
      <c r="G1395" s="2" t="s">
        <v>14</v>
      </c>
      <c r="H1395" s="4">
        <v>219392</v>
      </c>
      <c r="I1395" s="4">
        <v>188900</v>
      </c>
    </row>
    <row r="1396" spans="1:9" x14ac:dyDescent="0.3">
      <c r="A1396" s="2" t="s">
        <v>1428</v>
      </c>
      <c r="B1396" s="3">
        <v>45858</v>
      </c>
      <c r="C1396" s="2" t="s">
        <v>21</v>
      </c>
      <c r="D1396" s="2" t="s">
        <v>11</v>
      </c>
      <c r="E1396" s="2" t="s">
        <v>22</v>
      </c>
      <c r="F1396" s="2" t="s">
        <v>42</v>
      </c>
      <c r="G1396" s="2" t="s">
        <v>19</v>
      </c>
      <c r="H1396" s="4">
        <v>18458</v>
      </c>
      <c r="I1396" s="4">
        <v>18100</v>
      </c>
    </row>
    <row r="1397" spans="1:9" x14ac:dyDescent="0.3">
      <c r="A1397" s="2" t="s">
        <v>1429</v>
      </c>
      <c r="B1397" s="3">
        <v>45858</v>
      </c>
      <c r="C1397" s="2" t="s">
        <v>25</v>
      </c>
      <c r="D1397" s="2" t="s">
        <v>11</v>
      </c>
      <c r="E1397" s="2" t="s">
        <v>22</v>
      </c>
      <c r="F1397" s="2" t="s">
        <v>56</v>
      </c>
      <c r="G1397" s="2" t="s">
        <v>19</v>
      </c>
      <c r="H1397" s="4">
        <v>114292</v>
      </c>
      <c r="I1397" s="4">
        <v>110100</v>
      </c>
    </row>
    <row r="1398" spans="1:9" x14ac:dyDescent="0.3">
      <c r="A1398" s="2" t="s">
        <v>1430</v>
      </c>
      <c r="B1398" s="3">
        <v>45858</v>
      </c>
      <c r="C1398" s="2" t="s">
        <v>25</v>
      </c>
      <c r="D1398" s="2" t="s">
        <v>11</v>
      </c>
      <c r="E1398" s="2" t="s">
        <v>22</v>
      </c>
      <c r="F1398" s="2" t="s">
        <v>59</v>
      </c>
      <c r="G1398" s="2" t="s">
        <v>14</v>
      </c>
      <c r="H1398" s="4">
        <v>99118</v>
      </c>
      <c r="I1398" s="4">
        <v>87500</v>
      </c>
    </row>
    <row r="1399" spans="1:9" x14ac:dyDescent="0.3">
      <c r="A1399" s="2" t="s">
        <v>1431</v>
      </c>
      <c r="B1399" s="3">
        <v>45858</v>
      </c>
      <c r="C1399" s="2" t="s">
        <v>31</v>
      </c>
      <c r="D1399" s="2" t="s">
        <v>11</v>
      </c>
      <c r="E1399" s="2" t="s">
        <v>17</v>
      </c>
      <c r="F1399" s="2" t="s">
        <v>42</v>
      </c>
      <c r="G1399" s="2" t="s">
        <v>19</v>
      </c>
      <c r="H1399" s="4">
        <v>46181</v>
      </c>
      <c r="I1399" s="4">
        <v>48300</v>
      </c>
    </row>
    <row r="1400" spans="1:9" x14ac:dyDescent="0.3">
      <c r="A1400" s="2" t="s">
        <v>1432</v>
      </c>
      <c r="B1400" s="3">
        <v>45858</v>
      </c>
      <c r="C1400" s="2" t="s">
        <v>31</v>
      </c>
      <c r="D1400" s="2" t="s">
        <v>11</v>
      </c>
      <c r="E1400" s="2" t="s">
        <v>17</v>
      </c>
      <c r="F1400" s="2" t="s">
        <v>59</v>
      </c>
      <c r="G1400" s="2" t="s">
        <v>14</v>
      </c>
      <c r="H1400" s="4">
        <v>222132</v>
      </c>
      <c r="I1400" s="4">
        <v>198200</v>
      </c>
    </row>
    <row r="1401" spans="1:9" x14ac:dyDescent="0.3">
      <c r="A1401" s="2" t="s">
        <v>1433</v>
      </c>
      <c r="B1401" s="3">
        <v>45858</v>
      </c>
      <c r="C1401" s="2" t="s">
        <v>55</v>
      </c>
      <c r="D1401" s="2" t="s">
        <v>11</v>
      </c>
      <c r="E1401" s="2" t="s">
        <v>37</v>
      </c>
      <c r="F1401" s="2" t="s">
        <v>46</v>
      </c>
      <c r="G1401" s="2" t="s">
        <v>19</v>
      </c>
      <c r="H1401" s="4">
        <v>64528</v>
      </c>
      <c r="I1401" s="4">
        <v>62100</v>
      </c>
    </row>
    <row r="1402" spans="1:9" x14ac:dyDescent="0.3">
      <c r="A1402" s="2" t="s">
        <v>1434</v>
      </c>
      <c r="B1402" s="3">
        <v>45858</v>
      </c>
      <c r="C1402" s="2" t="s">
        <v>55</v>
      </c>
      <c r="D1402" s="2" t="s">
        <v>11</v>
      </c>
      <c r="E1402" s="2" t="s">
        <v>37</v>
      </c>
      <c r="F1402" s="2" t="s">
        <v>39</v>
      </c>
      <c r="G1402" s="2" t="s">
        <v>19</v>
      </c>
      <c r="H1402" s="4">
        <v>117123</v>
      </c>
      <c r="I1402" s="4">
        <v>117900</v>
      </c>
    </row>
    <row r="1403" spans="1:9" x14ac:dyDescent="0.3">
      <c r="A1403" s="2" t="s">
        <v>1435</v>
      </c>
      <c r="B1403" s="3">
        <v>45859</v>
      </c>
      <c r="C1403" s="2" t="s">
        <v>62</v>
      </c>
      <c r="D1403" s="2" t="s">
        <v>11</v>
      </c>
      <c r="E1403" s="2" t="s">
        <v>22</v>
      </c>
      <c r="F1403" s="2" t="s">
        <v>56</v>
      </c>
      <c r="G1403" s="2" t="s">
        <v>19</v>
      </c>
      <c r="H1403" s="4">
        <v>42566</v>
      </c>
      <c r="I1403" s="4">
        <v>41900</v>
      </c>
    </row>
    <row r="1404" spans="1:9" x14ac:dyDescent="0.3">
      <c r="A1404" s="2" t="s">
        <v>1436</v>
      </c>
      <c r="B1404" s="3">
        <v>45859</v>
      </c>
      <c r="C1404" s="2" t="s">
        <v>10</v>
      </c>
      <c r="D1404" s="2" t="s">
        <v>11</v>
      </c>
      <c r="E1404" s="2" t="s">
        <v>12</v>
      </c>
      <c r="F1404" s="2" t="s">
        <v>23</v>
      </c>
      <c r="G1404" s="2" t="s">
        <v>14</v>
      </c>
      <c r="H1404" s="4">
        <v>40909</v>
      </c>
      <c r="I1404" s="4">
        <v>39500</v>
      </c>
    </row>
    <row r="1405" spans="1:9" x14ac:dyDescent="0.3">
      <c r="A1405" s="2" t="s">
        <v>1437</v>
      </c>
      <c r="B1405" s="3">
        <v>45859</v>
      </c>
      <c r="C1405" s="2" t="s">
        <v>36</v>
      </c>
      <c r="D1405" s="2" t="s">
        <v>11</v>
      </c>
      <c r="E1405" s="2" t="s">
        <v>37</v>
      </c>
      <c r="F1405" s="2" t="s">
        <v>59</v>
      </c>
      <c r="G1405" s="2" t="s">
        <v>14</v>
      </c>
      <c r="H1405" s="4">
        <v>56137</v>
      </c>
      <c r="I1405" s="4">
        <v>46800</v>
      </c>
    </row>
    <row r="1406" spans="1:9" x14ac:dyDescent="0.3">
      <c r="A1406" s="2" t="s">
        <v>1438</v>
      </c>
      <c r="B1406" s="3">
        <v>45859</v>
      </c>
      <c r="C1406" s="2" t="s">
        <v>25</v>
      </c>
      <c r="D1406" s="2" t="s">
        <v>11</v>
      </c>
      <c r="E1406" s="2" t="s">
        <v>22</v>
      </c>
      <c r="F1406" s="2" t="s">
        <v>56</v>
      </c>
      <c r="G1406" s="2" t="s">
        <v>19</v>
      </c>
      <c r="H1406" s="4">
        <v>56983</v>
      </c>
      <c r="I1406" s="4">
        <v>54900</v>
      </c>
    </row>
    <row r="1407" spans="1:9" x14ac:dyDescent="0.3">
      <c r="A1407" s="2" t="s">
        <v>1439</v>
      </c>
      <c r="B1407" s="3">
        <v>45859</v>
      </c>
      <c r="C1407" s="2" t="s">
        <v>25</v>
      </c>
      <c r="D1407" s="2" t="s">
        <v>11</v>
      </c>
      <c r="E1407" s="2" t="s">
        <v>22</v>
      </c>
      <c r="F1407" s="2" t="s">
        <v>56</v>
      </c>
      <c r="G1407" s="2" t="s">
        <v>19</v>
      </c>
      <c r="H1407" s="4">
        <v>82162</v>
      </c>
      <c r="I1407" s="4">
        <v>77500</v>
      </c>
    </row>
    <row r="1408" spans="1:9" x14ac:dyDescent="0.3">
      <c r="A1408" s="2" t="s">
        <v>1440</v>
      </c>
      <c r="B1408" s="3">
        <v>45860</v>
      </c>
      <c r="C1408" s="2" t="s">
        <v>62</v>
      </c>
      <c r="D1408" s="2" t="s">
        <v>11</v>
      </c>
      <c r="E1408" s="2" t="s">
        <v>22</v>
      </c>
      <c r="F1408" s="2" t="s">
        <v>13</v>
      </c>
      <c r="G1408" s="2" t="s">
        <v>14</v>
      </c>
      <c r="H1408" s="4">
        <v>121189</v>
      </c>
      <c r="I1408" s="4">
        <v>116300</v>
      </c>
    </row>
    <row r="1409" spans="1:9" x14ac:dyDescent="0.3">
      <c r="A1409" s="2" t="s">
        <v>1441</v>
      </c>
      <c r="B1409" s="3">
        <v>45860</v>
      </c>
      <c r="C1409" s="2" t="s">
        <v>10</v>
      </c>
      <c r="D1409" s="2" t="s">
        <v>11</v>
      </c>
      <c r="E1409" s="2" t="s">
        <v>12</v>
      </c>
      <c r="F1409" s="2" t="s">
        <v>26</v>
      </c>
      <c r="G1409" s="2" t="s">
        <v>14</v>
      </c>
      <c r="H1409" s="4">
        <v>165567</v>
      </c>
      <c r="I1409" s="4">
        <v>177300</v>
      </c>
    </row>
    <row r="1410" spans="1:9" x14ac:dyDescent="0.3">
      <c r="A1410" s="2" t="s">
        <v>1442</v>
      </c>
      <c r="B1410" s="3">
        <v>45860</v>
      </c>
      <c r="C1410" s="2" t="s">
        <v>16</v>
      </c>
      <c r="D1410" s="2" t="s">
        <v>11</v>
      </c>
      <c r="E1410" s="2" t="s">
        <v>17</v>
      </c>
      <c r="F1410" s="2" t="s">
        <v>12</v>
      </c>
      <c r="G1410" s="2" t="s">
        <v>14</v>
      </c>
      <c r="H1410" s="4">
        <v>50643</v>
      </c>
      <c r="I1410" s="4">
        <v>51200</v>
      </c>
    </row>
    <row r="1411" spans="1:9" x14ac:dyDescent="0.3">
      <c r="A1411" s="2" t="s">
        <v>1443</v>
      </c>
      <c r="B1411" s="3">
        <v>45860</v>
      </c>
      <c r="C1411" s="2" t="s">
        <v>16</v>
      </c>
      <c r="D1411" s="2" t="s">
        <v>11</v>
      </c>
      <c r="E1411" s="2" t="s">
        <v>17</v>
      </c>
      <c r="F1411" s="2" t="s">
        <v>13</v>
      </c>
      <c r="G1411" s="2" t="s">
        <v>14</v>
      </c>
      <c r="H1411" s="4">
        <v>173849</v>
      </c>
      <c r="I1411" s="4">
        <v>186000</v>
      </c>
    </row>
    <row r="1412" spans="1:9" x14ac:dyDescent="0.3">
      <c r="A1412" s="2" t="s">
        <v>1444</v>
      </c>
      <c r="B1412" s="3">
        <v>45860</v>
      </c>
      <c r="C1412" s="2" t="s">
        <v>21</v>
      </c>
      <c r="D1412" s="2" t="s">
        <v>11</v>
      </c>
      <c r="E1412" s="2" t="s">
        <v>22</v>
      </c>
      <c r="F1412" s="2" t="s">
        <v>18</v>
      </c>
      <c r="G1412" s="2" t="s">
        <v>19</v>
      </c>
      <c r="H1412" s="4">
        <v>48114</v>
      </c>
      <c r="I1412" s="4">
        <v>40800</v>
      </c>
    </row>
    <row r="1413" spans="1:9" x14ac:dyDescent="0.3">
      <c r="A1413" s="2" t="s">
        <v>1445</v>
      </c>
      <c r="B1413" s="3">
        <v>45860</v>
      </c>
      <c r="C1413" s="2" t="s">
        <v>55</v>
      </c>
      <c r="D1413" s="2" t="s">
        <v>11</v>
      </c>
      <c r="E1413" s="2" t="s">
        <v>37</v>
      </c>
      <c r="F1413" s="2" t="s">
        <v>46</v>
      </c>
      <c r="G1413" s="2" t="s">
        <v>19</v>
      </c>
      <c r="H1413" s="4">
        <v>84873</v>
      </c>
      <c r="I1413" s="4">
        <v>86900</v>
      </c>
    </row>
    <row r="1414" spans="1:9" x14ac:dyDescent="0.3">
      <c r="A1414" s="2" t="s">
        <v>1446</v>
      </c>
      <c r="B1414" s="3">
        <v>45861</v>
      </c>
      <c r="C1414" s="2" t="s">
        <v>16</v>
      </c>
      <c r="D1414" s="2" t="s">
        <v>11</v>
      </c>
      <c r="E1414" s="2" t="s">
        <v>17</v>
      </c>
      <c r="F1414" s="2" t="s">
        <v>33</v>
      </c>
      <c r="G1414" s="2" t="s">
        <v>19</v>
      </c>
      <c r="H1414" s="4">
        <v>114592</v>
      </c>
      <c r="I1414" s="4">
        <v>108800</v>
      </c>
    </row>
    <row r="1415" spans="1:9" x14ac:dyDescent="0.3">
      <c r="A1415" s="2" t="s">
        <v>1447</v>
      </c>
      <c r="B1415" s="3">
        <v>45861</v>
      </c>
      <c r="C1415" s="2" t="s">
        <v>16</v>
      </c>
      <c r="D1415" s="2" t="s">
        <v>11</v>
      </c>
      <c r="E1415" s="2" t="s">
        <v>17</v>
      </c>
      <c r="F1415" s="2" t="s">
        <v>23</v>
      </c>
      <c r="G1415" s="2" t="s">
        <v>14</v>
      </c>
      <c r="H1415" s="4">
        <v>101285</v>
      </c>
      <c r="I1415" s="4">
        <v>100500</v>
      </c>
    </row>
    <row r="1416" spans="1:9" x14ac:dyDescent="0.3">
      <c r="A1416" s="2" t="s">
        <v>1448</v>
      </c>
      <c r="B1416" s="3">
        <v>45861</v>
      </c>
      <c r="C1416" s="2" t="s">
        <v>21</v>
      </c>
      <c r="D1416" s="2" t="s">
        <v>11</v>
      </c>
      <c r="E1416" s="2" t="s">
        <v>22</v>
      </c>
      <c r="F1416" s="2" t="s">
        <v>37</v>
      </c>
      <c r="G1416" s="2" t="s">
        <v>14</v>
      </c>
      <c r="H1416" s="4">
        <v>66027</v>
      </c>
      <c r="I1416" s="4">
        <v>65600</v>
      </c>
    </row>
    <row r="1417" spans="1:9" x14ac:dyDescent="0.3">
      <c r="A1417" s="2" t="s">
        <v>1449</v>
      </c>
      <c r="B1417" s="3">
        <v>45861</v>
      </c>
      <c r="C1417" s="2" t="s">
        <v>21</v>
      </c>
      <c r="D1417" s="2" t="s">
        <v>11</v>
      </c>
      <c r="E1417" s="2" t="s">
        <v>22</v>
      </c>
      <c r="F1417" s="2" t="s">
        <v>37</v>
      </c>
      <c r="G1417" s="2" t="s">
        <v>14</v>
      </c>
      <c r="H1417" s="4">
        <v>95343</v>
      </c>
      <c r="I1417" s="4">
        <v>89700</v>
      </c>
    </row>
    <row r="1418" spans="1:9" x14ac:dyDescent="0.3">
      <c r="A1418" s="2" t="s">
        <v>1450</v>
      </c>
      <c r="B1418" s="3">
        <v>45861</v>
      </c>
      <c r="C1418" s="2" t="s">
        <v>25</v>
      </c>
      <c r="D1418" s="2" t="s">
        <v>11</v>
      </c>
      <c r="E1418" s="2" t="s">
        <v>22</v>
      </c>
      <c r="F1418" s="2" t="s">
        <v>42</v>
      </c>
      <c r="G1418" s="2" t="s">
        <v>19</v>
      </c>
      <c r="H1418" s="4">
        <v>46386</v>
      </c>
      <c r="I1418" s="4">
        <v>47400</v>
      </c>
    </row>
    <row r="1419" spans="1:9" x14ac:dyDescent="0.3">
      <c r="A1419" s="2" t="s">
        <v>1451</v>
      </c>
      <c r="B1419" s="3">
        <v>45861</v>
      </c>
      <c r="C1419" s="2" t="s">
        <v>25</v>
      </c>
      <c r="D1419" s="2" t="s">
        <v>11</v>
      </c>
      <c r="E1419" s="2" t="s">
        <v>22</v>
      </c>
      <c r="F1419" s="2" t="s">
        <v>18</v>
      </c>
      <c r="G1419" s="2" t="s">
        <v>19</v>
      </c>
      <c r="H1419" s="4">
        <v>31901</v>
      </c>
      <c r="I1419" s="4">
        <v>31400</v>
      </c>
    </row>
    <row r="1420" spans="1:9" x14ac:dyDescent="0.3">
      <c r="A1420" s="2" t="s">
        <v>1452</v>
      </c>
      <c r="B1420" s="3">
        <v>45861</v>
      </c>
      <c r="C1420" s="2" t="s">
        <v>25</v>
      </c>
      <c r="D1420" s="2" t="s">
        <v>11</v>
      </c>
      <c r="E1420" s="2" t="s">
        <v>22</v>
      </c>
      <c r="F1420" s="2" t="s">
        <v>18</v>
      </c>
      <c r="G1420" s="2" t="s">
        <v>19</v>
      </c>
      <c r="H1420" s="4">
        <v>30114</v>
      </c>
      <c r="I1420" s="4">
        <v>25700</v>
      </c>
    </row>
    <row r="1421" spans="1:9" x14ac:dyDescent="0.3">
      <c r="A1421" s="2" t="s">
        <v>1453</v>
      </c>
      <c r="B1421" s="3">
        <v>45861</v>
      </c>
      <c r="C1421" s="2" t="s">
        <v>31</v>
      </c>
      <c r="D1421" s="2" t="s">
        <v>11</v>
      </c>
      <c r="E1421" s="2" t="s">
        <v>17</v>
      </c>
      <c r="F1421" s="2" t="s">
        <v>18</v>
      </c>
      <c r="G1421" s="2" t="s">
        <v>19</v>
      </c>
      <c r="H1421" s="4">
        <v>59281</v>
      </c>
      <c r="I1421" s="4">
        <v>60400</v>
      </c>
    </row>
    <row r="1422" spans="1:9" x14ac:dyDescent="0.3">
      <c r="A1422" s="2" t="s">
        <v>1454</v>
      </c>
      <c r="B1422" s="3">
        <v>45861</v>
      </c>
      <c r="C1422" s="2" t="s">
        <v>55</v>
      </c>
      <c r="D1422" s="2" t="s">
        <v>11</v>
      </c>
      <c r="E1422" s="2" t="s">
        <v>37</v>
      </c>
      <c r="F1422" s="2" t="s">
        <v>33</v>
      </c>
      <c r="G1422" s="2" t="s">
        <v>19</v>
      </c>
      <c r="H1422" s="4">
        <v>14716</v>
      </c>
      <c r="I1422" s="4">
        <v>14900</v>
      </c>
    </row>
    <row r="1423" spans="1:9" x14ac:dyDescent="0.3">
      <c r="A1423" s="2" t="s">
        <v>1455</v>
      </c>
      <c r="B1423" s="3">
        <v>45862</v>
      </c>
      <c r="C1423" s="2" t="s">
        <v>62</v>
      </c>
      <c r="D1423" s="2" t="s">
        <v>11</v>
      </c>
      <c r="E1423" s="2" t="s">
        <v>22</v>
      </c>
      <c r="F1423" s="2" t="s">
        <v>39</v>
      </c>
      <c r="G1423" s="2" t="s">
        <v>19</v>
      </c>
      <c r="H1423" s="4">
        <v>17323</v>
      </c>
      <c r="I1423" s="4">
        <v>15400</v>
      </c>
    </row>
    <row r="1424" spans="1:9" x14ac:dyDescent="0.3">
      <c r="A1424" s="2" t="s">
        <v>1456</v>
      </c>
      <c r="B1424" s="3">
        <v>45862</v>
      </c>
      <c r="C1424" s="2" t="s">
        <v>21</v>
      </c>
      <c r="D1424" s="2" t="s">
        <v>11</v>
      </c>
      <c r="E1424" s="2" t="s">
        <v>22</v>
      </c>
      <c r="F1424" s="2" t="s">
        <v>13</v>
      </c>
      <c r="G1424" s="2" t="s">
        <v>14</v>
      </c>
      <c r="H1424" s="4">
        <v>238233</v>
      </c>
      <c r="I1424" s="4">
        <v>263100</v>
      </c>
    </row>
    <row r="1425" spans="1:9" x14ac:dyDescent="0.3">
      <c r="A1425" s="2" t="s">
        <v>1457</v>
      </c>
      <c r="B1425" s="3">
        <v>45862</v>
      </c>
      <c r="C1425" s="2" t="s">
        <v>25</v>
      </c>
      <c r="D1425" s="2" t="s">
        <v>11</v>
      </c>
      <c r="E1425" s="2" t="s">
        <v>22</v>
      </c>
      <c r="F1425" s="2" t="s">
        <v>37</v>
      </c>
      <c r="G1425" s="2" t="s">
        <v>14</v>
      </c>
      <c r="H1425" s="4">
        <v>45460</v>
      </c>
      <c r="I1425" s="4">
        <v>42500</v>
      </c>
    </row>
    <row r="1426" spans="1:9" x14ac:dyDescent="0.3">
      <c r="A1426" s="2" t="s">
        <v>1458</v>
      </c>
      <c r="B1426" s="3">
        <v>45862</v>
      </c>
      <c r="C1426" s="2" t="s">
        <v>31</v>
      </c>
      <c r="D1426" s="2" t="s">
        <v>11</v>
      </c>
      <c r="E1426" s="2" t="s">
        <v>17</v>
      </c>
      <c r="F1426" s="2" t="s">
        <v>13</v>
      </c>
      <c r="G1426" s="2" t="s">
        <v>14</v>
      </c>
      <c r="H1426" s="4">
        <v>32110</v>
      </c>
      <c r="I1426" s="4">
        <v>28200</v>
      </c>
    </row>
    <row r="1427" spans="1:9" x14ac:dyDescent="0.3">
      <c r="A1427" s="2" t="s">
        <v>1459</v>
      </c>
      <c r="B1427" s="3">
        <v>45862</v>
      </c>
      <c r="C1427" s="2" t="s">
        <v>55</v>
      </c>
      <c r="D1427" s="2" t="s">
        <v>11</v>
      </c>
      <c r="E1427" s="2" t="s">
        <v>37</v>
      </c>
      <c r="F1427" s="2" t="s">
        <v>56</v>
      </c>
      <c r="G1427" s="2" t="s">
        <v>19</v>
      </c>
      <c r="H1427" s="4">
        <v>84864</v>
      </c>
      <c r="I1427" s="4">
        <v>100100</v>
      </c>
    </row>
    <row r="1428" spans="1:9" x14ac:dyDescent="0.3">
      <c r="A1428" s="2" t="s">
        <v>1460</v>
      </c>
      <c r="B1428" s="3">
        <v>45862</v>
      </c>
      <c r="C1428" s="2" t="s">
        <v>55</v>
      </c>
      <c r="D1428" s="2" t="s">
        <v>11</v>
      </c>
      <c r="E1428" s="2" t="s">
        <v>37</v>
      </c>
      <c r="F1428" s="2" t="s">
        <v>37</v>
      </c>
      <c r="G1428" s="2" t="s">
        <v>14</v>
      </c>
      <c r="H1428" s="4">
        <v>66472</v>
      </c>
      <c r="I1428" s="4">
        <v>66600</v>
      </c>
    </row>
    <row r="1429" spans="1:9" x14ac:dyDescent="0.3">
      <c r="A1429" s="2" t="s">
        <v>1461</v>
      </c>
      <c r="B1429" s="3">
        <v>45863</v>
      </c>
      <c r="C1429" s="2" t="s">
        <v>10</v>
      </c>
      <c r="D1429" s="2" t="s">
        <v>11</v>
      </c>
      <c r="E1429" s="2" t="s">
        <v>12</v>
      </c>
      <c r="F1429" s="2" t="s">
        <v>46</v>
      </c>
      <c r="G1429" s="2" t="s">
        <v>19</v>
      </c>
      <c r="H1429" s="4">
        <v>51933</v>
      </c>
      <c r="I1429" s="4">
        <v>54100</v>
      </c>
    </row>
    <row r="1430" spans="1:9" x14ac:dyDescent="0.3">
      <c r="A1430" s="2" t="s">
        <v>1462</v>
      </c>
      <c r="B1430" s="3">
        <v>45863</v>
      </c>
      <c r="C1430" s="2" t="s">
        <v>10</v>
      </c>
      <c r="D1430" s="2" t="s">
        <v>11</v>
      </c>
      <c r="E1430" s="2" t="s">
        <v>12</v>
      </c>
      <c r="F1430" s="2" t="s">
        <v>33</v>
      </c>
      <c r="G1430" s="2" t="s">
        <v>19</v>
      </c>
      <c r="H1430" s="4">
        <v>71470</v>
      </c>
      <c r="I1430" s="4">
        <v>74700</v>
      </c>
    </row>
    <row r="1431" spans="1:9" x14ac:dyDescent="0.3">
      <c r="A1431" s="2" t="s">
        <v>1463</v>
      </c>
      <c r="B1431" s="3">
        <v>45863</v>
      </c>
      <c r="C1431" s="2" t="s">
        <v>16</v>
      </c>
      <c r="D1431" s="2" t="s">
        <v>11</v>
      </c>
      <c r="E1431" s="2" t="s">
        <v>17</v>
      </c>
      <c r="F1431" s="2" t="s">
        <v>39</v>
      </c>
      <c r="G1431" s="2" t="s">
        <v>19</v>
      </c>
      <c r="H1431" s="4">
        <v>17994</v>
      </c>
      <c r="I1431" s="4">
        <v>14700</v>
      </c>
    </row>
    <row r="1432" spans="1:9" x14ac:dyDescent="0.3">
      <c r="A1432" s="2" t="s">
        <v>1464</v>
      </c>
      <c r="B1432" s="3">
        <v>45863</v>
      </c>
      <c r="C1432" s="2" t="s">
        <v>16</v>
      </c>
      <c r="D1432" s="2" t="s">
        <v>11</v>
      </c>
      <c r="E1432" s="2" t="s">
        <v>17</v>
      </c>
      <c r="F1432" s="2" t="s">
        <v>18</v>
      </c>
      <c r="G1432" s="2" t="s">
        <v>19</v>
      </c>
      <c r="H1432" s="4">
        <v>99556</v>
      </c>
      <c r="I1432" s="4">
        <v>97100</v>
      </c>
    </row>
    <row r="1433" spans="1:9" x14ac:dyDescent="0.3">
      <c r="A1433" s="2" t="s">
        <v>1465</v>
      </c>
      <c r="B1433" s="3">
        <v>45863</v>
      </c>
      <c r="C1433" s="2" t="s">
        <v>16</v>
      </c>
      <c r="D1433" s="2" t="s">
        <v>11</v>
      </c>
      <c r="E1433" s="2" t="s">
        <v>17</v>
      </c>
      <c r="F1433" s="2" t="s">
        <v>26</v>
      </c>
      <c r="G1433" s="2" t="s">
        <v>14</v>
      </c>
      <c r="H1433" s="4">
        <v>43454</v>
      </c>
      <c r="I1433" s="4">
        <v>42400</v>
      </c>
    </row>
    <row r="1434" spans="1:9" x14ac:dyDescent="0.3">
      <c r="A1434" s="2" t="s">
        <v>1466</v>
      </c>
      <c r="B1434" s="3">
        <v>45863</v>
      </c>
      <c r="C1434" s="2" t="s">
        <v>36</v>
      </c>
      <c r="D1434" s="2" t="s">
        <v>11</v>
      </c>
      <c r="E1434" s="2" t="s">
        <v>37</v>
      </c>
      <c r="F1434" s="2" t="s">
        <v>23</v>
      </c>
      <c r="G1434" s="2" t="s">
        <v>14</v>
      </c>
      <c r="H1434" s="4">
        <v>118366</v>
      </c>
      <c r="I1434" s="4">
        <v>103500</v>
      </c>
    </row>
    <row r="1435" spans="1:9" x14ac:dyDescent="0.3">
      <c r="A1435" s="2" t="s">
        <v>1467</v>
      </c>
      <c r="B1435" s="3">
        <v>45863</v>
      </c>
      <c r="C1435" s="2" t="s">
        <v>21</v>
      </c>
      <c r="D1435" s="2" t="s">
        <v>11</v>
      </c>
      <c r="E1435" s="2" t="s">
        <v>22</v>
      </c>
      <c r="F1435" s="2" t="s">
        <v>13</v>
      </c>
      <c r="G1435" s="2" t="s">
        <v>14</v>
      </c>
      <c r="H1435" s="4">
        <v>104154</v>
      </c>
      <c r="I1435" s="4">
        <v>97500</v>
      </c>
    </row>
    <row r="1436" spans="1:9" x14ac:dyDescent="0.3">
      <c r="A1436" s="2" t="s">
        <v>1468</v>
      </c>
      <c r="B1436" s="3">
        <v>45863</v>
      </c>
      <c r="C1436" s="2" t="s">
        <v>25</v>
      </c>
      <c r="D1436" s="2" t="s">
        <v>11</v>
      </c>
      <c r="E1436" s="2" t="s">
        <v>22</v>
      </c>
      <c r="F1436" s="2" t="s">
        <v>18</v>
      </c>
      <c r="G1436" s="2" t="s">
        <v>19</v>
      </c>
      <c r="H1436" s="4">
        <v>77444</v>
      </c>
      <c r="I1436" s="4">
        <v>76600</v>
      </c>
    </row>
    <row r="1437" spans="1:9" x14ac:dyDescent="0.3">
      <c r="A1437" s="2" t="s">
        <v>1469</v>
      </c>
      <c r="B1437" s="3">
        <v>45863</v>
      </c>
      <c r="C1437" s="2" t="s">
        <v>25</v>
      </c>
      <c r="D1437" s="2" t="s">
        <v>11</v>
      </c>
      <c r="E1437" s="2" t="s">
        <v>22</v>
      </c>
      <c r="F1437" s="2" t="s">
        <v>56</v>
      </c>
      <c r="G1437" s="2" t="s">
        <v>19</v>
      </c>
      <c r="H1437" s="4">
        <v>19560</v>
      </c>
      <c r="I1437" s="4">
        <v>16900</v>
      </c>
    </row>
    <row r="1438" spans="1:9" x14ac:dyDescent="0.3">
      <c r="A1438" s="2" t="s">
        <v>1470</v>
      </c>
      <c r="B1438" s="3">
        <v>45863</v>
      </c>
      <c r="C1438" s="2" t="s">
        <v>25</v>
      </c>
      <c r="D1438" s="2" t="s">
        <v>11</v>
      </c>
      <c r="E1438" s="2" t="s">
        <v>22</v>
      </c>
      <c r="F1438" s="2" t="s">
        <v>37</v>
      </c>
      <c r="G1438" s="2" t="s">
        <v>14</v>
      </c>
      <c r="H1438" s="4">
        <v>201404</v>
      </c>
      <c r="I1438" s="4">
        <v>171500</v>
      </c>
    </row>
    <row r="1439" spans="1:9" x14ac:dyDescent="0.3">
      <c r="A1439" s="2" t="s">
        <v>1471</v>
      </c>
      <c r="B1439" s="3">
        <v>45863</v>
      </c>
      <c r="C1439" s="2" t="s">
        <v>31</v>
      </c>
      <c r="D1439" s="2" t="s">
        <v>11</v>
      </c>
      <c r="E1439" s="2" t="s">
        <v>17</v>
      </c>
      <c r="F1439" s="2" t="s">
        <v>33</v>
      </c>
      <c r="G1439" s="2" t="s">
        <v>19</v>
      </c>
      <c r="H1439" s="4">
        <v>48645</v>
      </c>
      <c r="I1439" s="4">
        <v>44200</v>
      </c>
    </row>
    <row r="1440" spans="1:9" x14ac:dyDescent="0.3">
      <c r="A1440" s="2" t="s">
        <v>1472</v>
      </c>
      <c r="B1440" s="3">
        <v>45863</v>
      </c>
      <c r="C1440" s="2" t="s">
        <v>31</v>
      </c>
      <c r="D1440" s="2" t="s">
        <v>11</v>
      </c>
      <c r="E1440" s="2" t="s">
        <v>17</v>
      </c>
      <c r="F1440" s="2" t="s">
        <v>33</v>
      </c>
      <c r="G1440" s="2" t="s">
        <v>19</v>
      </c>
      <c r="H1440" s="4">
        <v>23838</v>
      </c>
      <c r="I1440" s="4">
        <v>24000</v>
      </c>
    </row>
    <row r="1441" spans="1:9" x14ac:dyDescent="0.3">
      <c r="A1441" s="2" t="s">
        <v>1473</v>
      </c>
      <c r="B1441" s="3">
        <v>45863</v>
      </c>
      <c r="C1441" s="2" t="s">
        <v>31</v>
      </c>
      <c r="D1441" s="2" t="s">
        <v>11</v>
      </c>
      <c r="E1441" s="2" t="s">
        <v>17</v>
      </c>
      <c r="F1441" s="2" t="s">
        <v>13</v>
      </c>
      <c r="G1441" s="2" t="s">
        <v>14</v>
      </c>
      <c r="H1441" s="4">
        <v>240544</v>
      </c>
      <c r="I1441" s="4">
        <v>206100</v>
      </c>
    </row>
    <row r="1442" spans="1:9" x14ac:dyDescent="0.3">
      <c r="A1442" s="2" t="s">
        <v>1474</v>
      </c>
      <c r="B1442" s="3">
        <v>45863</v>
      </c>
      <c r="C1442" s="2" t="s">
        <v>55</v>
      </c>
      <c r="D1442" s="2" t="s">
        <v>11</v>
      </c>
      <c r="E1442" s="2" t="s">
        <v>37</v>
      </c>
      <c r="F1442" s="2" t="s">
        <v>46</v>
      </c>
      <c r="G1442" s="2" t="s">
        <v>19</v>
      </c>
      <c r="H1442" s="4">
        <v>105088</v>
      </c>
      <c r="I1442" s="4">
        <v>103100</v>
      </c>
    </row>
    <row r="1443" spans="1:9" x14ac:dyDescent="0.3">
      <c r="A1443" s="2" t="s">
        <v>1475</v>
      </c>
      <c r="B1443" s="3">
        <v>45863</v>
      </c>
      <c r="C1443" s="2" t="s">
        <v>55</v>
      </c>
      <c r="D1443" s="2" t="s">
        <v>11</v>
      </c>
      <c r="E1443" s="2" t="s">
        <v>37</v>
      </c>
      <c r="F1443" s="2" t="s">
        <v>46</v>
      </c>
      <c r="G1443" s="2" t="s">
        <v>19</v>
      </c>
      <c r="H1443" s="4">
        <v>12852</v>
      </c>
      <c r="I1443" s="4">
        <v>12400</v>
      </c>
    </row>
    <row r="1444" spans="1:9" x14ac:dyDescent="0.3">
      <c r="A1444" s="2" t="s">
        <v>1476</v>
      </c>
      <c r="B1444" s="3">
        <v>45864</v>
      </c>
      <c r="C1444" s="2" t="s">
        <v>62</v>
      </c>
      <c r="D1444" s="2" t="s">
        <v>11</v>
      </c>
      <c r="E1444" s="2" t="s">
        <v>22</v>
      </c>
      <c r="F1444" s="2" t="s">
        <v>18</v>
      </c>
      <c r="G1444" s="2" t="s">
        <v>19</v>
      </c>
      <c r="H1444" s="4">
        <v>24165</v>
      </c>
      <c r="I1444" s="4">
        <v>23800</v>
      </c>
    </row>
    <row r="1445" spans="1:9" x14ac:dyDescent="0.3">
      <c r="A1445" s="2" t="s">
        <v>1477</v>
      </c>
      <c r="B1445" s="3">
        <v>45864</v>
      </c>
      <c r="C1445" s="2" t="s">
        <v>10</v>
      </c>
      <c r="D1445" s="2" t="s">
        <v>11</v>
      </c>
      <c r="E1445" s="2" t="s">
        <v>12</v>
      </c>
      <c r="F1445" s="2" t="s">
        <v>18</v>
      </c>
      <c r="G1445" s="2" t="s">
        <v>19</v>
      </c>
      <c r="H1445" s="4">
        <v>61362</v>
      </c>
      <c r="I1445" s="4">
        <v>64500</v>
      </c>
    </row>
    <row r="1446" spans="1:9" x14ac:dyDescent="0.3">
      <c r="A1446" s="2" t="s">
        <v>1478</v>
      </c>
      <c r="B1446" s="3">
        <v>45864</v>
      </c>
      <c r="C1446" s="2" t="s">
        <v>10</v>
      </c>
      <c r="D1446" s="2" t="s">
        <v>11</v>
      </c>
      <c r="E1446" s="2" t="s">
        <v>12</v>
      </c>
      <c r="F1446" s="2" t="s">
        <v>23</v>
      </c>
      <c r="G1446" s="2" t="s">
        <v>14</v>
      </c>
      <c r="H1446" s="4">
        <v>87857</v>
      </c>
      <c r="I1446" s="4">
        <v>80500</v>
      </c>
    </row>
    <row r="1447" spans="1:9" x14ac:dyDescent="0.3">
      <c r="A1447" s="2" t="s">
        <v>1479</v>
      </c>
      <c r="B1447" s="3">
        <v>45864</v>
      </c>
      <c r="C1447" s="2" t="s">
        <v>16</v>
      </c>
      <c r="D1447" s="2" t="s">
        <v>11</v>
      </c>
      <c r="E1447" s="2" t="s">
        <v>17</v>
      </c>
      <c r="F1447" s="2" t="s">
        <v>33</v>
      </c>
      <c r="G1447" s="2" t="s">
        <v>19</v>
      </c>
      <c r="H1447" s="4">
        <v>87110</v>
      </c>
      <c r="I1447" s="4">
        <v>98400</v>
      </c>
    </row>
    <row r="1448" spans="1:9" x14ac:dyDescent="0.3">
      <c r="A1448" s="2" t="s">
        <v>1480</v>
      </c>
      <c r="B1448" s="3">
        <v>45864</v>
      </c>
      <c r="C1448" s="2" t="s">
        <v>36</v>
      </c>
      <c r="D1448" s="2" t="s">
        <v>11</v>
      </c>
      <c r="E1448" s="2" t="s">
        <v>37</v>
      </c>
      <c r="F1448" s="2" t="s">
        <v>56</v>
      </c>
      <c r="G1448" s="2" t="s">
        <v>19</v>
      </c>
      <c r="H1448" s="4">
        <v>39403</v>
      </c>
      <c r="I1448" s="4">
        <v>38800</v>
      </c>
    </row>
    <row r="1449" spans="1:9" x14ac:dyDescent="0.3">
      <c r="A1449" s="2" t="s">
        <v>1481</v>
      </c>
      <c r="B1449" s="3">
        <v>45864</v>
      </c>
      <c r="C1449" s="2" t="s">
        <v>36</v>
      </c>
      <c r="D1449" s="2" t="s">
        <v>11</v>
      </c>
      <c r="E1449" s="2" t="s">
        <v>37</v>
      </c>
      <c r="F1449" s="2" t="s">
        <v>39</v>
      </c>
      <c r="G1449" s="2" t="s">
        <v>19</v>
      </c>
      <c r="H1449" s="4">
        <v>94025</v>
      </c>
      <c r="I1449" s="4">
        <v>87300</v>
      </c>
    </row>
    <row r="1450" spans="1:9" x14ac:dyDescent="0.3">
      <c r="A1450" s="2" t="s">
        <v>1482</v>
      </c>
      <c r="B1450" s="3">
        <v>45864</v>
      </c>
      <c r="C1450" s="2" t="s">
        <v>36</v>
      </c>
      <c r="D1450" s="2" t="s">
        <v>11</v>
      </c>
      <c r="E1450" s="2" t="s">
        <v>37</v>
      </c>
      <c r="F1450" s="2" t="s">
        <v>13</v>
      </c>
      <c r="G1450" s="2" t="s">
        <v>14</v>
      </c>
      <c r="H1450" s="4">
        <v>199691</v>
      </c>
      <c r="I1450" s="4">
        <v>178500</v>
      </c>
    </row>
    <row r="1451" spans="1:9" x14ac:dyDescent="0.3">
      <c r="A1451" s="2" t="s">
        <v>1483</v>
      </c>
      <c r="B1451" s="3">
        <v>45864</v>
      </c>
      <c r="C1451" s="2" t="s">
        <v>36</v>
      </c>
      <c r="D1451" s="2" t="s">
        <v>11</v>
      </c>
      <c r="E1451" s="2" t="s">
        <v>37</v>
      </c>
      <c r="F1451" s="2" t="s">
        <v>59</v>
      </c>
      <c r="G1451" s="2" t="s">
        <v>14</v>
      </c>
      <c r="H1451" s="4">
        <v>127229</v>
      </c>
      <c r="I1451" s="4">
        <v>132100</v>
      </c>
    </row>
    <row r="1452" spans="1:9" x14ac:dyDescent="0.3">
      <c r="A1452" s="2" t="s">
        <v>1484</v>
      </c>
      <c r="B1452" s="3">
        <v>45864</v>
      </c>
      <c r="C1452" s="2" t="s">
        <v>21</v>
      </c>
      <c r="D1452" s="2" t="s">
        <v>11</v>
      </c>
      <c r="E1452" s="2" t="s">
        <v>22</v>
      </c>
      <c r="F1452" s="2" t="s">
        <v>59</v>
      </c>
      <c r="G1452" s="2" t="s">
        <v>14</v>
      </c>
      <c r="H1452" s="4">
        <v>90419</v>
      </c>
      <c r="I1452" s="4">
        <v>105700</v>
      </c>
    </row>
    <row r="1453" spans="1:9" x14ac:dyDescent="0.3">
      <c r="A1453" s="2" t="s">
        <v>1485</v>
      </c>
      <c r="B1453" s="3">
        <v>45864</v>
      </c>
      <c r="C1453" s="2" t="s">
        <v>25</v>
      </c>
      <c r="D1453" s="2" t="s">
        <v>11</v>
      </c>
      <c r="E1453" s="2" t="s">
        <v>22</v>
      </c>
      <c r="F1453" s="2" t="s">
        <v>23</v>
      </c>
      <c r="G1453" s="2" t="s">
        <v>14</v>
      </c>
      <c r="H1453" s="4">
        <v>211276</v>
      </c>
      <c r="I1453" s="4">
        <v>204200</v>
      </c>
    </row>
    <row r="1454" spans="1:9" x14ac:dyDescent="0.3">
      <c r="A1454" s="2" t="s">
        <v>1486</v>
      </c>
      <c r="B1454" s="3">
        <v>45865</v>
      </c>
      <c r="C1454" s="2" t="s">
        <v>62</v>
      </c>
      <c r="D1454" s="2" t="s">
        <v>11</v>
      </c>
      <c r="E1454" s="2" t="s">
        <v>22</v>
      </c>
      <c r="F1454" s="2" t="s">
        <v>33</v>
      </c>
      <c r="G1454" s="2" t="s">
        <v>19</v>
      </c>
      <c r="H1454" s="4">
        <v>82102</v>
      </c>
      <c r="I1454" s="4">
        <v>75300</v>
      </c>
    </row>
    <row r="1455" spans="1:9" x14ac:dyDescent="0.3">
      <c r="A1455" s="2" t="s">
        <v>1487</v>
      </c>
      <c r="B1455" s="3">
        <v>45865</v>
      </c>
      <c r="C1455" s="2" t="s">
        <v>10</v>
      </c>
      <c r="D1455" s="2" t="s">
        <v>11</v>
      </c>
      <c r="E1455" s="2" t="s">
        <v>12</v>
      </c>
      <c r="F1455" s="2" t="s">
        <v>18</v>
      </c>
      <c r="G1455" s="2" t="s">
        <v>19</v>
      </c>
      <c r="H1455" s="4">
        <v>111591</v>
      </c>
      <c r="I1455" s="4">
        <v>102100</v>
      </c>
    </row>
    <row r="1456" spans="1:9" x14ac:dyDescent="0.3">
      <c r="A1456" s="2" t="s">
        <v>1488</v>
      </c>
      <c r="B1456" s="3">
        <v>45865</v>
      </c>
      <c r="C1456" s="2" t="s">
        <v>10</v>
      </c>
      <c r="D1456" s="2" t="s">
        <v>11</v>
      </c>
      <c r="E1456" s="2" t="s">
        <v>12</v>
      </c>
      <c r="F1456" s="2" t="s">
        <v>18</v>
      </c>
      <c r="G1456" s="2" t="s">
        <v>19</v>
      </c>
      <c r="H1456" s="4">
        <v>113507</v>
      </c>
      <c r="I1456" s="4">
        <v>100000</v>
      </c>
    </row>
    <row r="1457" spans="1:9" x14ac:dyDescent="0.3">
      <c r="A1457" s="2" t="s">
        <v>1489</v>
      </c>
      <c r="B1457" s="3">
        <v>45865</v>
      </c>
      <c r="C1457" s="2" t="s">
        <v>16</v>
      </c>
      <c r="D1457" s="2" t="s">
        <v>11</v>
      </c>
      <c r="E1457" s="2" t="s">
        <v>17</v>
      </c>
      <c r="F1457" s="2" t="s">
        <v>56</v>
      </c>
      <c r="G1457" s="2" t="s">
        <v>19</v>
      </c>
      <c r="H1457" s="4">
        <v>57736</v>
      </c>
      <c r="I1457" s="4">
        <v>48100</v>
      </c>
    </row>
    <row r="1458" spans="1:9" x14ac:dyDescent="0.3">
      <c r="A1458" s="2" t="s">
        <v>1490</v>
      </c>
      <c r="B1458" s="3">
        <v>45865</v>
      </c>
      <c r="C1458" s="2" t="s">
        <v>16</v>
      </c>
      <c r="D1458" s="2" t="s">
        <v>11</v>
      </c>
      <c r="E1458" s="2" t="s">
        <v>17</v>
      </c>
      <c r="F1458" s="2" t="s">
        <v>37</v>
      </c>
      <c r="G1458" s="2" t="s">
        <v>14</v>
      </c>
      <c r="H1458" s="4">
        <v>106489</v>
      </c>
      <c r="I1458" s="4">
        <v>100100</v>
      </c>
    </row>
    <row r="1459" spans="1:9" x14ac:dyDescent="0.3">
      <c r="A1459" s="2" t="s">
        <v>1491</v>
      </c>
      <c r="B1459" s="3">
        <v>45865</v>
      </c>
      <c r="C1459" s="2" t="s">
        <v>36</v>
      </c>
      <c r="D1459" s="2" t="s">
        <v>11</v>
      </c>
      <c r="E1459" s="2" t="s">
        <v>37</v>
      </c>
      <c r="F1459" s="2" t="s">
        <v>26</v>
      </c>
      <c r="G1459" s="2" t="s">
        <v>14</v>
      </c>
      <c r="H1459" s="4">
        <v>115640</v>
      </c>
      <c r="I1459" s="4">
        <v>99800</v>
      </c>
    </row>
    <row r="1460" spans="1:9" x14ac:dyDescent="0.3">
      <c r="A1460" s="2" t="s">
        <v>1492</v>
      </c>
      <c r="B1460" s="3">
        <v>45865</v>
      </c>
      <c r="C1460" s="2" t="s">
        <v>21</v>
      </c>
      <c r="D1460" s="2" t="s">
        <v>11</v>
      </c>
      <c r="E1460" s="2" t="s">
        <v>22</v>
      </c>
      <c r="F1460" s="2" t="s">
        <v>39</v>
      </c>
      <c r="G1460" s="2" t="s">
        <v>19</v>
      </c>
      <c r="H1460" s="4">
        <v>118182</v>
      </c>
      <c r="I1460" s="4">
        <v>119800</v>
      </c>
    </row>
    <row r="1461" spans="1:9" x14ac:dyDescent="0.3">
      <c r="A1461" s="2" t="s">
        <v>1493</v>
      </c>
      <c r="B1461" s="3">
        <v>45865</v>
      </c>
      <c r="C1461" s="2" t="s">
        <v>25</v>
      </c>
      <c r="D1461" s="2" t="s">
        <v>11</v>
      </c>
      <c r="E1461" s="2" t="s">
        <v>22</v>
      </c>
      <c r="F1461" s="2" t="s">
        <v>12</v>
      </c>
      <c r="G1461" s="2" t="s">
        <v>14</v>
      </c>
      <c r="H1461" s="4">
        <v>226522</v>
      </c>
      <c r="I1461" s="4">
        <v>230700</v>
      </c>
    </row>
    <row r="1462" spans="1:9" x14ac:dyDescent="0.3">
      <c r="A1462" s="2" t="s">
        <v>1494</v>
      </c>
      <c r="B1462" s="3">
        <v>45866</v>
      </c>
      <c r="C1462" s="2" t="s">
        <v>10</v>
      </c>
      <c r="D1462" s="2" t="s">
        <v>11</v>
      </c>
      <c r="E1462" s="2" t="s">
        <v>12</v>
      </c>
      <c r="F1462" s="2" t="s">
        <v>39</v>
      </c>
      <c r="G1462" s="2" t="s">
        <v>19</v>
      </c>
      <c r="H1462" s="4">
        <v>84606</v>
      </c>
      <c r="I1462" s="4">
        <v>78700</v>
      </c>
    </row>
    <row r="1463" spans="1:9" x14ac:dyDescent="0.3">
      <c r="A1463" s="2" t="s">
        <v>1495</v>
      </c>
      <c r="B1463" s="3">
        <v>45866</v>
      </c>
      <c r="C1463" s="2" t="s">
        <v>36</v>
      </c>
      <c r="D1463" s="2" t="s">
        <v>11</v>
      </c>
      <c r="E1463" s="2" t="s">
        <v>37</v>
      </c>
      <c r="F1463" s="2" t="s">
        <v>59</v>
      </c>
      <c r="G1463" s="2" t="s">
        <v>14</v>
      </c>
      <c r="H1463" s="4">
        <v>93169</v>
      </c>
      <c r="I1463" s="4">
        <v>98200</v>
      </c>
    </row>
    <row r="1464" spans="1:9" x14ac:dyDescent="0.3">
      <c r="A1464" s="2" t="s">
        <v>1496</v>
      </c>
      <c r="B1464" s="3">
        <v>45866</v>
      </c>
      <c r="C1464" s="2" t="s">
        <v>21</v>
      </c>
      <c r="D1464" s="2" t="s">
        <v>11</v>
      </c>
      <c r="E1464" s="2" t="s">
        <v>22</v>
      </c>
      <c r="F1464" s="2" t="s">
        <v>13</v>
      </c>
      <c r="G1464" s="2" t="s">
        <v>14</v>
      </c>
      <c r="H1464" s="4">
        <v>118901</v>
      </c>
      <c r="I1464" s="4">
        <v>122700</v>
      </c>
    </row>
    <row r="1465" spans="1:9" x14ac:dyDescent="0.3">
      <c r="A1465" s="2" t="s">
        <v>1497</v>
      </c>
      <c r="B1465" s="3">
        <v>45866</v>
      </c>
      <c r="C1465" s="2" t="s">
        <v>31</v>
      </c>
      <c r="D1465" s="2" t="s">
        <v>11</v>
      </c>
      <c r="E1465" s="2" t="s">
        <v>17</v>
      </c>
      <c r="F1465" s="2" t="s">
        <v>18</v>
      </c>
      <c r="G1465" s="2" t="s">
        <v>19</v>
      </c>
      <c r="H1465" s="4">
        <v>56623</v>
      </c>
      <c r="I1465" s="4">
        <v>53000</v>
      </c>
    </row>
    <row r="1466" spans="1:9" x14ac:dyDescent="0.3">
      <c r="A1466" s="2" t="s">
        <v>1498</v>
      </c>
      <c r="B1466" s="3">
        <v>45866</v>
      </c>
      <c r="C1466" s="2" t="s">
        <v>55</v>
      </c>
      <c r="D1466" s="2" t="s">
        <v>11</v>
      </c>
      <c r="E1466" s="2" t="s">
        <v>37</v>
      </c>
      <c r="F1466" s="2" t="s">
        <v>56</v>
      </c>
      <c r="G1466" s="2" t="s">
        <v>19</v>
      </c>
      <c r="H1466" s="4">
        <v>95985</v>
      </c>
      <c r="I1466" s="4">
        <v>102300</v>
      </c>
    </row>
    <row r="1467" spans="1:9" x14ac:dyDescent="0.3">
      <c r="A1467" s="2" t="s">
        <v>1499</v>
      </c>
      <c r="B1467" s="3">
        <v>45866</v>
      </c>
      <c r="C1467" s="2" t="s">
        <v>55</v>
      </c>
      <c r="D1467" s="2" t="s">
        <v>11</v>
      </c>
      <c r="E1467" s="2" t="s">
        <v>37</v>
      </c>
      <c r="F1467" s="2" t="s">
        <v>26</v>
      </c>
      <c r="G1467" s="2" t="s">
        <v>14</v>
      </c>
      <c r="H1467" s="4">
        <v>180534</v>
      </c>
      <c r="I1467" s="4">
        <v>170400</v>
      </c>
    </row>
    <row r="1468" spans="1:9" x14ac:dyDescent="0.3">
      <c r="A1468" s="2" t="s">
        <v>1500</v>
      </c>
      <c r="B1468" s="3">
        <v>45866</v>
      </c>
      <c r="C1468" s="2" t="s">
        <v>55</v>
      </c>
      <c r="D1468" s="2" t="s">
        <v>11</v>
      </c>
      <c r="E1468" s="2" t="s">
        <v>37</v>
      </c>
      <c r="F1468" s="2" t="s">
        <v>26</v>
      </c>
      <c r="G1468" s="2" t="s">
        <v>14</v>
      </c>
      <c r="H1468" s="4">
        <v>166427</v>
      </c>
      <c r="I1468" s="4">
        <v>168400</v>
      </c>
    </row>
    <row r="1469" spans="1:9" x14ac:dyDescent="0.3">
      <c r="A1469" s="2" t="s">
        <v>1501</v>
      </c>
      <c r="B1469" s="3">
        <v>45867</v>
      </c>
      <c r="C1469" s="2" t="s">
        <v>62</v>
      </c>
      <c r="D1469" s="2" t="s">
        <v>11</v>
      </c>
      <c r="E1469" s="2" t="s">
        <v>22</v>
      </c>
      <c r="F1469" s="2" t="s">
        <v>37</v>
      </c>
      <c r="G1469" s="2" t="s">
        <v>14</v>
      </c>
      <c r="H1469" s="4">
        <v>72251</v>
      </c>
      <c r="I1469" s="4">
        <v>72700</v>
      </c>
    </row>
    <row r="1470" spans="1:9" x14ac:dyDescent="0.3">
      <c r="A1470" s="2" t="s">
        <v>1502</v>
      </c>
      <c r="B1470" s="3">
        <v>45867</v>
      </c>
      <c r="C1470" s="2" t="s">
        <v>16</v>
      </c>
      <c r="D1470" s="2" t="s">
        <v>11</v>
      </c>
      <c r="E1470" s="2" t="s">
        <v>17</v>
      </c>
      <c r="F1470" s="2" t="s">
        <v>18</v>
      </c>
      <c r="G1470" s="2" t="s">
        <v>19</v>
      </c>
      <c r="H1470" s="4">
        <v>80311</v>
      </c>
      <c r="I1470" s="4">
        <v>79800</v>
      </c>
    </row>
    <row r="1471" spans="1:9" x14ac:dyDescent="0.3">
      <c r="A1471" s="2" t="s">
        <v>1503</v>
      </c>
      <c r="B1471" s="3">
        <v>45867</v>
      </c>
      <c r="C1471" s="2" t="s">
        <v>16</v>
      </c>
      <c r="D1471" s="2" t="s">
        <v>11</v>
      </c>
      <c r="E1471" s="2" t="s">
        <v>17</v>
      </c>
      <c r="F1471" s="2" t="s">
        <v>23</v>
      </c>
      <c r="G1471" s="2" t="s">
        <v>14</v>
      </c>
      <c r="H1471" s="4">
        <v>240025</v>
      </c>
      <c r="I1471" s="4">
        <v>243600</v>
      </c>
    </row>
    <row r="1472" spans="1:9" x14ac:dyDescent="0.3">
      <c r="A1472" s="2" t="s">
        <v>1504</v>
      </c>
      <c r="B1472" s="3">
        <v>45867</v>
      </c>
      <c r="C1472" s="2" t="s">
        <v>21</v>
      </c>
      <c r="D1472" s="2" t="s">
        <v>11</v>
      </c>
      <c r="E1472" s="2" t="s">
        <v>22</v>
      </c>
      <c r="F1472" s="2" t="s">
        <v>56</v>
      </c>
      <c r="G1472" s="2" t="s">
        <v>19</v>
      </c>
      <c r="H1472" s="4">
        <v>52866</v>
      </c>
      <c r="I1472" s="4">
        <v>54400</v>
      </c>
    </row>
    <row r="1473" spans="1:9" x14ac:dyDescent="0.3">
      <c r="A1473" s="2" t="s">
        <v>1505</v>
      </c>
      <c r="B1473" s="3">
        <v>45867</v>
      </c>
      <c r="C1473" s="2" t="s">
        <v>25</v>
      </c>
      <c r="D1473" s="2" t="s">
        <v>11</v>
      </c>
      <c r="E1473" s="2" t="s">
        <v>22</v>
      </c>
      <c r="F1473" s="2" t="s">
        <v>59</v>
      </c>
      <c r="G1473" s="2" t="s">
        <v>14</v>
      </c>
      <c r="H1473" s="4">
        <v>124114</v>
      </c>
      <c r="I1473" s="4">
        <v>129000</v>
      </c>
    </row>
    <row r="1474" spans="1:9" x14ac:dyDescent="0.3">
      <c r="A1474" s="2" t="s">
        <v>1506</v>
      </c>
      <c r="B1474" s="3">
        <v>45867</v>
      </c>
      <c r="C1474" s="2" t="s">
        <v>31</v>
      </c>
      <c r="D1474" s="2" t="s">
        <v>11</v>
      </c>
      <c r="E1474" s="2" t="s">
        <v>17</v>
      </c>
      <c r="F1474" s="2" t="s">
        <v>13</v>
      </c>
      <c r="G1474" s="2" t="s">
        <v>14</v>
      </c>
      <c r="H1474" s="4">
        <v>98610</v>
      </c>
      <c r="I1474" s="4">
        <v>104700</v>
      </c>
    </row>
    <row r="1475" spans="1:9" x14ac:dyDescent="0.3">
      <c r="A1475" s="2" t="s">
        <v>1507</v>
      </c>
      <c r="B1475" s="3">
        <v>45867</v>
      </c>
      <c r="C1475" s="2" t="s">
        <v>31</v>
      </c>
      <c r="D1475" s="2" t="s">
        <v>11</v>
      </c>
      <c r="E1475" s="2" t="s">
        <v>17</v>
      </c>
      <c r="F1475" s="2" t="s">
        <v>12</v>
      </c>
      <c r="G1475" s="2" t="s">
        <v>14</v>
      </c>
      <c r="H1475" s="4">
        <v>44639</v>
      </c>
      <c r="I1475" s="4">
        <v>42200</v>
      </c>
    </row>
    <row r="1476" spans="1:9" x14ac:dyDescent="0.3">
      <c r="A1476" s="2" t="s">
        <v>1508</v>
      </c>
      <c r="B1476" s="3">
        <v>45868</v>
      </c>
      <c r="C1476" s="2" t="s">
        <v>10</v>
      </c>
      <c r="D1476" s="2" t="s">
        <v>11</v>
      </c>
      <c r="E1476" s="2" t="s">
        <v>12</v>
      </c>
      <c r="F1476" s="2" t="s">
        <v>18</v>
      </c>
      <c r="G1476" s="2" t="s">
        <v>19</v>
      </c>
      <c r="H1476" s="4">
        <v>56974</v>
      </c>
      <c r="I1476" s="4">
        <v>52200</v>
      </c>
    </row>
    <row r="1477" spans="1:9" x14ac:dyDescent="0.3">
      <c r="A1477" s="2" t="s">
        <v>1509</v>
      </c>
      <c r="B1477" s="3">
        <v>45868</v>
      </c>
      <c r="C1477" s="2" t="s">
        <v>36</v>
      </c>
      <c r="D1477" s="2" t="s">
        <v>11</v>
      </c>
      <c r="E1477" s="2" t="s">
        <v>37</v>
      </c>
      <c r="F1477" s="2" t="s">
        <v>46</v>
      </c>
      <c r="G1477" s="2" t="s">
        <v>19</v>
      </c>
      <c r="H1477" s="4">
        <v>35104</v>
      </c>
      <c r="I1477" s="4">
        <v>35300</v>
      </c>
    </row>
    <row r="1478" spans="1:9" x14ac:dyDescent="0.3">
      <c r="A1478" s="2" t="s">
        <v>1510</v>
      </c>
      <c r="B1478" s="3">
        <v>45868</v>
      </c>
      <c r="C1478" s="2" t="s">
        <v>55</v>
      </c>
      <c r="D1478" s="2" t="s">
        <v>11</v>
      </c>
      <c r="E1478" s="2" t="s">
        <v>37</v>
      </c>
      <c r="F1478" s="2" t="s">
        <v>39</v>
      </c>
      <c r="G1478" s="2" t="s">
        <v>19</v>
      </c>
      <c r="H1478" s="4">
        <v>19910</v>
      </c>
      <c r="I1478" s="4">
        <v>19500</v>
      </c>
    </row>
    <row r="1479" spans="1:9" x14ac:dyDescent="0.3">
      <c r="A1479" s="2" t="s">
        <v>1511</v>
      </c>
      <c r="B1479" s="3">
        <v>45868</v>
      </c>
      <c r="C1479" s="2" t="s">
        <v>55</v>
      </c>
      <c r="D1479" s="2" t="s">
        <v>11</v>
      </c>
      <c r="E1479" s="2" t="s">
        <v>37</v>
      </c>
      <c r="F1479" s="2" t="s">
        <v>23</v>
      </c>
      <c r="G1479" s="2" t="s">
        <v>14</v>
      </c>
      <c r="H1479" s="4">
        <v>225082</v>
      </c>
      <c r="I1479" s="4">
        <v>206500</v>
      </c>
    </row>
    <row r="1480" spans="1:9" x14ac:dyDescent="0.3">
      <c r="A1480" s="2" t="s">
        <v>1512</v>
      </c>
      <c r="B1480" s="3">
        <v>45868</v>
      </c>
      <c r="C1480" s="2" t="s">
        <v>55</v>
      </c>
      <c r="D1480" s="2" t="s">
        <v>11</v>
      </c>
      <c r="E1480" s="2" t="s">
        <v>37</v>
      </c>
      <c r="F1480" s="2" t="s">
        <v>12</v>
      </c>
      <c r="G1480" s="2" t="s">
        <v>14</v>
      </c>
      <c r="H1480" s="4">
        <v>45321</v>
      </c>
      <c r="I1480" s="4">
        <v>42500</v>
      </c>
    </row>
    <row r="1481" spans="1:9" x14ac:dyDescent="0.3">
      <c r="A1481" s="2" t="s">
        <v>1513</v>
      </c>
      <c r="B1481" s="3">
        <v>45869</v>
      </c>
      <c r="C1481" s="2" t="s">
        <v>62</v>
      </c>
      <c r="D1481" s="2" t="s">
        <v>11</v>
      </c>
      <c r="E1481" s="2" t="s">
        <v>22</v>
      </c>
      <c r="F1481" s="2" t="s">
        <v>39</v>
      </c>
      <c r="G1481" s="2" t="s">
        <v>19</v>
      </c>
      <c r="H1481" s="4">
        <v>85577</v>
      </c>
      <c r="I1481" s="4">
        <v>88600</v>
      </c>
    </row>
    <row r="1482" spans="1:9" x14ac:dyDescent="0.3">
      <c r="A1482" s="2" t="s">
        <v>1514</v>
      </c>
      <c r="B1482" s="3">
        <v>45869</v>
      </c>
      <c r="C1482" s="2" t="s">
        <v>62</v>
      </c>
      <c r="D1482" s="2" t="s">
        <v>11</v>
      </c>
      <c r="E1482" s="2" t="s">
        <v>22</v>
      </c>
      <c r="F1482" s="2" t="s">
        <v>59</v>
      </c>
      <c r="G1482" s="2" t="s">
        <v>14</v>
      </c>
      <c r="H1482" s="4">
        <v>190450</v>
      </c>
      <c r="I1482" s="4">
        <v>187400</v>
      </c>
    </row>
    <row r="1483" spans="1:9" x14ac:dyDescent="0.3">
      <c r="A1483" s="2" t="s">
        <v>1515</v>
      </c>
      <c r="B1483" s="3">
        <v>45869</v>
      </c>
      <c r="C1483" s="2" t="s">
        <v>16</v>
      </c>
      <c r="D1483" s="2" t="s">
        <v>11</v>
      </c>
      <c r="E1483" s="2" t="s">
        <v>17</v>
      </c>
      <c r="F1483" s="2" t="s">
        <v>33</v>
      </c>
      <c r="G1483" s="2" t="s">
        <v>19</v>
      </c>
      <c r="H1483" s="4">
        <v>97588</v>
      </c>
      <c r="I1483" s="4">
        <v>106000</v>
      </c>
    </row>
    <row r="1484" spans="1:9" x14ac:dyDescent="0.3">
      <c r="A1484" s="2" t="s">
        <v>1516</v>
      </c>
      <c r="B1484" s="3">
        <v>45869</v>
      </c>
      <c r="C1484" s="2" t="s">
        <v>36</v>
      </c>
      <c r="D1484" s="2" t="s">
        <v>11</v>
      </c>
      <c r="E1484" s="2" t="s">
        <v>37</v>
      </c>
      <c r="F1484" s="2" t="s">
        <v>39</v>
      </c>
      <c r="G1484" s="2" t="s">
        <v>19</v>
      </c>
      <c r="H1484" s="4">
        <v>61585</v>
      </c>
      <c r="I1484" s="4">
        <v>69200</v>
      </c>
    </row>
    <row r="1485" spans="1:9" x14ac:dyDescent="0.3">
      <c r="A1485" s="2" t="s">
        <v>1517</v>
      </c>
      <c r="B1485" s="3">
        <v>45869</v>
      </c>
      <c r="C1485" s="2" t="s">
        <v>21</v>
      </c>
      <c r="D1485" s="2" t="s">
        <v>11</v>
      </c>
      <c r="E1485" s="2" t="s">
        <v>22</v>
      </c>
      <c r="F1485" s="2" t="s">
        <v>13</v>
      </c>
      <c r="G1485" s="2" t="s">
        <v>14</v>
      </c>
      <c r="H1485" s="4">
        <v>198538</v>
      </c>
      <c r="I1485" s="4">
        <v>188600</v>
      </c>
    </row>
    <row r="1486" spans="1:9" x14ac:dyDescent="0.3">
      <c r="A1486" s="2" t="s">
        <v>1518</v>
      </c>
      <c r="B1486" s="3">
        <v>45869</v>
      </c>
      <c r="C1486" s="2" t="s">
        <v>25</v>
      </c>
      <c r="D1486" s="2" t="s">
        <v>11</v>
      </c>
      <c r="E1486" s="2" t="s">
        <v>22</v>
      </c>
      <c r="F1486" s="2" t="s">
        <v>18</v>
      </c>
      <c r="G1486" s="2" t="s">
        <v>19</v>
      </c>
      <c r="H1486" s="4">
        <v>95919</v>
      </c>
      <c r="I1486" s="4">
        <v>94200</v>
      </c>
    </row>
    <row r="1487" spans="1:9" x14ac:dyDescent="0.3">
      <c r="A1487" s="2" t="s">
        <v>1519</v>
      </c>
      <c r="B1487" s="3">
        <v>45869</v>
      </c>
      <c r="C1487" s="2" t="s">
        <v>31</v>
      </c>
      <c r="D1487" s="2" t="s">
        <v>11</v>
      </c>
      <c r="E1487" s="2" t="s">
        <v>17</v>
      </c>
      <c r="F1487" s="2" t="s">
        <v>42</v>
      </c>
      <c r="G1487" s="2" t="s">
        <v>19</v>
      </c>
      <c r="H1487" s="4">
        <v>94284</v>
      </c>
      <c r="I1487" s="4">
        <v>87500</v>
      </c>
    </row>
    <row r="1488" spans="1:9" x14ac:dyDescent="0.3">
      <c r="A1488" s="2" t="s">
        <v>1520</v>
      </c>
      <c r="B1488" s="3">
        <v>45869</v>
      </c>
      <c r="C1488" s="2" t="s">
        <v>55</v>
      </c>
      <c r="D1488" s="2" t="s">
        <v>11</v>
      </c>
      <c r="E1488" s="2" t="s">
        <v>37</v>
      </c>
      <c r="F1488" s="2" t="s">
        <v>42</v>
      </c>
      <c r="G1488" s="2" t="s">
        <v>19</v>
      </c>
      <c r="H1488" s="4">
        <v>63889</v>
      </c>
      <c r="I1488" s="4">
        <v>69500</v>
      </c>
    </row>
    <row r="1489" spans="1:9" x14ac:dyDescent="0.3">
      <c r="A1489" s="2" t="s">
        <v>1521</v>
      </c>
      <c r="B1489" s="3">
        <v>45870</v>
      </c>
      <c r="C1489" s="2" t="s">
        <v>10</v>
      </c>
      <c r="D1489" s="2" t="s">
        <v>11</v>
      </c>
      <c r="E1489" s="2" t="s">
        <v>12</v>
      </c>
      <c r="F1489" s="2" t="s">
        <v>23</v>
      </c>
      <c r="G1489" s="2" t="s">
        <v>14</v>
      </c>
      <c r="H1489" s="4">
        <v>130298</v>
      </c>
      <c r="I1489" s="4">
        <v>138600</v>
      </c>
    </row>
    <row r="1490" spans="1:9" x14ac:dyDescent="0.3">
      <c r="A1490" s="2" t="s">
        <v>1522</v>
      </c>
      <c r="B1490" s="3">
        <v>45870</v>
      </c>
      <c r="C1490" s="2" t="s">
        <v>36</v>
      </c>
      <c r="D1490" s="2" t="s">
        <v>11</v>
      </c>
      <c r="E1490" s="2" t="s">
        <v>37</v>
      </c>
      <c r="F1490" s="2" t="s">
        <v>18</v>
      </c>
      <c r="G1490" s="2" t="s">
        <v>19</v>
      </c>
      <c r="H1490" s="4">
        <v>103880</v>
      </c>
      <c r="I1490" s="4">
        <v>89400</v>
      </c>
    </row>
    <row r="1491" spans="1:9" x14ac:dyDescent="0.3">
      <c r="A1491" s="2" t="s">
        <v>1523</v>
      </c>
      <c r="B1491" s="3">
        <v>45870</v>
      </c>
      <c r="C1491" s="2" t="s">
        <v>36</v>
      </c>
      <c r="D1491" s="2" t="s">
        <v>11</v>
      </c>
      <c r="E1491" s="2" t="s">
        <v>37</v>
      </c>
      <c r="F1491" s="2" t="s">
        <v>12</v>
      </c>
      <c r="G1491" s="2" t="s">
        <v>14</v>
      </c>
      <c r="H1491" s="4">
        <v>173492</v>
      </c>
      <c r="I1491" s="4">
        <v>189100</v>
      </c>
    </row>
    <row r="1492" spans="1:9" x14ac:dyDescent="0.3">
      <c r="A1492" s="2" t="s">
        <v>1524</v>
      </c>
      <c r="B1492" s="3">
        <v>45870</v>
      </c>
      <c r="C1492" s="2" t="s">
        <v>25</v>
      </c>
      <c r="D1492" s="2" t="s">
        <v>11</v>
      </c>
      <c r="E1492" s="2" t="s">
        <v>22</v>
      </c>
      <c r="F1492" s="2" t="s">
        <v>37</v>
      </c>
      <c r="G1492" s="2" t="s">
        <v>14</v>
      </c>
      <c r="H1492" s="4">
        <v>91832</v>
      </c>
      <c r="I1492" s="4">
        <v>83200</v>
      </c>
    </row>
    <row r="1493" spans="1:9" x14ac:dyDescent="0.3">
      <c r="A1493" s="2" t="s">
        <v>1525</v>
      </c>
      <c r="B1493" s="3">
        <v>45871</v>
      </c>
      <c r="C1493" s="2" t="s">
        <v>62</v>
      </c>
      <c r="D1493" s="2" t="s">
        <v>11</v>
      </c>
      <c r="E1493" s="2" t="s">
        <v>22</v>
      </c>
      <c r="F1493" s="2" t="s">
        <v>46</v>
      </c>
      <c r="G1493" s="2" t="s">
        <v>19</v>
      </c>
      <c r="H1493" s="4">
        <v>85186</v>
      </c>
      <c r="I1493" s="4">
        <v>73200</v>
      </c>
    </row>
    <row r="1494" spans="1:9" x14ac:dyDescent="0.3">
      <c r="A1494" s="2" t="s">
        <v>1526</v>
      </c>
      <c r="B1494" s="3">
        <v>45871</v>
      </c>
      <c r="C1494" s="2" t="s">
        <v>62</v>
      </c>
      <c r="D1494" s="2" t="s">
        <v>11</v>
      </c>
      <c r="E1494" s="2" t="s">
        <v>22</v>
      </c>
      <c r="F1494" s="2" t="s">
        <v>26</v>
      </c>
      <c r="G1494" s="2" t="s">
        <v>14</v>
      </c>
      <c r="H1494" s="4">
        <v>134039</v>
      </c>
      <c r="I1494" s="4">
        <v>141700</v>
      </c>
    </row>
    <row r="1495" spans="1:9" x14ac:dyDescent="0.3">
      <c r="A1495" s="2" t="s">
        <v>1527</v>
      </c>
      <c r="B1495" s="3">
        <v>45871</v>
      </c>
      <c r="C1495" s="2" t="s">
        <v>16</v>
      </c>
      <c r="D1495" s="2" t="s">
        <v>11</v>
      </c>
      <c r="E1495" s="2" t="s">
        <v>17</v>
      </c>
      <c r="F1495" s="2" t="s">
        <v>12</v>
      </c>
      <c r="G1495" s="2" t="s">
        <v>14</v>
      </c>
      <c r="H1495" s="4">
        <v>241345</v>
      </c>
      <c r="I1495" s="4">
        <v>234200</v>
      </c>
    </row>
    <row r="1496" spans="1:9" x14ac:dyDescent="0.3">
      <c r="A1496" s="2" t="s">
        <v>1528</v>
      </c>
      <c r="B1496" s="3">
        <v>45872</v>
      </c>
      <c r="C1496" s="2" t="s">
        <v>62</v>
      </c>
      <c r="D1496" s="2" t="s">
        <v>11</v>
      </c>
      <c r="E1496" s="2" t="s">
        <v>22</v>
      </c>
      <c r="F1496" s="2" t="s">
        <v>18</v>
      </c>
      <c r="G1496" s="2" t="s">
        <v>19</v>
      </c>
      <c r="H1496" s="4">
        <v>111307</v>
      </c>
      <c r="I1496" s="4">
        <v>109700</v>
      </c>
    </row>
    <row r="1497" spans="1:9" x14ac:dyDescent="0.3">
      <c r="A1497" s="2" t="s">
        <v>1529</v>
      </c>
      <c r="B1497" s="3">
        <v>45872</v>
      </c>
      <c r="C1497" s="2" t="s">
        <v>10</v>
      </c>
      <c r="D1497" s="2" t="s">
        <v>11</v>
      </c>
      <c r="E1497" s="2" t="s">
        <v>12</v>
      </c>
      <c r="F1497" s="2" t="s">
        <v>39</v>
      </c>
      <c r="G1497" s="2" t="s">
        <v>19</v>
      </c>
      <c r="H1497" s="4">
        <v>23644</v>
      </c>
      <c r="I1497" s="4">
        <v>28200</v>
      </c>
    </row>
    <row r="1498" spans="1:9" x14ac:dyDescent="0.3">
      <c r="A1498" s="2" t="s">
        <v>1530</v>
      </c>
      <c r="B1498" s="3">
        <v>45872</v>
      </c>
      <c r="C1498" s="2" t="s">
        <v>10</v>
      </c>
      <c r="D1498" s="2" t="s">
        <v>11</v>
      </c>
      <c r="E1498" s="2" t="s">
        <v>12</v>
      </c>
      <c r="F1498" s="2" t="s">
        <v>23</v>
      </c>
      <c r="G1498" s="2" t="s">
        <v>14</v>
      </c>
      <c r="H1498" s="4">
        <v>153272</v>
      </c>
      <c r="I1498" s="4">
        <v>142900</v>
      </c>
    </row>
    <row r="1499" spans="1:9" x14ac:dyDescent="0.3">
      <c r="A1499" s="2" t="s">
        <v>1531</v>
      </c>
      <c r="B1499" s="3">
        <v>45872</v>
      </c>
      <c r="C1499" s="2" t="s">
        <v>10</v>
      </c>
      <c r="D1499" s="2" t="s">
        <v>11</v>
      </c>
      <c r="E1499" s="2" t="s">
        <v>12</v>
      </c>
      <c r="F1499" s="2" t="s">
        <v>12</v>
      </c>
      <c r="G1499" s="2" t="s">
        <v>14</v>
      </c>
      <c r="H1499" s="4">
        <v>71580</v>
      </c>
      <c r="I1499" s="4">
        <v>75900</v>
      </c>
    </row>
    <row r="1500" spans="1:9" x14ac:dyDescent="0.3">
      <c r="A1500" s="2" t="s">
        <v>1532</v>
      </c>
      <c r="B1500" s="3">
        <v>45872</v>
      </c>
      <c r="C1500" s="2" t="s">
        <v>16</v>
      </c>
      <c r="D1500" s="2" t="s">
        <v>11</v>
      </c>
      <c r="E1500" s="2" t="s">
        <v>17</v>
      </c>
      <c r="F1500" s="2" t="s">
        <v>13</v>
      </c>
      <c r="G1500" s="2" t="s">
        <v>14</v>
      </c>
      <c r="H1500" s="4">
        <v>248636</v>
      </c>
      <c r="I1500" s="4">
        <v>244600</v>
      </c>
    </row>
    <row r="1501" spans="1:9" x14ac:dyDescent="0.3">
      <c r="A1501" s="2" t="s">
        <v>1533</v>
      </c>
      <c r="B1501" s="3">
        <v>45872</v>
      </c>
      <c r="C1501" s="2" t="s">
        <v>25</v>
      </c>
      <c r="D1501" s="2" t="s">
        <v>11</v>
      </c>
      <c r="E1501" s="2" t="s">
        <v>22</v>
      </c>
      <c r="F1501" s="2" t="s">
        <v>33</v>
      </c>
      <c r="G1501" s="2" t="s">
        <v>19</v>
      </c>
      <c r="H1501" s="4">
        <v>41879</v>
      </c>
      <c r="I1501" s="4">
        <v>41900</v>
      </c>
    </row>
    <row r="1502" spans="1:9" x14ac:dyDescent="0.3">
      <c r="A1502" s="2" t="s">
        <v>1534</v>
      </c>
      <c r="B1502" s="3">
        <v>45872</v>
      </c>
      <c r="C1502" s="2" t="s">
        <v>25</v>
      </c>
      <c r="D1502" s="2" t="s">
        <v>11</v>
      </c>
      <c r="E1502" s="2" t="s">
        <v>22</v>
      </c>
      <c r="F1502" s="2" t="s">
        <v>56</v>
      </c>
      <c r="G1502" s="2" t="s">
        <v>19</v>
      </c>
      <c r="H1502" s="4">
        <v>105514</v>
      </c>
      <c r="I1502" s="4">
        <v>122500</v>
      </c>
    </row>
    <row r="1503" spans="1:9" x14ac:dyDescent="0.3">
      <c r="A1503" s="2" t="s">
        <v>1535</v>
      </c>
      <c r="B1503" s="3">
        <v>45872</v>
      </c>
      <c r="C1503" s="2" t="s">
        <v>25</v>
      </c>
      <c r="D1503" s="2" t="s">
        <v>11</v>
      </c>
      <c r="E1503" s="2" t="s">
        <v>22</v>
      </c>
      <c r="F1503" s="2" t="s">
        <v>59</v>
      </c>
      <c r="G1503" s="2" t="s">
        <v>14</v>
      </c>
      <c r="H1503" s="4">
        <v>124085</v>
      </c>
      <c r="I1503" s="4">
        <v>123900</v>
      </c>
    </row>
    <row r="1504" spans="1:9" x14ac:dyDescent="0.3">
      <c r="A1504" s="2" t="s">
        <v>1536</v>
      </c>
      <c r="B1504" s="3">
        <v>45872</v>
      </c>
      <c r="C1504" s="2" t="s">
        <v>31</v>
      </c>
      <c r="D1504" s="2" t="s">
        <v>11</v>
      </c>
      <c r="E1504" s="2" t="s">
        <v>17</v>
      </c>
      <c r="F1504" s="2" t="s">
        <v>46</v>
      </c>
      <c r="G1504" s="2" t="s">
        <v>19</v>
      </c>
      <c r="H1504" s="4">
        <v>85195</v>
      </c>
      <c r="I1504" s="4">
        <v>91500</v>
      </c>
    </row>
    <row r="1505" spans="1:9" x14ac:dyDescent="0.3">
      <c r="A1505" s="2" t="s">
        <v>1537</v>
      </c>
      <c r="B1505" s="3">
        <v>45873</v>
      </c>
      <c r="C1505" s="2" t="s">
        <v>62</v>
      </c>
      <c r="D1505" s="2" t="s">
        <v>11</v>
      </c>
      <c r="E1505" s="2" t="s">
        <v>22</v>
      </c>
      <c r="F1505" s="2" t="s">
        <v>39</v>
      </c>
      <c r="G1505" s="2" t="s">
        <v>19</v>
      </c>
      <c r="H1505" s="4">
        <v>43668</v>
      </c>
      <c r="I1505" s="4">
        <v>41400</v>
      </c>
    </row>
    <row r="1506" spans="1:9" x14ac:dyDescent="0.3">
      <c r="A1506" s="2" t="s">
        <v>1538</v>
      </c>
      <c r="B1506" s="3">
        <v>45873</v>
      </c>
      <c r="C1506" s="2" t="s">
        <v>62</v>
      </c>
      <c r="D1506" s="2" t="s">
        <v>11</v>
      </c>
      <c r="E1506" s="2" t="s">
        <v>22</v>
      </c>
      <c r="F1506" s="2" t="s">
        <v>37</v>
      </c>
      <c r="G1506" s="2" t="s">
        <v>14</v>
      </c>
      <c r="H1506" s="4">
        <v>161606</v>
      </c>
      <c r="I1506" s="4">
        <v>177400</v>
      </c>
    </row>
    <row r="1507" spans="1:9" x14ac:dyDescent="0.3">
      <c r="A1507" s="2" t="s">
        <v>1539</v>
      </c>
      <c r="B1507" s="3">
        <v>45873</v>
      </c>
      <c r="C1507" s="2" t="s">
        <v>10</v>
      </c>
      <c r="D1507" s="2" t="s">
        <v>11</v>
      </c>
      <c r="E1507" s="2" t="s">
        <v>12</v>
      </c>
      <c r="F1507" s="2" t="s">
        <v>23</v>
      </c>
      <c r="G1507" s="2" t="s">
        <v>14</v>
      </c>
      <c r="H1507" s="4">
        <v>68598</v>
      </c>
      <c r="I1507" s="4">
        <v>69400</v>
      </c>
    </row>
    <row r="1508" spans="1:9" x14ac:dyDescent="0.3">
      <c r="A1508" s="2" t="s">
        <v>1540</v>
      </c>
      <c r="B1508" s="3">
        <v>45873</v>
      </c>
      <c r="C1508" s="2" t="s">
        <v>16</v>
      </c>
      <c r="D1508" s="2" t="s">
        <v>11</v>
      </c>
      <c r="E1508" s="2" t="s">
        <v>17</v>
      </c>
      <c r="F1508" s="2" t="s">
        <v>42</v>
      </c>
      <c r="G1508" s="2" t="s">
        <v>19</v>
      </c>
      <c r="H1508" s="4">
        <v>70913</v>
      </c>
      <c r="I1508" s="4">
        <v>70000</v>
      </c>
    </row>
    <row r="1509" spans="1:9" x14ac:dyDescent="0.3">
      <c r="A1509" s="2" t="s">
        <v>1541</v>
      </c>
      <c r="B1509" s="3">
        <v>45873</v>
      </c>
      <c r="C1509" s="2" t="s">
        <v>36</v>
      </c>
      <c r="D1509" s="2" t="s">
        <v>11</v>
      </c>
      <c r="E1509" s="2" t="s">
        <v>37</v>
      </c>
      <c r="F1509" s="2" t="s">
        <v>46</v>
      </c>
      <c r="G1509" s="2" t="s">
        <v>19</v>
      </c>
      <c r="H1509" s="4">
        <v>44464</v>
      </c>
      <c r="I1509" s="4">
        <v>45200</v>
      </c>
    </row>
    <row r="1510" spans="1:9" x14ac:dyDescent="0.3">
      <c r="A1510" s="2" t="s">
        <v>1542</v>
      </c>
      <c r="B1510" s="3">
        <v>45873</v>
      </c>
      <c r="C1510" s="2" t="s">
        <v>25</v>
      </c>
      <c r="D1510" s="2" t="s">
        <v>11</v>
      </c>
      <c r="E1510" s="2" t="s">
        <v>22</v>
      </c>
      <c r="F1510" s="2" t="s">
        <v>33</v>
      </c>
      <c r="G1510" s="2" t="s">
        <v>19</v>
      </c>
      <c r="H1510" s="4">
        <v>27214</v>
      </c>
      <c r="I1510" s="4">
        <v>29000</v>
      </c>
    </row>
    <row r="1511" spans="1:9" x14ac:dyDescent="0.3">
      <c r="A1511" s="2" t="s">
        <v>1543</v>
      </c>
      <c r="B1511" s="3">
        <v>45874</v>
      </c>
      <c r="C1511" s="2" t="s">
        <v>62</v>
      </c>
      <c r="D1511" s="2" t="s">
        <v>11</v>
      </c>
      <c r="E1511" s="2" t="s">
        <v>22</v>
      </c>
      <c r="F1511" s="2" t="s">
        <v>56</v>
      </c>
      <c r="G1511" s="2" t="s">
        <v>19</v>
      </c>
      <c r="H1511" s="4">
        <v>88697</v>
      </c>
      <c r="I1511" s="4">
        <v>80400</v>
      </c>
    </row>
    <row r="1512" spans="1:9" x14ac:dyDescent="0.3">
      <c r="A1512" s="2" t="s">
        <v>1544</v>
      </c>
      <c r="B1512" s="3">
        <v>45874</v>
      </c>
      <c r="C1512" s="2" t="s">
        <v>16</v>
      </c>
      <c r="D1512" s="2" t="s">
        <v>11</v>
      </c>
      <c r="E1512" s="2" t="s">
        <v>17</v>
      </c>
      <c r="F1512" s="2" t="s">
        <v>33</v>
      </c>
      <c r="G1512" s="2" t="s">
        <v>19</v>
      </c>
      <c r="H1512" s="4">
        <v>62382</v>
      </c>
      <c r="I1512" s="4">
        <v>65100</v>
      </c>
    </row>
    <row r="1513" spans="1:9" x14ac:dyDescent="0.3">
      <c r="A1513" s="2" t="s">
        <v>1545</v>
      </c>
      <c r="B1513" s="3">
        <v>45874</v>
      </c>
      <c r="C1513" s="2" t="s">
        <v>21</v>
      </c>
      <c r="D1513" s="2" t="s">
        <v>11</v>
      </c>
      <c r="E1513" s="2" t="s">
        <v>22</v>
      </c>
      <c r="F1513" s="2" t="s">
        <v>39</v>
      </c>
      <c r="G1513" s="2" t="s">
        <v>19</v>
      </c>
      <c r="H1513" s="4">
        <v>114484</v>
      </c>
      <c r="I1513" s="4">
        <v>117500</v>
      </c>
    </row>
    <row r="1514" spans="1:9" x14ac:dyDescent="0.3">
      <c r="A1514" s="2" t="s">
        <v>1546</v>
      </c>
      <c r="B1514" s="3">
        <v>45874</v>
      </c>
      <c r="C1514" s="2" t="s">
        <v>21</v>
      </c>
      <c r="D1514" s="2" t="s">
        <v>11</v>
      </c>
      <c r="E1514" s="2" t="s">
        <v>22</v>
      </c>
      <c r="F1514" s="2" t="s">
        <v>26</v>
      </c>
      <c r="G1514" s="2" t="s">
        <v>14</v>
      </c>
      <c r="H1514" s="4">
        <v>144370</v>
      </c>
      <c r="I1514" s="4">
        <v>163600</v>
      </c>
    </row>
    <row r="1515" spans="1:9" x14ac:dyDescent="0.3">
      <c r="A1515" s="2" t="s">
        <v>1547</v>
      </c>
      <c r="B1515" s="3">
        <v>45874</v>
      </c>
      <c r="C1515" s="2" t="s">
        <v>21</v>
      </c>
      <c r="D1515" s="2" t="s">
        <v>11</v>
      </c>
      <c r="E1515" s="2" t="s">
        <v>22</v>
      </c>
      <c r="F1515" s="2" t="s">
        <v>26</v>
      </c>
      <c r="G1515" s="2" t="s">
        <v>14</v>
      </c>
      <c r="H1515" s="4">
        <v>239507</v>
      </c>
      <c r="I1515" s="4">
        <v>247900</v>
      </c>
    </row>
    <row r="1516" spans="1:9" x14ac:dyDescent="0.3">
      <c r="A1516" s="2" t="s">
        <v>1548</v>
      </c>
      <c r="B1516" s="3">
        <v>45874</v>
      </c>
      <c r="C1516" s="2" t="s">
        <v>25</v>
      </c>
      <c r="D1516" s="2" t="s">
        <v>11</v>
      </c>
      <c r="E1516" s="2" t="s">
        <v>22</v>
      </c>
      <c r="F1516" s="2" t="s">
        <v>56</v>
      </c>
      <c r="G1516" s="2" t="s">
        <v>19</v>
      </c>
      <c r="H1516" s="4">
        <v>43974</v>
      </c>
      <c r="I1516" s="4">
        <v>36800</v>
      </c>
    </row>
    <row r="1517" spans="1:9" x14ac:dyDescent="0.3">
      <c r="A1517" s="2" t="s">
        <v>1549</v>
      </c>
      <c r="B1517" s="3">
        <v>45874</v>
      </c>
      <c r="C1517" s="2" t="s">
        <v>25</v>
      </c>
      <c r="D1517" s="2" t="s">
        <v>11</v>
      </c>
      <c r="E1517" s="2" t="s">
        <v>22</v>
      </c>
      <c r="F1517" s="2" t="s">
        <v>59</v>
      </c>
      <c r="G1517" s="2" t="s">
        <v>14</v>
      </c>
      <c r="H1517" s="4">
        <v>87307</v>
      </c>
      <c r="I1517" s="4">
        <v>87700</v>
      </c>
    </row>
    <row r="1518" spans="1:9" x14ac:dyDescent="0.3">
      <c r="A1518" s="2" t="s">
        <v>1550</v>
      </c>
      <c r="B1518" s="3">
        <v>45874</v>
      </c>
      <c r="C1518" s="2" t="s">
        <v>31</v>
      </c>
      <c r="D1518" s="2" t="s">
        <v>11</v>
      </c>
      <c r="E1518" s="2" t="s">
        <v>17</v>
      </c>
      <c r="F1518" s="2" t="s">
        <v>13</v>
      </c>
      <c r="G1518" s="2" t="s">
        <v>14</v>
      </c>
      <c r="H1518" s="4">
        <v>226990</v>
      </c>
      <c r="I1518" s="4">
        <v>193300</v>
      </c>
    </row>
    <row r="1519" spans="1:9" x14ac:dyDescent="0.3">
      <c r="A1519" s="2" t="s">
        <v>1551</v>
      </c>
      <c r="B1519" s="3">
        <v>45875</v>
      </c>
      <c r="C1519" s="2" t="s">
        <v>62</v>
      </c>
      <c r="D1519" s="2" t="s">
        <v>11</v>
      </c>
      <c r="E1519" s="2" t="s">
        <v>22</v>
      </c>
      <c r="F1519" s="2" t="s">
        <v>56</v>
      </c>
      <c r="G1519" s="2" t="s">
        <v>19</v>
      </c>
      <c r="H1519" s="4">
        <v>32154</v>
      </c>
      <c r="I1519" s="4">
        <v>28900</v>
      </c>
    </row>
    <row r="1520" spans="1:9" x14ac:dyDescent="0.3">
      <c r="A1520" s="2" t="s">
        <v>1552</v>
      </c>
      <c r="B1520" s="3">
        <v>45875</v>
      </c>
      <c r="C1520" s="2" t="s">
        <v>62</v>
      </c>
      <c r="D1520" s="2" t="s">
        <v>11</v>
      </c>
      <c r="E1520" s="2" t="s">
        <v>22</v>
      </c>
      <c r="F1520" s="2" t="s">
        <v>37</v>
      </c>
      <c r="G1520" s="2" t="s">
        <v>14</v>
      </c>
      <c r="H1520" s="4">
        <v>92224</v>
      </c>
      <c r="I1520" s="4">
        <v>81100</v>
      </c>
    </row>
    <row r="1521" spans="1:9" x14ac:dyDescent="0.3">
      <c r="A1521" s="2" t="s">
        <v>1553</v>
      </c>
      <c r="B1521" s="3">
        <v>45875</v>
      </c>
      <c r="C1521" s="2" t="s">
        <v>10</v>
      </c>
      <c r="D1521" s="2" t="s">
        <v>11</v>
      </c>
      <c r="E1521" s="2" t="s">
        <v>12</v>
      </c>
      <c r="F1521" s="2" t="s">
        <v>12</v>
      </c>
      <c r="G1521" s="2" t="s">
        <v>14</v>
      </c>
      <c r="H1521" s="4">
        <v>173349</v>
      </c>
      <c r="I1521" s="4">
        <v>189100</v>
      </c>
    </row>
    <row r="1522" spans="1:9" x14ac:dyDescent="0.3">
      <c r="A1522" s="2" t="s">
        <v>1554</v>
      </c>
      <c r="B1522" s="3">
        <v>45875</v>
      </c>
      <c r="C1522" s="2" t="s">
        <v>16</v>
      </c>
      <c r="D1522" s="2" t="s">
        <v>11</v>
      </c>
      <c r="E1522" s="2" t="s">
        <v>17</v>
      </c>
      <c r="F1522" s="2" t="s">
        <v>59</v>
      </c>
      <c r="G1522" s="2" t="s">
        <v>14</v>
      </c>
      <c r="H1522" s="4">
        <v>135489</v>
      </c>
      <c r="I1522" s="4">
        <v>113900</v>
      </c>
    </row>
    <row r="1523" spans="1:9" x14ac:dyDescent="0.3">
      <c r="A1523" s="2" t="s">
        <v>1555</v>
      </c>
      <c r="B1523" s="3">
        <v>45875</v>
      </c>
      <c r="C1523" s="2" t="s">
        <v>25</v>
      </c>
      <c r="D1523" s="2" t="s">
        <v>11</v>
      </c>
      <c r="E1523" s="2" t="s">
        <v>22</v>
      </c>
      <c r="F1523" s="2" t="s">
        <v>56</v>
      </c>
      <c r="G1523" s="2" t="s">
        <v>19</v>
      </c>
      <c r="H1523" s="4">
        <v>30594</v>
      </c>
      <c r="I1523" s="4">
        <v>33400</v>
      </c>
    </row>
    <row r="1524" spans="1:9" x14ac:dyDescent="0.3">
      <c r="A1524" s="2" t="s">
        <v>1556</v>
      </c>
      <c r="B1524" s="3">
        <v>45875</v>
      </c>
      <c r="C1524" s="2" t="s">
        <v>25</v>
      </c>
      <c r="D1524" s="2" t="s">
        <v>11</v>
      </c>
      <c r="E1524" s="2" t="s">
        <v>22</v>
      </c>
      <c r="F1524" s="2" t="s">
        <v>23</v>
      </c>
      <c r="G1524" s="2" t="s">
        <v>14</v>
      </c>
      <c r="H1524" s="4">
        <v>133765</v>
      </c>
      <c r="I1524" s="4">
        <v>131600</v>
      </c>
    </row>
    <row r="1525" spans="1:9" x14ac:dyDescent="0.3">
      <c r="A1525" s="2" t="s">
        <v>1557</v>
      </c>
      <c r="B1525" s="3">
        <v>45875</v>
      </c>
      <c r="C1525" s="2" t="s">
        <v>31</v>
      </c>
      <c r="D1525" s="2" t="s">
        <v>11</v>
      </c>
      <c r="E1525" s="2" t="s">
        <v>17</v>
      </c>
      <c r="F1525" s="2" t="s">
        <v>56</v>
      </c>
      <c r="G1525" s="2" t="s">
        <v>19</v>
      </c>
      <c r="H1525" s="4">
        <v>52272</v>
      </c>
      <c r="I1525" s="4">
        <v>50200</v>
      </c>
    </row>
    <row r="1526" spans="1:9" x14ac:dyDescent="0.3">
      <c r="A1526" s="2" t="s">
        <v>1558</v>
      </c>
      <c r="B1526" s="3">
        <v>45875</v>
      </c>
      <c r="C1526" s="2" t="s">
        <v>31</v>
      </c>
      <c r="D1526" s="2" t="s">
        <v>11</v>
      </c>
      <c r="E1526" s="2" t="s">
        <v>17</v>
      </c>
      <c r="F1526" s="2" t="s">
        <v>23</v>
      </c>
      <c r="G1526" s="2" t="s">
        <v>14</v>
      </c>
      <c r="H1526" s="4">
        <v>62329</v>
      </c>
      <c r="I1526" s="4">
        <v>68700</v>
      </c>
    </row>
    <row r="1527" spans="1:9" x14ac:dyDescent="0.3">
      <c r="A1527" s="2" t="s">
        <v>1559</v>
      </c>
      <c r="B1527" s="3">
        <v>45875</v>
      </c>
      <c r="C1527" s="2" t="s">
        <v>55</v>
      </c>
      <c r="D1527" s="2" t="s">
        <v>11</v>
      </c>
      <c r="E1527" s="2" t="s">
        <v>37</v>
      </c>
      <c r="F1527" s="2" t="s">
        <v>59</v>
      </c>
      <c r="G1527" s="2" t="s">
        <v>14</v>
      </c>
      <c r="H1527" s="4">
        <v>60317</v>
      </c>
      <c r="I1527" s="4">
        <v>59900</v>
      </c>
    </row>
    <row r="1528" spans="1:9" x14ac:dyDescent="0.3">
      <c r="A1528" s="2" t="s">
        <v>1560</v>
      </c>
      <c r="B1528" s="3">
        <v>45875</v>
      </c>
      <c r="C1528" s="2" t="s">
        <v>55</v>
      </c>
      <c r="D1528" s="2" t="s">
        <v>11</v>
      </c>
      <c r="E1528" s="2" t="s">
        <v>37</v>
      </c>
      <c r="F1528" s="2" t="s">
        <v>59</v>
      </c>
      <c r="G1528" s="2" t="s">
        <v>14</v>
      </c>
      <c r="H1528" s="4">
        <v>116195</v>
      </c>
      <c r="I1528" s="4">
        <v>114900</v>
      </c>
    </row>
    <row r="1529" spans="1:9" x14ac:dyDescent="0.3">
      <c r="A1529" s="2" t="s">
        <v>1561</v>
      </c>
      <c r="B1529" s="3">
        <v>45876</v>
      </c>
      <c r="C1529" s="2" t="s">
        <v>62</v>
      </c>
      <c r="D1529" s="2" t="s">
        <v>11</v>
      </c>
      <c r="E1529" s="2" t="s">
        <v>22</v>
      </c>
      <c r="F1529" s="2" t="s">
        <v>18</v>
      </c>
      <c r="G1529" s="2" t="s">
        <v>19</v>
      </c>
      <c r="H1529" s="4">
        <v>51122</v>
      </c>
      <c r="I1529" s="4">
        <v>49500</v>
      </c>
    </row>
    <row r="1530" spans="1:9" x14ac:dyDescent="0.3">
      <c r="A1530" s="2" t="s">
        <v>1562</v>
      </c>
      <c r="B1530" s="3">
        <v>45876</v>
      </c>
      <c r="C1530" s="2" t="s">
        <v>62</v>
      </c>
      <c r="D1530" s="2" t="s">
        <v>11</v>
      </c>
      <c r="E1530" s="2" t="s">
        <v>22</v>
      </c>
      <c r="F1530" s="2" t="s">
        <v>12</v>
      </c>
      <c r="G1530" s="2" t="s">
        <v>14</v>
      </c>
      <c r="H1530" s="4">
        <v>142126</v>
      </c>
      <c r="I1530" s="4">
        <v>139700</v>
      </c>
    </row>
    <row r="1531" spans="1:9" x14ac:dyDescent="0.3">
      <c r="A1531" s="2" t="s">
        <v>1563</v>
      </c>
      <c r="B1531" s="3">
        <v>45876</v>
      </c>
      <c r="C1531" s="2" t="s">
        <v>62</v>
      </c>
      <c r="D1531" s="2" t="s">
        <v>11</v>
      </c>
      <c r="E1531" s="2" t="s">
        <v>22</v>
      </c>
      <c r="F1531" s="2" t="s">
        <v>59</v>
      </c>
      <c r="G1531" s="2" t="s">
        <v>14</v>
      </c>
      <c r="H1531" s="4">
        <v>26173</v>
      </c>
      <c r="I1531" s="4">
        <v>26500</v>
      </c>
    </row>
    <row r="1532" spans="1:9" x14ac:dyDescent="0.3">
      <c r="A1532" s="2" t="s">
        <v>1564</v>
      </c>
      <c r="B1532" s="3">
        <v>45876</v>
      </c>
      <c r="C1532" s="2" t="s">
        <v>36</v>
      </c>
      <c r="D1532" s="2" t="s">
        <v>11</v>
      </c>
      <c r="E1532" s="2" t="s">
        <v>37</v>
      </c>
      <c r="F1532" s="2" t="s">
        <v>56</v>
      </c>
      <c r="G1532" s="2" t="s">
        <v>19</v>
      </c>
      <c r="H1532" s="4">
        <v>52040</v>
      </c>
      <c r="I1532" s="4">
        <v>48700</v>
      </c>
    </row>
    <row r="1533" spans="1:9" x14ac:dyDescent="0.3">
      <c r="A1533" s="2" t="s">
        <v>1565</v>
      </c>
      <c r="B1533" s="3">
        <v>45876</v>
      </c>
      <c r="C1533" s="2" t="s">
        <v>36</v>
      </c>
      <c r="D1533" s="2" t="s">
        <v>11</v>
      </c>
      <c r="E1533" s="2" t="s">
        <v>37</v>
      </c>
      <c r="F1533" s="2" t="s">
        <v>56</v>
      </c>
      <c r="G1533" s="2" t="s">
        <v>19</v>
      </c>
      <c r="H1533" s="4">
        <v>34143</v>
      </c>
      <c r="I1533" s="4">
        <v>34100</v>
      </c>
    </row>
    <row r="1534" spans="1:9" x14ac:dyDescent="0.3">
      <c r="A1534" s="2" t="s">
        <v>1566</v>
      </c>
      <c r="B1534" s="3">
        <v>45876</v>
      </c>
      <c r="C1534" s="2" t="s">
        <v>21</v>
      </c>
      <c r="D1534" s="2" t="s">
        <v>11</v>
      </c>
      <c r="E1534" s="2" t="s">
        <v>22</v>
      </c>
      <c r="F1534" s="2" t="s">
        <v>13</v>
      </c>
      <c r="G1534" s="2" t="s">
        <v>14</v>
      </c>
      <c r="H1534" s="4">
        <v>170421</v>
      </c>
      <c r="I1534" s="4">
        <v>174600</v>
      </c>
    </row>
    <row r="1535" spans="1:9" x14ac:dyDescent="0.3">
      <c r="A1535" s="2" t="s">
        <v>1567</v>
      </c>
      <c r="B1535" s="3">
        <v>45877</v>
      </c>
      <c r="C1535" s="2" t="s">
        <v>16</v>
      </c>
      <c r="D1535" s="2" t="s">
        <v>11</v>
      </c>
      <c r="E1535" s="2" t="s">
        <v>17</v>
      </c>
      <c r="F1535" s="2" t="s">
        <v>37</v>
      </c>
      <c r="G1535" s="2" t="s">
        <v>14</v>
      </c>
      <c r="H1535" s="4">
        <v>241477</v>
      </c>
      <c r="I1535" s="4">
        <v>255800</v>
      </c>
    </row>
    <row r="1536" spans="1:9" x14ac:dyDescent="0.3">
      <c r="A1536" s="2" t="s">
        <v>1568</v>
      </c>
      <c r="B1536" s="3">
        <v>45877</v>
      </c>
      <c r="C1536" s="2" t="s">
        <v>21</v>
      </c>
      <c r="D1536" s="2" t="s">
        <v>11</v>
      </c>
      <c r="E1536" s="2" t="s">
        <v>22</v>
      </c>
      <c r="F1536" s="2" t="s">
        <v>59</v>
      </c>
      <c r="G1536" s="2" t="s">
        <v>14</v>
      </c>
      <c r="H1536" s="4">
        <v>241885</v>
      </c>
      <c r="I1536" s="4">
        <v>225800</v>
      </c>
    </row>
    <row r="1537" spans="1:9" x14ac:dyDescent="0.3">
      <c r="A1537" s="2" t="s">
        <v>1569</v>
      </c>
      <c r="B1537" s="3">
        <v>45877</v>
      </c>
      <c r="C1537" s="2" t="s">
        <v>21</v>
      </c>
      <c r="D1537" s="2" t="s">
        <v>11</v>
      </c>
      <c r="E1537" s="2" t="s">
        <v>22</v>
      </c>
      <c r="F1537" s="2" t="s">
        <v>37</v>
      </c>
      <c r="G1537" s="2" t="s">
        <v>14</v>
      </c>
      <c r="H1537" s="4">
        <v>88584</v>
      </c>
      <c r="I1537" s="4">
        <v>87200</v>
      </c>
    </row>
    <row r="1538" spans="1:9" x14ac:dyDescent="0.3">
      <c r="A1538" s="2" t="s">
        <v>1570</v>
      </c>
      <c r="B1538" s="3">
        <v>45877</v>
      </c>
      <c r="C1538" s="2" t="s">
        <v>25</v>
      </c>
      <c r="D1538" s="2" t="s">
        <v>11</v>
      </c>
      <c r="E1538" s="2" t="s">
        <v>22</v>
      </c>
      <c r="F1538" s="2" t="s">
        <v>26</v>
      </c>
      <c r="G1538" s="2" t="s">
        <v>14</v>
      </c>
      <c r="H1538" s="4">
        <v>98492</v>
      </c>
      <c r="I1538" s="4">
        <v>94800</v>
      </c>
    </row>
    <row r="1539" spans="1:9" x14ac:dyDescent="0.3">
      <c r="A1539" s="2" t="s">
        <v>1571</v>
      </c>
      <c r="B1539" s="3">
        <v>45877</v>
      </c>
      <c r="C1539" s="2" t="s">
        <v>31</v>
      </c>
      <c r="D1539" s="2" t="s">
        <v>11</v>
      </c>
      <c r="E1539" s="2" t="s">
        <v>17</v>
      </c>
      <c r="F1539" s="2" t="s">
        <v>23</v>
      </c>
      <c r="G1539" s="2" t="s">
        <v>14</v>
      </c>
      <c r="H1539" s="4">
        <v>222802</v>
      </c>
      <c r="I1539" s="4">
        <v>211800</v>
      </c>
    </row>
    <row r="1540" spans="1:9" x14ac:dyDescent="0.3">
      <c r="A1540" s="2" t="s">
        <v>1572</v>
      </c>
      <c r="B1540" s="3">
        <v>45877</v>
      </c>
      <c r="C1540" s="2" t="s">
        <v>55</v>
      </c>
      <c r="D1540" s="2" t="s">
        <v>11</v>
      </c>
      <c r="E1540" s="2" t="s">
        <v>37</v>
      </c>
      <c r="F1540" s="2" t="s">
        <v>46</v>
      </c>
      <c r="G1540" s="2" t="s">
        <v>19</v>
      </c>
      <c r="H1540" s="4">
        <v>24424</v>
      </c>
      <c r="I1540" s="4">
        <v>24300</v>
      </c>
    </row>
    <row r="1541" spans="1:9" x14ac:dyDescent="0.3">
      <c r="A1541" s="2" t="s">
        <v>1573</v>
      </c>
      <c r="B1541" s="3">
        <v>45877</v>
      </c>
      <c r="C1541" s="2" t="s">
        <v>55</v>
      </c>
      <c r="D1541" s="2" t="s">
        <v>11</v>
      </c>
      <c r="E1541" s="2" t="s">
        <v>37</v>
      </c>
      <c r="F1541" s="2" t="s">
        <v>26</v>
      </c>
      <c r="G1541" s="2" t="s">
        <v>14</v>
      </c>
      <c r="H1541" s="4">
        <v>110813</v>
      </c>
      <c r="I1541" s="4">
        <v>105900</v>
      </c>
    </row>
    <row r="1542" spans="1:9" x14ac:dyDescent="0.3">
      <c r="A1542" s="2" t="s">
        <v>1574</v>
      </c>
      <c r="B1542" s="3">
        <v>45878</v>
      </c>
      <c r="C1542" s="2" t="s">
        <v>62</v>
      </c>
      <c r="D1542" s="2" t="s">
        <v>11</v>
      </c>
      <c r="E1542" s="2" t="s">
        <v>22</v>
      </c>
      <c r="F1542" s="2" t="s">
        <v>42</v>
      </c>
      <c r="G1542" s="2" t="s">
        <v>19</v>
      </c>
      <c r="H1542" s="4">
        <v>105629</v>
      </c>
      <c r="I1542" s="4">
        <v>109900</v>
      </c>
    </row>
    <row r="1543" spans="1:9" x14ac:dyDescent="0.3">
      <c r="A1543" s="2" t="s">
        <v>1575</v>
      </c>
      <c r="B1543" s="3">
        <v>45878</v>
      </c>
      <c r="C1543" s="2" t="s">
        <v>62</v>
      </c>
      <c r="D1543" s="2" t="s">
        <v>11</v>
      </c>
      <c r="E1543" s="2" t="s">
        <v>22</v>
      </c>
      <c r="F1543" s="2" t="s">
        <v>12</v>
      </c>
      <c r="G1543" s="2" t="s">
        <v>14</v>
      </c>
      <c r="H1543" s="4">
        <v>123195</v>
      </c>
      <c r="I1543" s="4">
        <v>114400</v>
      </c>
    </row>
    <row r="1544" spans="1:9" x14ac:dyDescent="0.3">
      <c r="A1544" s="2" t="s">
        <v>1576</v>
      </c>
      <c r="B1544" s="3">
        <v>45878</v>
      </c>
      <c r="C1544" s="2" t="s">
        <v>25</v>
      </c>
      <c r="D1544" s="2" t="s">
        <v>11</v>
      </c>
      <c r="E1544" s="2" t="s">
        <v>22</v>
      </c>
      <c r="F1544" s="2" t="s">
        <v>46</v>
      </c>
      <c r="G1544" s="2" t="s">
        <v>19</v>
      </c>
      <c r="H1544" s="4">
        <v>32033</v>
      </c>
      <c r="I1544" s="4">
        <v>31400</v>
      </c>
    </row>
    <row r="1545" spans="1:9" x14ac:dyDescent="0.3">
      <c r="A1545" s="2" t="s">
        <v>1577</v>
      </c>
      <c r="B1545" s="3">
        <v>45878</v>
      </c>
      <c r="C1545" s="2" t="s">
        <v>25</v>
      </c>
      <c r="D1545" s="2" t="s">
        <v>11</v>
      </c>
      <c r="E1545" s="2" t="s">
        <v>22</v>
      </c>
      <c r="F1545" s="2" t="s">
        <v>12</v>
      </c>
      <c r="G1545" s="2" t="s">
        <v>14</v>
      </c>
      <c r="H1545" s="4">
        <v>42428</v>
      </c>
      <c r="I1545" s="4">
        <v>36600</v>
      </c>
    </row>
    <row r="1546" spans="1:9" x14ac:dyDescent="0.3">
      <c r="A1546" s="2" t="s">
        <v>1578</v>
      </c>
      <c r="B1546" s="3">
        <v>45878</v>
      </c>
      <c r="C1546" s="2" t="s">
        <v>25</v>
      </c>
      <c r="D1546" s="2" t="s">
        <v>11</v>
      </c>
      <c r="E1546" s="2" t="s">
        <v>22</v>
      </c>
      <c r="F1546" s="2" t="s">
        <v>12</v>
      </c>
      <c r="G1546" s="2" t="s">
        <v>14</v>
      </c>
      <c r="H1546" s="4">
        <v>113393</v>
      </c>
      <c r="I1546" s="4">
        <v>111100</v>
      </c>
    </row>
    <row r="1547" spans="1:9" x14ac:dyDescent="0.3">
      <c r="A1547" s="2" t="s">
        <v>1579</v>
      </c>
      <c r="B1547" s="3">
        <v>45878</v>
      </c>
      <c r="C1547" s="2" t="s">
        <v>31</v>
      </c>
      <c r="D1547" s="2" t="s">
        <v>11</v>
      </c>
      <c r="E1547" s="2" t="s">
        <v>17</v>
      </c>
      <c r="F1547" s="2" t="s">
        <v>42</v>
      </c>
      <c r="G1547" s="2" t="s">
        <v>19</v>
      </c>
      <c r="H1547" s="4">
        <v>43942</v>
      </c>
      <c r="I1547" s="4">
        <v>48400</v>
      </c>
    </row>
    <row r="1548" spans="1:9" x14ac:dyDescent="0.3">
      <c r="A1548" s="2" t="s">
        <v>1580</v>
      </c>
      <c r="B1548" s="3">
        <v>45879</v>
      </c>
      <c r="C1548" s="2" t="s">
        <v>62</v>
      </c>
      <c r="D1548" s="2" t="s">
        <v>11</v>
      </c>
      <c r="E1548" s="2" t="s">
        <v>22</v>
      </c>
      <c r="F1548" s="2" t="s">
        <v>39</v>
      </c>
      <c r="G1548" s="2" t="s">
        <v>19</v>
      </c>
      <c r="H1548" s="4">
        <v>95023</v>
      </c>
      <c r="I1548" s="4">
        <v>101300</v>
      </c>
    </row>
    <row r="1549" spans="1:9" x14ac:dyDescent="0.3">
      <c r="A1549" s="2" t="s">
        <v>1581</v>
      </c>
      <c r="B1549" s="3">
        <v>45879</v>
      </c>
      <c r="C1549" s="2" t="s">
        <v>16</v>
      </c>
      <c r="D1549" s="2" t="s">
        <v>11</v>
      </c>
      <c r="E1549" s="2" t="s">
        <v>17</v>
      </c>
      <c r="F1549" s="2" t="s">
        <v>13</v>
      </c>
      <c r="G1549" s="2" t="s">
        <v>14</v>
      </c>
      <c r="H1549" s="4">
        <v>131074</v>
      </c>
      <c r="I1549" s="4">
        <v>125600</v>
      </c>
    </row>
    <row r="1550" spans="1:9" x14ac:dyDescent="0.3">
      <c r="A1550" s="2" t="s">
        <v>1582</v>
      </c>
      <c r="B1550" s="3">
        <v>45879</v>
      </c>
      <c r="C1550" s="2" t="s">
        <v>16</v>
      </c>
      <c r="D1550" s="2" t="s">
        <v>11</v>
      </c>
      <c r="E1550" s="2" t="s">
        <v>17</v>
      </c>
      <c r="F1550" s="2" t="s">
        <v>26</v>
      </c>
      <c r="G1550" s="2" t="s">
        <v>14</v>
      </c>
      <c r="H1550" s="4">
        <v>243889</v>
      </c>
      <c r="I1550" s="4">
        <v>220700</v>
      </c>
    </row>
    <row r="1551" spans="1:9" x14ac:dyDescent="0.3">
      <c r="A1551" s="2" t="s">
        <v>1583</v>
      </c>
      <c r="B1551" s="3">
        <v>45879</v>
      </c>
      <c r="C1551" s="2" t="s">
        <v>21</v>
      </c>
      <c r="D1551" s="2" t="s">
        <v>11</v>
      </c>
      <c r="E1551" s="2" t="s">
        <v>22</v>
      </c>
      <c r="F1551" s="2" t="s">
        <v>18</v>
      </c>
      <c r="G1551" s="2" t="s">
        <v>19</v>
      </c>
      <c r="H1551" s="4">
        <v>118178</v>
      </c>
      <c r="I1551" s="4">
        <v>114400</v>
      </c>
    </row>
    <row r="1552" spans="1:9" x14ac:dyDescent="0.3">
      <c r="A1552" s="2" t="s">
        <v>1584</v>
      </c>
      <c r="B1552" s="3">
        <v>45879</v>
      </c>
      <c r="C1552" s="2" t="s">
        <v>21</v>
      </c>
      <c r="D1552" s="2" t="s">
        <v>11</v>
      </c>
      <c r="E1552" s="2" t="s">
        <v>22</v>
      </c>
      <c r="F1552" s="2" t="s">
        <v>39</v>
      </c>
      <c r="G1552" s="2" t="s">
        <v>19</v>
      </c>
      <c r="H1552" s="4">
        <v>29987</v>
      </c>
      <c r="I1552" s="4">
        <v>32000</v>
      </c>
    </row>
    <row r="1553" spans="1:9" x14ac:dyDescent="0.3">
      <c r="A1553" s="2" t="s">
        <v>1585</v>
      </c>
      <c r="B1553" s="3">
        <v>45879</v>
      </c>
      <c r="C1553" s="2" t="s">
        <v>21</v>
      </c>
      <c r="D1553" s="2" t="s">
        <v>11</v>
      </c>
      <c r="E1553" s="2" t="s">
        <v>22</v>
      </c>
      <c r="F1553" s="2" t="s">
        <v>33</v>
      </c>
      <c r="G1553" s="2" t="s">
        <v>19</v>
      </c>
      <c r="H1553" s="4">
        <v>84942</v>
      </c>
      <c r="I1553" s="4">
        <v>83200</v>
      </c>
    </row>
    <row r="1554" spans="1:9" x14ac:dyDescent="0.3">
      <c r="A1554" s="2" t="s">
        <v>1586</v>
      </c>
      <c r="B1554" s="3">
        <v>45879</v>
      </c>
      <c r="C1554" s="2" t="s">
        <v>31</v>
      </c>
      <c r="D1554" s="2" t="s">
        <v>11</v>
      </c>
      <c r="E1554" s="2" t="s">
        <v>17</v>
      </c>
      <c r="F1554" s="2" t="s">
        <v>42</v>
      </c>
      <c r="G1554" s="2" t="s">
        <v>19</v>
      </c>
      <c r="H1554" s="4">
        <v>23592</v>
      </c>
      <c r="I1554" s="4">
        <v>21300</v>
      </c>
    </row>
    <row r="1555" spans="1:9" x14ac:dyDescent="0.3">
      <c r="A1555" s="2" t="s">
        <v>1587</v>
      </c>
      <c r="B1555" s="3">
        <v>45879</v>
      </c>
      <c r="C1555" s="2" t="s">
        <v>55</v>
      </c>
      <c r="D1555" s="2" t="s">
        <v>11</v>
      </c>
      <c r="E1555" s="2" t="s">
        <v>37</v>
      </c>
      <c r="F1555" s="2" t="s">
        <v>37</v>
      </c>
      <c r="G1555" s="2" t="s">
        <v>14</v>
      </c>
      <c r="H1555" s="4">
        <v>207876</v>
      </c>
      <c r="I1555" s="4">
        <v>184600</v>
      </c>
    </row>
    <row r="1556" spans="1:9" x14ac:dyDescent="0.3">
      <c r="A1556" s="2" t="s">
        <v>1588</v>
      </c>
      <c r="B1556" s="3">
        <v>45880</v>
      </c>
      <c r="C1556" s="2" t="s">
        <v>62</v>
      </c>
      <c r="D1556" s="2" t="s">
        <v>11</v>
      </c>
      <c r="E1556" s="2" t="s">
        <v>22</v>
      </c>
      <c r="F1556" s="2" t="s">
        <v>56</v>
      </c>
      <c r="G1556" s="2" t="s">
        <v>19</v>
      </c>
      <c r="H1556" s="4">
        <v>38320</v>
      </c>
      <c r="I1556" s="4">
        <v>35400</v>
      </c>
    </row>
    <row r="1557" spans="1:9" x14ac:dyDescent="0.3">
      <c r="A1557" s="2" t="s">
        <v>1589</v>
      </c>
      <c r="B1557" s="3">
        <v>45880</v>
      </c>
      <c r="C1557" s="2" t="s">
        <v>62</v>
      </c>
      <c r="D1557" s="2" t="s">
        <v>11</v>
      </c>
      <c r="E1557" s="2" t="s">
        <v>22</v>
      </c>
      <c r="F1557" s="2" t="s">
        <v>12</v>
      </c>
      <c r="G1557" s="2" t="s">
        <v>14</v>
      </c>
      <c r="H1557" s="4">
        <v>245153</v>
      </c>
      <c r="I1557" s="4">
        <v>276200</v>
      </c>
    </row>
    <row r="1558" spans="1:9" x14ac:dyDescent="0.3">
      <c r="A1558" s="2" t="s">
        <v>1590</v>
      </c>
      <c r="B1558" s="3">
        <v>45880</v>
      </c>
      <c r="C1558" s="2" t="s">
        <v>62</v>
      </c>
      <c r="D1558" s="2" t="s">
        <v>11</v>
      </c>
      <c r="E1558" s="2" t="s">
        <v>22</v>
      </c>
      <c r="F1558" s="2" t="s">
        <v>59</v>
      </c>
      <c r="G1558" s="2" t="s">
        <v>14</v>
      </c>
      <c r="H1558" s="4">
        <v>61882</v>
      </c>
      <c r="I1558" s="4">
        <v>61800</v>
      </c>
    </row>
    <row r="1559" spans="1:9" x14ac:dyDescent="0.3">
      <c r="A1559" s="2" t="s">
        <v>1591</v>
      </c>
      <c r="B1559" s="3">
        <v>45880</v>
      </c>
      <c r="C1559" s="2" t="s">
        <v>10</v>
      </c>
      <c r="D1559" s="2" t="s">
        <v>11</v>
      </c>
      <c r="E1559" s="2" t="s">
        <v>12</v>
      </c>
      <c r="F1559" s="2" t="s">
        <v>39</v>
      </c>
      <c r="G1559" s="2" t="s">
        <v>19</v>
      </c>
      <c r="H1559" s="4">
        <v>107146</v>
      </c>
      <c r="I1559" s="4">
        <v>107900</v>
      </c>
    </row>
    <row r="1560" spans="1:9" x14ac:dyDescent="0.3">
      <c r="A1560" s="2" t="s">
        <v>1592</v>
      </c>
      <c r="B1560" s="3">
        <v>45880</v>
      </c>
      <c r="C1560" s="2" t="s">
        <v>16</v>
      </c>
      <c r="D1560" s="2" t="s">
        <v>11</v>
      </c>
      <c r="E1560" s="2" t="s">
        <v>17</v>
      </c>
      <c r="F1560" s="2" t="s">
        <v>59</v>
      </c>
      <c r="G1560" s="2" t="s">
        <v>14</v>
      </c>
      <c r="H1560" s="4">
        <v>79568</v>
      </c>
      <c r="I1560" s="4">
        <v>91900</v>
      </c>
    </row>
    <row r="1561" spans="1:9" x14ac:dyDescent="0.3">
      <c r="A1561" s="2" t="s">
        <v>1593</v>
      </c>
      <c r="B1561" s="3">
        <v>45880</v>
      </c>
      <c r="C1561" s="2" t="s">
        <v>16</v>
      </c>
      <c r="D1561" s="2" t="s">
        <v>11</v>
      </c>
      <c r="E1561" s="2" t="s">
        <v>17</v>
      </c>
      <c r="F1561" s="2" t="s">
        <v>13</v>
      </c>
      <c r="G1561" s="2" t="s">
        <v>14</v>
      </c>
      <c r="H1561" s="4">
        <v>103659</v>
      </c>
      <c r="I1561" s="4">
        <v>87700</v>
      </c>
    </row>
    <row r="1562" spans="1:9" x14ac:dyDescent="0.3">
      <c r="A1562" s="2" t="s">
        <v>1594</v>
      </c>
      <c r="B1562" s="3">
        <v>45880</v>
      </c>
      <c r="C1562" s="2" t="s">
        <v>36</v>
      </c>
      <c r="D1562" s="2" t="s">
        <v>11</v>
      </c>
      <c r="E1562" s="2" t="s">
        <v>37</v>
      </c>
      <c r="F1562" s="2" t="s">
        <v>37</v>
      </c>
      <c r="G1562" s="2" t="s">
        <v>14</v>
      </c>
      <c r="H1562" s="4">
        <v>58680</v>
      </c>
      <c r="I1562" s="4">
        <v>54400</v>
      </c>
    </row>
    <row r="1563" spans="1:9" x14ac:dyDescent="0.3">
      <c r="A1563" s="2" t="s">
        <v>1595</v>
      </c>
      <c r="B1563" s="3">
        <v>45880</v>
      </c>
      <c r="C1563" s="2" t="s">
        <v>36</v>
      </c>
      <c r="D1563" s="2" t="s">
        <v>11</v>
      </c>
      <c r="E1563" s="2" t="s">
        <v>37</v>
      </c>
      <c r="F1563" s="2" t="s">
        <v>13</v>
      </c>
      <c r="G1563" s="2" t="s">
        <v>14</v>
      </c>
      <c r="H1563" s="4">
        <v>233959</v>
      </c>
      <c r="I1563" s="4">
        <v>245000</v>
      </c>
    </row>
    <row r="1564" spans="1:9" x14ac:dyDescent="0.3">
      <c r="A1564" s="2" t="s">
        <v>1596</v>
      </c>
      <c r="B1564" s="3">
        <v>45880</v>
      </c>
      <c r="C1564" s="2" t="s">
        <v>25</v>
      </c>
      <c r="D1564" s="2" t="s">
        <v>11</v>
      </c>
      <c r="E1564" s="2" t="s">
        <v>22</v>
      </c>
      <c r="F1564" s="2" t="s">
        <v>18</v>
      </c>
      <c r="G1564" s="2" t="s">
        <v>19</v>
      </c>
      <c r="H1564" s="4">
        <v>112643</v>
      </c>
      <c r="I1564" s="4">
        <v>109900</v>
      </c>
    </row>
    <row r="1565" spans="1:9" x14ac:dyDescent="0.3">
      <c r="A1565" s="2" t="s">
        <v>1597</v>
      </c>
      <c r="B1565" s="3">
        <v>45880</v>
      </c>
      <c r="C1565" s="2" t="s">
        <v>31</v>
      </c>
      <c r="D1565" s="2" t="s">
        <v>11</v>
      </c>
      <c r="E1565" s="2" t="s">
        <v>17</v>
      </c>
      <c r="F1565" s="2" t="s">
        <v>13</v>
      </c>
      <c r="G1565" s="2" t="s">
        <v>14</v>
      </c>
      <c r="H1565" s="4">
        <v>217888</v>
      </c>
      <c r="I1565" s="4">
        <v>230400</v>
      </c>
    </row>
    <row r="1566" spans="1:9" x14ac:dyDescent="0.3">
      <c r="A1566" s="2" t="s">
        <v>1598</v>
      </c>
      <c r="B1566" s="3">
        <v>45880</v>
      </c>
      <c r="C1566" s="2" t="s">
        <v>55</v>
      </c>
      <c r="D1566" s="2" t="s">
        <v>11</v>
      </c>
      <c r="E1566" s="2" t="s">
        <v>37</v>
      </c>
      <c r="F1566" s="2" t="s">
        <v>42</v>
      </c>
      <c r="G1566" s="2" t="s">
        <v>19</v>
      </c>
      <c r="H1566" s="4">
        <v>107862</v>
      </c>
      <c r="I1566" s="4">
        <v>103900</v>
      </c>
    </row>
    <row r="1567" spans="1:9" x14ac:dyDescent="0.3">
      <c r="A1567" s="2" t="s">
        <v>1599</v>
      </c>
      <c r="B1567" s="3">
        <v>45881</v>
      </c>
      <c r="C1567" s="2" t="s">
        <v>62</v>
      </c>
      <c r="D1567" s="2" t="s">
        <v>11</v>
      </c>
      <c r="E1567" s="2" t="s">
        <v>22</v>
      </c>
      <c r="F1567" s="2" t="s">
        <v>18</v>
      </c>
      <c r="G1567" s="2" t="s">
        <v>19</v>
      </c>
      <c r="H1567" s="4">
        <v>35923</v>
      </c>
      <c r="I1567" s="4">
        <v>34700</v>
      </c>
    </row>
    <row r="1568" spans="1:9" x14ac:dyDescent="0.3">
      <c r="A1568" s="2" t="s">
        <v>1600</v>
      </c>
      <c r="B1568" s="3">
        <v>45881</v>
      </c>
      <c r="C1568" s="2" t="s">
        <v>16</v>
      </c>
      <c r="D1568" s="2" t="s">
        <v>11</v>
      </c>
      <c r="E1568" s="2" t="s">
        <v>17</v>
      </c>
      <c r="F1568" s="2" t="s">
        <v>18</v>
      </c>
      <c r="G1568" s="2" t="s">
        <v>19</v>
      </c>
      <c r="H1568" s="4">
        <v>65916</v>
      </c>
      <c r="I1568" s="4">
        <v>73300</v>
      </c>
    </row>
    <row r="1569" spans="1:9" x14ac:dyDescent="0.3">
      <c r="A1569" s="2" t="s">
        <v>1601</v>
      </c>
      <c r="B1569" s="3">
        <v>45881</v>
      </c>
      <c r="C1569" s="2" t="s">
        <v>36</v>
      </c>
      <c r="D1569" s="2" t="s">
        <v>11</v>
      </c>
      <c r="E1569" s="2" t="s">
        <v>37</v>
      </c>
      <c r="F1569" s="2" t="s">
        <v>23</v>
      </c>
      <c r="G1569" s="2" t="s">
        <v>14</v>
      </c>
      <c r="H1569" s="4">
        <v>172106</v>
      </c>
      <c r="I1569" s="4">
        <v>180700</v>
      </c>
    </row>
    <row r="1570" spans="1:9" x14ac:dyDescent="0.3">
      <c r="A1570" s="2" t="s">
        <v>1602</v>
      </c>
      <c r="B1570" s="3">
        <v>45881</v>
      </c>
      <c r="C1570" s="2" t="s">
        <v>21</v>
      </c>
      <c r="D1570" s="2" t="s">
        <v>11</v>
      </c>
      <c r="E1570" s="2" t="s">
        <v>22</v>
      </c>
      <c r="F1570" s="2" t="s">
        <v>39</v>
      </c>
      <c r="G1570" s="2" t="s">
        <v>19</v>
      </c>
      <c r="H1570" s="4">
        <v>54320</v>
      </c>
      <c r="I1570" s="4">
        <v>48300</v>
      </c>
    </row>
    <row r="1571" spans="1:9" x14ac:dyDescent="0.3">
      <c r="A1571" s="2" t="s">
        <v>1603</v>
      </c>
      <c r="B1571" s="3">
        <v>45881</v>
      </c>
      <c r="C1571" s="2" t="s">
        <v>21</v>
      </c>
      <c r="D1571" s="2" t="s">
        <v>11</v>
      </c>
      <c r="E1571" s="2" t="s">
        <v>22</v>
      </c>
      <c r="F1571" s="2" t="s">
        <v>33</v>
      </c>
      <c r="G1571" s="2" t="s">
        <v>19</v>
      </c>
      <c r="H1571" s="4">
        <v>107158</v>
      </c>
      <c r="I1571" s="4">
        <v>98000</v>
      </c>
    </row>
    <row r="1572" spans="1:9" x14ac:dyDescent="0.3">
      <c r="A1572" s="2" t="s">
        <v>1604</v>
      </c>
      <c r="B1572" s="3">
        <v>45881</v>
      </c>
      <c r="C1572" s="2" t="s">
        <v>21</v>
      </c>
      <c r="D1572" s="2" t="s">
        <v>11</v>
      </c>
      <c r="E1572" s="2" t="s">
        <v>22</v>
      </c>
      <c r="F1572" s="2" t="s">
        <v>26</v>
      </c>
      <c r="G1572" s="2" t="s">
        <v>14</v>
      </c>
      <c r="H1572" s="4">
        <v>193417</v>
      </c>
      <c r="I1572" s="4">
        <v>164400</v>
      </c>
    </row>
    <row r="1573" spans="1:9" x14ac:dyDescent="0.3">
      <c r="A1573" s="2" t="s">
        <v>1605</v>
      </c>
      <c r="B1573" s="3">
        <v>45881</v>
      </c>
      <c r="C1573" s="2" t="s">
        <v>21</v>
      </c>
      <c r="D1573" s="2" t="s">
        <v>11</v>
      </c>
      <c r="E1573" s="2" t="s">
        <v>22</v>
      </c>
      <c r="F1573" s="2" t="s">
        <v>13</v>
      </c>
      <c r="G1573" s="2" t="s">
        <v>14</v>
      </c>
      <c r="H1573" s="4">
        <v>94988</v>
      </c>
      <c r="I1573" s="4">
        <v>96800</v>
      </c>
    </row>
    <row r="1574" spans="1:9" x14ac:dyDescent="0.3">
      <c r="A1574" s="2" t="s">
        <v>1606</v>
      </c>
      <c r="B1574" s="3">
        <v>45881</v>
      </c>
      <c r="C1574" s="2" t="s">
        <v>21</v>
      </c>
      <c r="D1574" s="2" t="s">
        <v>11</v>
      </c>
      <c r="E1574" s="2" t="s">
        <v>22</v>
      </c>
      <c r="F1574" s="2" t="s">
        <v>26</v>
      </c>
      <c r="G1574" s="2" t="s">
        <v>14</v>
      </c>
      <c r="H1574" s="4">
        <v>114628</v>
      </c>
      <c r="I1574" s="4">
        <v>124300</v>
      </c>
    </row>
    <row r="1575" spans="1:9" x14ac:dyDescent="0.3">
      <c r="A1575" s="2" t="s">
        <v>1607</v>
      </c>
      <c r="B1575" s="3">
        <v>45881</v>
      </c>
      <c r="C1575" s="2" t="s">
        <v>25</v>
      </c>
      <c r="D1575" s="2" t="s">
        <v>11</v>
      </c>
      <c r="E1575" s="2" t="s">
        <v>22</v>
      </c>
      <c r="F1575" s="2" t="s">
        <v>37</v>
      </c>
      <c r="G1575" s="2" t="s">
        <v>14</v>
      </c>
      <c r="H1575" s="4">
        <v>237388</v>
      </c>
      <c r="I1575" s="4">
        <v>193200</v>
      </c>
    </row>
    <row r="1576" spans="1:9" x14ac:dyDescent="0.3">
      <c r="A1576" s="2" t="s">
        <v>1608</v>
      </c>
      <c r="B1576" s="3">
        <v>45881</v>
      </c>
      <c r="C1576" s="2" t="s">
        <v>25</v>
      </c>
      <c r="D1576" s="2" t="s">
        <v>11</v>
      </c>
      <c r="E1576" s="2" t="s">
        <v>22</v>
      </c>
      <c r="F1576" s="2" t="s">
        <v>59</v>
      </c>
      <c r="G1576" s="2" t="s">
        <v>14</v>
      </c>
      <c r="H1576" s="4">
        <v>80262</v>
      </c>
      <c r="I1576" s="4">
        <v>76100</v>
      </c>
    </row>
    <row r="1577" spans="1:9" x14ac:dyDescent="0.3">
      <c r="A1577" s="2" t="s">
        <v>1609</v>
      </c>
      <c r="B1577" s="3">
        <v>45882</v>
      </c>
      <c r="C1577" s="2" t="s">
        <v>62</v>
      </c>
      <c r="D1577" s="2" t="s">
        <v>11</v>
      </c>
      <c r="E1577" s="2" t="s">
        <v>22</v>
      </c>
      <c r="F1577" s="2" t="s">
        <v>46</v>
      </c>
      <c r="G1577" s="2" t="s">
        <v>19</v>
      </c>
      <c r="H1577" s="4">
        <v>15448</v>
      </c>
      <c r="I1577" s="4">
        <v>15800</v>
      </c>
    </row>
    <row r="1578" spans="1:9" x14ac:dyDescent="0.3">
      <c r="A1578" s="2" t="s">
        <v>1610</v>
      </c>
      <c r="B1578" s="3">
        <v>45882</v>
      </c>
      <c r="C1578" s="2" t="s">
        <v>62</v>
      </c>
      <c r="D1578" s="2" t="s">
        <v>11</v>
      </c>
      <c r="E1578" s="2" t="s">
        <v>22</v>
      </c>
      <c r="F1578" s="2" t="s">
        <v>13</v>
      </c>
      <c r="G1578" s="2" t="s">
        <v>14</v>
      </c>
      <c r="H1578" s="4">
        <v>41545</v>
      </c>
      <c r="I1578" s="4">
        <v>40600</v>
      </c>
    </row>
    <row r="1579" spans="1:9" x14ac:dyDescent="0.3">
      <c r="A1579" s="2" t="s">
        <v>1611</v>
      </c>
      <c r="B1579" s="3">
        <v>45882</v>
      </c>
      <c r="C1579" s="2" t="s">
        <v>36</v>
      </c>
      <c r="D1579" s="2" t="s">
        <v>11</v>
      </c>
      <c r="E1579" s="2" t="s">
        <v>37</v>
      </c>
      <c r="F1579" s="2" t="s">
        <v>39</v>
      </c>
      <c r="G1579" s="2" t="s">
        <v>19</v>
      </c>
      <c r="H1579" s="4">
        <v>96940</v>
      </c>
      <c r="I1579" s="4">
        <v>95400</v>
      </c>
    </row>
    <row r="1580" spans="1:9" x14ac:dyDescent="0.3">
      <c r="A1580" s="2" t="s">
        <v>1612</v>
      </c>
      <c r="B1580" s="3">
        <v>45882</v>
      </c>
      <c r="C1580" s="2" t="s">
        <v>36</v>
      </c>
      <c r="D1580" s="2" t="s">
        <v>11</v>
      </c>
      <c r="E1580" s="2" t="s">
        <v>37</v>
      </c>
      <c r="F1580" s="2" t="s">
        <v>33</v>
      </c>
      <c r="G1580" s="2" t="s">
        <v>19</v>
      </c>
      <c r="H1580" s="4">
        <v>119129</v>
      </c>
      <c r="I1580" s="4">
        <v>138400</v>
      </c>
    </row>
    <row r="1581" spans="1:9" x14ac:dyDescent="0.3">
      <c r="A1581" s="2" t="s">
        <v>1613</v>
      </c>
      <c r="B1581" s="3">
        <v>45882</v>
      </c>
      <c r="C1581" s="2" t="s">
        <v>21</v>
      </c>
      <c r="D1581" s="2" t="s">
        <v>11</v>
      </c>
      <c r="E1581" s="2" t="s">
        <v>22</v>
      </c>
      <c r="F1581" s="2" t="s">
        <v>59</v>
      </c>
      <c r="G1581" s="2" t="s">
        <v>14</v>
      </c>
      <c r="H1581" s="4">
        <v>169632</v>
      </c>
      <c r="I1581" s="4">
        <v>175000</v>
      </c>
    </row>
    <row r="1582" spans="1:9" x14ac:dyDescent="0.3">
      <c r="A1582" s="2" t="s">
        <v>1614</v>
      </c>
      <c r="B1582" s="3">
        <v>45882</v>
      </c>
      <c r="C1582" s="2" t="s">
        <v>25</v>
      </c>
      <c r="D1582" s="2" t="s">
        <v>11</v>
      </c>
      <c r="E1582" s="2" t="s">
        <v>22</v>
      </c>
      <c r="F1582" s="2" t="s">
        <v>46</v>
      </c>
      <c r="G1582" s="2" t="s">
        <v>19</v>
      </c>
      <c r="H1582" s="4">
        <v>96090</v>
      </c>
      <c r="I1582" s="4">
        <v>106600</v>
      </c>
    </row>
    <row r="1583" spans="1:9" x14ac:dyDescent="0.3">
      <c r="A1583" s="2" t="s">
        <v>1615</v>
      </c>
      <c r="B1583" s="3">
        <v>45882</v>
      </c>
      <c r="C1583" s="2" t="s">
        <v>25</v>
      </c>
      <c r="D1583" s="2" t="s">
        <v>11</v>
      </c>
      <c r="E1583" s="2" t="s">
        <v>22</v>
      </c>
      <c r="F1583" s="2" t="s">
        <v>59</v>
      </c>
      <c r="G1583" s="2" t="s">
        <v>14</v>
      </c>
      <c r="H1583" s="4">
        <v>235584</v>
      </c>
      <c r="I1583" s="4">
        <v>250600</v>
      </c>
    </row>
    <row r="1584" spans="1:9" x14ac:dyDescent="0.3">
      <c r="A1584" s="2" t="s">
        <v>1616</v>
      </c>
      <c r="B1584" s="3">
        <v>45882</v>
      </c>
      <c r="C1584" s="2" t="s">
        <v>55</v>
      </c>
      <c r="D1584" s="2" t="s">
        <v>11</v>
      </c>
      <c r="E1584" s="2" t="s">
        <v>37</v>
      </c>
      <c r="F1584" s="2" t="s">
        <v>26</v>
      </c>
      <c r="G1584" s="2" t="s">
        <v>14</v>
      </c>
      <c r="H1584" s="4">
        <v>88843</v>
      </c>
      <c r="I1584" s="4">
        <v>95900</v>
      </c>
    </row>
    <row r="1585" spans="1:9" x14ac:dyDescent="0.3">
      <c r="A1585" s="2" t="s">
        <v>1617</v>
      </c>
      <c r="B1585" s="3">
        <v>45883</v>
      </c>
      <c r="C1585" s="2" t="s">
        <v>62</v>
      </c>
      <c r="D1585" s="2" t="s">
        <v>11</v>
      </c>
      <c r="E1585" s="2" t="s">
        <v>22</v>
      </c>
      <c r="F1585" s="2" t="s">
        <v>13</v>
      </c>
      <c r="G1585" s="2" t="s">
        <v>14</v>
      </c>
      <c r="H1585" s="4">
        <v>48206</v>
      </c>
      <c r="I1585" s="4">
        <v>48900</v>
      </c>
    </row>
    <row r="1586" spans="1:9" x14ac:dyDescent="0.3">
      <c r="A1586" s="2" t="s">
        <v>1618</v>
      </c>
      <c r="B1586" s="3">
        <v>45883</v>
      </c>
      <c r="C1586" s="2" t="s">
        <v>10</v>
      </c>
      <c r="D1586" s="2" t="s">
        <v>11</v>
      </c>
      <c r="E1586" s="2" t="s">
        <v>12</v>
      </c>
      <c r="F1586" s="2" t="s">
        <v>33</v>
      </c>
      <c r="G1586" s="2" t="s">
        <v>19</v>
      </c>
      <c r="H1586" s="4">
        <v>24536</v>
      </c>
      <c r="I1586" s="4">
        <v>25400</v>
      </c>
    </row>
    <row r="1587" spans="1:9" x14ac:dyDescent="0.3">
      <c r="A1587" s="2" t="s">
        <v>1619</v>
      </c>
      <c r="B1587" s="3">
        <v>45883</v>
      </c>
      <c r="C1587" s="2" t="s">
        <v>16</v>
      </c>
      <c r="D1587" s="2" t="s">
        <v>11</v>
      </c>
      <c r="E1587" s="2" t="s">
        <v>17</v>
      </c>
      <c r="F1587" s="2" t="s">
        <v>42</v>
      </c>
      <c r="G1587" s="2" t="s">
        <v>19</v>
      </c>
      <c r="H1587" s="4">
        <v>94684</v>
      </c>
      <c r="I1587" s="4">
        <v>110100</v>
      </c>
    </row>
    <row r="1588" spans="1:9" x14ac:dyDescent="0.3">
      <c r="A1588" s="2" t="s">
        <v>1620</v>
      </c>
      <c r="B1588" s="3">
        <v>45883</v>
      </c>
      <c r="C1588" s="2" t="s">
        <v>16</v>
      </c>
      <c r="D1588" s="2" t="s">
        <v>11</v>
      </c>
      <c r="E1588" s="2" t="s">
        <v>17</v>
      </c>
      <c r="F1588" s="2" t="s">
        <v>12</v>
      </c>
      <c r="G1588" s="2" t="s">
        <v>14</v>
      </c>
      <c r="H1588" s="4">
        <v>103695</v>
      </c>
      <c r="I1588" s="4">
        <v>120600</v>
      </c>
    </row>
    <row r="1589" spans="1:9" x14ac:dyDescent="0.3">
      <c r="A1589" s="2" t="s">
        <v>1621</v>
      </c>
      <c r="B1589" s="3">
        <v>45883</v>
      </c>
      <c r="C1589" s="2" t="s">
        <v>36</v>
      </c>
      <c r="D1589" s="2" t="s">
        <v>11</v>
      </c>
      <c r="E1589" s="2" t="s">
        <v>37</v>
      </c>
      <c r="F1589" s="2" t="s">
        <v>56</v>
      </c>
      <c r="G1589" s="2" t="s">
        <v>19</v>
      </c>
      <c r="H1589" s="4">
        <v>74331</v>
      </c>
      <c r="I1589" s="4">
        <v>80000</v>
      </c>
    </row>
    <row r="1590" spans="1:9" x14ac:dyDescent="0.3">
      <c r="A1590" s="2" t="s">
        <v>1622</v>
      </c>
      <c r="B1590" s="3">
        <v>45883</v>
      </c>
      <c r="C1590" s="2" t="s">
        <v>21</v>
      </c>
      <c r="D1590" s="2" t="s">
        <v>11</v>
      </c>
      <c r="E1590" s="2" t="s">
        <v>22</v>
      </c>
      <c r="F1590" s="2" t="s">
        <v>39</v>
      </c>
      <c r="G1590" s="2" t="s">
        <v>19</v>
      </c>
      <c r="H1590" s="4">
        <v>110716</v>
      </c>
      <c r="I1590" s="4">
        <v>84800</v>
      </c>
    </row>
    <row r="1591" spans="1:9" x14ac:dyDescent="0.3">
      <c r="A1591" s="2" t="s">
        <v>1623</v>
      </c>
      <c r="B1591" s="3">
        <v>45883</v>
      </c>
      <c r="C1591" s="2" t="s">
        <v>55</v>
      </c>
      <c r="D1591" s="2" t="s">
        <v>11</v>
      </c>
      <c r="E1591" s="2" t="s">
        <v>37</v>
      </c>
      <c r="F1591" s="2" t="s">
        <v>33</v>
      </c>
      <c r="G1591" s="2" t="s">
        <v>19</v>
      </c>
      <c r="H1591" s="4">
        <v>58380</v>
      </c>
      <c r="I1591" s="4">
        <v>59600</v>
      </c>
    </row>
    <row r="1592" spans="1:9" x14ac:dyDescent="0.3">
      <c r="A1592" s="2" t="s">
        <v>1624</v>
      </c>
      <c r="B1592" s="3">
        <v>45883</v>
      </c>
      <c r="C1592" s="2" t="s">
        <v>55</v>
      </c>
      <c r="D1592" s="2" t="s">
        <v>11</v>
      </c>
      <c r="E1592" s="2" t="s">
        <v>37</v>
      </c>
      <c r="F1592" s="2" t="s">
        <v>23</v>
      </c>
      <c r="G1592" s="2" t="s">
        <v>14</v>
      </c>
      <c r="H1592" s="4">
        <v>94368</v>
      </c>
      <c r="I1592" s="4">
        <v>93900</v>
      </c>
    </row>
    <row r="1593" spans="1:9" x14ac:dyDescent="0.3">
      <c r="A1593" s="2" t="s">
        <v>1625</v>
      </c>
      <c r="B1593" s="3">
        <v>45883</v>
      </c>
      <c r="C1593" s="2" t="s">
        <v>55</v>
      </c>
      <c r="D1593" s="2" t="s">
        <v>11</v>
      </c>
      <c r="E1593" s="2" t="s">
        <v>37</v>
      </c>
      <c r="F1593" s="2" t="s">
        <v>23</v>
      </c>
      <c r="G1593" s="2" t="s">
        <v>14</v>
      </c>
      <c r="H1593" s="4">
        <v>90981</v>
      </c>
      <c r="I1593" s="4">
        <v>108900</v>
      </c>
    </row>
    <row r="1594" spans="1:9" x14ac:dyDescent="0.3">
      <c r="A1594" s="2" t="s">
        <v>1626</v>
      </c>
      <c r="B1594" s="3">
        <v>45884</v>
      </c>
      <c r="C1594" s="2" t="s">
        <v>62</v>
      </c>
      <c r="D1594" s="2" t="s">
        <v>11</v>
      </c>
      <c r="E1594" s="2" t="s">
        <v>22</v>
      </c>
      <c r="F1594" s="2" t="s">
        <v>26</v>
      </c>
      <c r="G1594" s="2" t="s">
        <v>14</v>
      </c>
      <c r="H1594" s="4">
        <v>49954</v>
      </c>
      <c r="I1594" s="4">
        <v>45000</v>
      </c>
    </row>
    <row r="1595" spans="1:9" x14ac:dyDescent="0.3">
      <c r="A1595" s="2" t="s">
        <v>1627</v>
      </c>
      <c r="B1595" s="3">
        <v>45884</v>
      </c>
      <c r="C1595" s="2" t="s">
        <v>16</v>
      </c>
      <c r="D1595" s="2" t="s">
        <v>11</v>
      </c>
      <c r="E1595" s="2" t="s">
        <v>17</v>
      </c>
      <c r="F1595" s="2" t="s">
        <v>42</v>
      </c>
      <c r="G1595" s="2" t="s">
        <v>19</v>
      </c>
      <c r="H1595" s="4">
        <v>54090</v>
      </c>
      <c r="I1595" s="4">
        <v>62200</v>
      </c>
    </row>
    <row r="1596" spans="1:9" x14ac:dyDescent="0.3">
      <c r="A1596" s="2" t="s">
        <v>1628</v>
      </c>
      <c r="B1596" s="3">
        <v>45884</v>
      </c>
      <c r="C1596" s="2" t="s">
        <v>36</v>
      </c>
      <c r="D1596" s="2" t="s">
        <v>11</v>
      </c>
      <c r="E1596" s="2" t="s">
        <v>37</v>
      </c>
      <c r="F1596" s="2" t="s">
        <v>46</v>
      </c>
      <c r="G1596" s="2" t="s">
        <v>19</v>
      </c>
      <c r="H1596" s="4">
        <v>117968</v>
      </c>
      <c r="I1596" s="4">
        <v>124800</v>
      </c>
    </row>
    <row r="1597" spans="1:9" x14ac:dyDescent="0.3">
      <c r="A1597" s="2" t="s">
        <v>1629</v>
      </c>
      <c r="B1597" s="3">
        <v>45884</v>
      </c>
      <c r="C1597" s="2" t="s">
        <v>36</v>
      </c>
      <c r="D1597" s="2" t="s">
        <v>11</v>
      </c>
      <c r="E1597" s="2" t="s">
        <v>37</v>
      </c>
      <c r="F1597" s="2" t="s">
        <v>26</v>
      </c>
      <c r="G1597" s="2" t="s">
        <v>14</v>
      </c>
      <c r="H1597" s="4">
        <v>32521</v>
      </c>
      <c r="I1597" s="4">
        <v>33000</v>
      </c>
    </row>
    <row r="1598" spans="1:9" x14ac:dyDescent="0.3">
      <c r="A1598" s="2" t="s">
        <v>1630</v>
      </c>
      <c r="B1598" s="3">
        <v>45884</v>
      </c>
      <c r="C1598" s="2" t="s">
        <v>21</v>
      </c>
      <c r="D1598" s="2" t="s">
        <v>11</v>
      </c>
      <c r="E1598" s="2" t="s">
        <v>22</v>
      </c>
      <c r="F1598" s="2" t="s">
        <v>13</v>
      </c>
      <c r="G1598" s="2" t="s">
        <v>14</v>
      </c>
      <c r="H1598" s="4">
        <v>249213</v>
      </c>
      <c r="I1598" s="4">
        <v>236700</v>
      </c>
    </row>
    <row r="1599" spans="1:9" x14ac:dyDescent="0.3">
      <c r="A1599" s="2" t="s">
        <v>1631</v>
      </c>
      <c r="B1599" s="3">
        <v>45884</v>
      </c>
      <c r="C1599" s="2" t="s">
        <v>21</v>
      </c>
      <c r="D1599" s="2" t="s">
        <v>11</v>
      </c>
      <c r="E1599" s="2" t="s">
        <v>22</v>
      </c>
      <c r="F1599" s="2" t="s">
        <v>23</v>
      </c>
      <c r="G1599" s="2" t="s">
        <v>14</v>
      </c>
      <c r="H1599" s="4">
        <v>237870</v>
      </c>
      <c r="I1599" s="4">
        <v>225200</v>
      </c>
    </row>
    <row r="1600" spans="1:9" x14ac:dyDescent="0.3">
      <c r="A1600" s="2" t="s">
        <v>1632</v>
      </c>
      <c r="B1600" s="3">
        <v>45884</v>
      </c>
      <c r="C1600" s="2" t="s">
        <v>55</v>
      </c>
      <c r="D1600" s="2" t="s">
        <v>11</v>
      </c>
      <c r="E1600" s="2" t="s">
        <v>37</v>
      </c>
      <c r="F1600" s="2" t="s">
        <v>26</v>
      </c>
      <c r="G1600" s="2" t="s">
        <v>14</v>
      </c>
      <c r="H1600" s="4">
        <v>237208</v>
      </c>
      <c r="I1600" s="4">
        <v>216400</v>
      </c>
    </row>
    <row r="1601" spans="1:9" x14ac:dyDescent="0.3">
      <c r="A1601" s="2" t="s">
        <v>1633</v>
      </c>
      <c r="B1601" s="3">
        <v>45884</v>
      </c>
      <c r="C1601" s="2" t="s">
        <v>55</v>
      </c>
      <c r="D1601" s="2" t="s">
        <v>11</v>
      </c>
      <c r="E1601" s="2" t="s">
        <v>37</v>
      </c>
      <c r="F1601" s="2" t="s">
        <v>13</v>
      </c>
      <c r="G1601" s="2" t="s">
        <v>14</v>
      </c>
      <c r="H1601" s="4">
        <v>235622</v>
      </c>
      <c r="I1601" s="4">
        <v>181800</v>
      </c>
    </row>
    <row r="1602" spans="1:9" x14ac:dyDescent="0.3">
      <c r="A1602" s="2" t="s">
        <v>1634</v>
      </c>
      <c r="B1602" s="3">
        <v>45885</v>
      </c>
      <c r="C1602" s="2" t="s">
        <v>36</v>
      </c>
      <c r="D1602" s="2" t="s">
        <v>11</v>
      </c>
      <c r="E1602" s="2" t="s">
        <v>37</v>
      </c>
      <c r="F1602" s="2" t="s">
        <v>42</v>
      </c>
      <c r="G1602" s="2" t="s">
        <v>19</v>
      </c>
      <c r="H1602" s="4">
        <v>34991</v>
      </c>
      <c r="I1602" s="4">
        <v>35000</v>
      </c>
    </row>
    <row r="1603" spans="1:9" x14ac:dyDescent="0.3">
      <c r="A1603" s="2" t="s">
        <v>1635</v>
      </c>
      <c r="B1603" s="3">
        <v>45885</v>
      </c>
      <c r="C1603" s="2" t="s">
        <v>36</v>
      </c>
      <c r="D1603" s="2" t="s">
        <v>11</v>
      </c>
      <c r="E1603" s="2" t="s">
        <v>37</v>
      </c>
      <c r="F1603" s="2" t="s">
        <v>12</v>
      </c>
      <c r="G1603" s="2" t="s">
        <v>14</v>
      </c>
      <c r="H1603" s="4">
        <v>82689</v>
      </c>
      <c r="I1603" s="4">
        <v>82500</v>
      </c>
    </row>
    <row r="1604" spans="1:9" x14ac:dyDescent="0.3">
      <c r="A1604" s="2" t="s">
        <v>1636</v>
      </c>
      <c r="B1604" s="3">
        <v>45885</v>
      </c>
      <c r="C1604" s="2" t="s">
        <v>25</v>
      </c>
      <c r="D1604" s="2" t="s">
        <v>11</v>
      </c>
      <c r="E1604" s="2" t="s">
        <v>22</v>
      </c>
      <c r="F1604" s="2" t="s">
        <v>59</v>
      </c>
      <c r="G1604" s="2" t="s">
        <v>14</v>
      </c>
      <c r="H1604" s="4">
        <v>240646</v>
      </c>
      <c r="I1604" s="4">
        <v>244200</v>
      </c>
    </row>
    <row r="1605" spans="1:9" x14ac:dyDescent="0.3">
      <c r="A1605" s="2" t="s">
        <v>1637</v>
      </c>
      <c r="B1605" s="3">
        <v>45885</v>
      </c>
      <c r="C1605" s="2" t="s">
        <v>25</v>
      </c>
      <c r="D1605" s="2" t="s">
        <v>11</v>
      </c>
      <c r="E1605" s="2" t="s">
        <v>22</v>
      </c>
      <c r="F1605" s="2" t="s">
        <v>59</v>
      </c>
      <c r="G1605" s="2" t="s">
        <v>14</v>
      </c>
      <c r="H1605" s="4">
        <v>68210</v>
      </c>
      <c r="I1605" s="4">
        <v>68400</v>
      </c>
    </row>
    <row r="1606" spans="1:9" x14ac:dyDescent="0.3">
      <c r="A1606" s="2" t="s">
        <v>1638</v>
      </c>
      <c r="B1606" s="3">
        <v>45885</v>
      </c>
      <c r="C1606" s="2" t="s">
        <v>55</v>
      </c>
      <c r="D1606" s="2" t="s">
        <v>11</v>
      </c>
      <c r="E1606" s="2" t="s">
        <v>37</v>
      </c>
      <c r="F1606" s="2" t="s">
        <v>23</v>
      </c>
      <c r="G1606" s="2" t="s">
        <v>14</v>
      </c>
      <c r="H1606" s="4">
        <v>92492</v>
      </c>
      <c r="I1606" s="4">
        <v>81800</v>
      </c>
    </row>
    <row r="1607" spans="1:9" x14ac:dyDescent="0.3">
      <c r="A1607" s="2" t="s">
        <v>1639</v>
      </c>
      <c r="B1607" s="3">
        <v>45886</v>
      </c>
      <c r="C1607" s="2" t="s">
        <v>16</v>
      </c>
      <c r="D1607" s="2" t="s">
        <v>11</v>
      </c>
      <c r="E1607" s="2" t="s">
        <v>17</v>
      </c>
      <c r="F1607" s="2" t="s">
        <v>23</v>
      </c>
      <c r="G1607" s="2" t="s">
        <v>14</v>
      </c>
      <c r="H1607" s="4">
        <v>49551</v>
      </c>
      <c r="I1607" s="4">
        <v>40000</v>
      </c>
    </row>
    <row r="1608" spans="1:9" x14ac:dyDescent="0.3">
      <c r="A1608" s="2" t="s">
        <v>1640</v>
      </c>
      <c r="B1608" s="3">
        <v>45886</v>
      </c>
      <c r="C1608" s="2" t="s">
        <v>36</v>
      </c>
      <c r="D1608" s="2" t="s">
        <v>11</v>
      </c>
      <c r="E1608" s="2" t="s">
        <v>37</v>
      </c>
      <c r="F1608" s="2" t="s">
        <v>23</v>
      </c>
      <c r="G1608" s="2" t="s">
        <v>14</v>
      </c>
      <c r="H1608" s="4">
        <v>62546</v>
      </c>
      <c r="I1608" s="4">
        <v>57900</v>
      </c>
    </row>
    <row r="1609" spans="1:9" x14ac:dyDescent="0.3">
      <c r="A1609" s="2" t="s">
        <v>1641</v>
      </c>
      <c r="B1609" s="3">
        <v>45886</v>
      </c>
      <c r="C1609" s="2" t="s">
        <v>21</v>
      </c>
      <c r="D1609" s="2" t="s">
        <v>11</v>
      </c>
      <c r="E1609" s="2" t="s">
        <v>22</v>
      </c>
      <c r="F1609" s="2" t="s">
        <v>39</v>
      </c>
      <c r="G1609" s="2" t="s">
        <v>19</v>
      </c>
      <c r="H1609" s="4">
        <v>38268</v>
      </c>
      <c r="I1609" s="4">
        <v>37900</v>
      </c>
    </row>
    <row r="1610" spans="1:9" x14ac:dyDescent="0.3">
      <c r="A1610" s="2" t="s">
        <v>1642</v>
      </c>
      <c r="B1610" s="3">
        <v>45886</v>
      </c>
      <c r="C1610" s="2" t="s">
        <v>21</v>
      </c>
      <c r="D1610" s="2" t="s">
        <v>11</v>
      </c>
      <c r="E1610" s="2" t="s">
        <v>22</v>
      </c>
      <c r="F1610" s="2" t="s">
        <v>42</v>
      </c>
      <c r="G1610" s="2" t="s">
        <v>19</v>
      </c>
      <c r="H1610" s="4">
        <v>102825</v>
      </c>
      <c r="I1610" s="4">
        <v>101900</v>
      </c>
    </row>
    <row r="1611" spans="1:9" x14ac:dyDescent="0.3">
      <c r="A1611" s="2" t="s">
        <v>1643</v>
      </c>
      <c r="B1611" s="3">
        <v>45886</v>
      </c>
      <c r="C1611" s="2" t="s">
        <v>25</v>
      </c>
      <c r="D1611" s="2" t="s">
        <v>11</v>
      </c>
      <c r="E1611" s="2" t="s">
        <v>22</v>
      </c>
      <c r="F1611" s="2" t="s">
        <v>33</v>
      </c>
      <c r="G1611" s="2" t="s">
        <v>19</v>
      </c>
      <c r="H1611" s="4">
        <v>45215</v>
      </c>
      <c r="I1611" s="4">
        <v>47400</v>
      </c>
    </row>
    <row r="1612" spans="1:9" x14ac:dyDescent="0.3">
      <c r="A1612" s="2" t="s">
        <v>1644</v>
      </c>
      <c r="B1612" s="3">
        <v>45886</v>
      </c>
      <c r="C1612" s="2" t="s">
        <v>31</v>
      </c>
      <c r="D1612" s="2" t="s">
        <v>11</v>
      </c>
      <c r="E1612" s="2" t="s">
        <v>17</v>
      </c>
      <c r="F1612" s="2" t="s">
        <v>46</v>
      </c>
      <c r="G1612" s="2" t="s">
        <v>19</v>
      </c>
      <c r="H1612" s="4">
        <v>73551</v>
      </c>
      <c r="I1612" s="4">
        <v>70300</v>
      </c>
    </row>
    <row r="1613" spans="1:9" x14ac:dyDescent="0.3">
      <c r="A1613" s="2" t="s">
        <v>1645</v>
      </c>
      <c r="B1613" s="3">
        <v>45886</v>
      </c>
      <c r="C1613" s="2" t="s">
        <v>55</v>
      </c>
      <c r="D1613" s="2" t="s">
        <v>11</v>
      </c>
      <c r="E1613" s="2" t="s">
        <v>37</v>
      </c>
      <c r="F1613" s="2" t="s">
        <v>46</v>
      </c>
      <c r="G1613" s="2" t="s">
        <v>19</v>
      </c>
      <c r="H1613" s="4">
        <v>88591</v>
      </c>
      <c r="I1613" s="4">
        <v>87900</v>
      </c>
    </row>
    <row r="1614" spans="1:9" x14ac:dyDescent="0.3">
      <c r="A1614" s="2" t="s">
        <v>1646</v>
      </c>
      <c r="B1614" s="3">
        <v>45887</v>
      </c>
      <c r="C1614" s="2" t="s">
        <v>62</v>
      </c>
      <c r="D1614" s="2" t="s">
        <v>11</v>
      </c>
      <c r="E1614" s="2" t="s">
        <v>22</v>
      </c>
      <c r="F1614" s="2" t="s">
        <v>39</v>
      </c>
      <c r="G1614" s="2" t="s">
        <v>19</v>
      </c>
      <c r="H1614" s="4">
        <v>55319</v>
      </c>
      <c r="I1614" s="4">
        <v>52900</v>
      </c>
    </row>
    <row r="1615" spans="1:9" x14ac:dyDescent="0.3">
      <c r="A1615" s="2" t="s">
        <v>1647</v>
      </c>
      <c r="B1615" s="3">
        <v>45887</v>
      </c>
      <c r="C1615" s="2" t="s">
        <v>25</v>
      </c>
      <c r="D1615" s="2" t="s">
        <v>11</v>
      </c>
      <c r="E1615" s="2" t="s">
        <v>22</v>
      </c>
      <c r="F1615" s="2" t="s">
        <v>23</v>
      </c>
      <c r="G1615" s="2" t="s">
        <v>14</v>
      </c>
      <c r="H1615" s="4">
        <v>29244</v>
      </c>
      <c r="I1615" s="4">
        <v>32800</v>
      </c>
    </row>
    <row r="1616" spans="1:9" x14ac:dyDescent="0.3">
      <c r="A1616" s="2" t="s">
        <v>1648</v>
      </c>
      <c r="B1616" s="3">
        <v>45888</v>
      </c>
      <c r="C1616" s="2" t="s">
        <v>36</v>
      </c>
      <c r="D1616" s="2" t="s">
        <v>11</v>
      </c>
      <c r="E1616" s="2" t="s">
        <v>37</v>
      </c>
      <c r="F1616" s="2" t="s">
        <v>23</v>
      </c>
      <c r="G1616" s="2" t="s">
        <v>14</v>
      </c>
      <c r="H1616" s="4">
        <v>63782</v>
      </c>
      <c r="I1616" s="4">
        <v>63400</v>
      </c>
    </row>
    <row r="1617" spans="1:9" x14ac:dyDescent="0.3">
      <c r="A1617" s="2" t="s">
        <v>1649</v>
      </c>
      <c r="B1617" s="3">
        <v>45888</v>
      </c>
      <c r="C1617" s="2" t="s">
        <v>21</v>
      </c>
      <c r="D1617" s="2" t="s">
        <v>11</v>
      </c>
      <c r="E1617" s="2" t="s">
        <v>22</v>
      </c>
      <c r="F1617" s="2" t="s">
        <v>33</v>
      </c>
      <c r="G1617" s="2" t="s">
        <v>19</v>
      </c>
      <c r="H1617" s="4">
        <v>113273</v>
      </c>
      <c r="I1617" s="4">
        <v>115700</v>
      </c>
    </row>
    <row r="1618" spans="1:9" x14ac:dyDescent="0.3">
      <c r="A1618" s="2" t="s">
        <v>1650</v>
      </c>
      <c r="B1618" s="3">
        <v>45888</v>
      </c>
      <c r="C1618" s="2" t="s">
        <v>31</v>
      </c>
      <c r="D1618" s="2" t="s">
        <v>11</v>
      </c>
      <c r="E1618" s="2" t="s">
        <v>17</v>
      </c>
      <c r="F1618" s="2" t="s">
        <v>26</v>
      </c>
      <c r="G1618" s="2" t="s">
        <v>14</v>
      </c>
      <c r="H1618" s="4">
        <v>154819</v>
      </c>
      <c r="I1618" s="4">
        <v>181100</v>
      </c>
    </row>
    <row r="1619" spans="1:9" x14ac:dyDescent="0.3">
      <c r="A1619" s="2" t="s">
        <v>1651</v>
      </c>
      <c r="B1619" s="3">
        <v>45889</v>
      </c>
      <c r="C1619" s="2" t="s">
        <v>10</v>
      </c>
      <c r="D1619" s="2" t="s">
        <v>11</v>
      </c>
      <c r="E1619" s="2" t="s">
        <v>12</v>
      </c>
      <c r="F1619" s="2" t="s">
        <v>59</v>
      </c>
      <c r="G1619" s="2" t="s">
        <v>14</v>
      </c>
      <c r="H1619" s="4">
        <v>213350</v>
      </c>
      <c r="I1619" s="4">
        <v>222400</v>
      </c>
    </row>
    <row r="1620" spans="1:9" x14ac:dyDescent="0.3">
      <c r="A1620" s="2" t="s">
        <v>1652</v>
      </c>
      <c r="B1620" s="3">
        <v>45889</v>
      </c>
      <c r="C1620" s="2" t="s">
        <v>31</v>
      </c>
      <c r="D1620" s="2" t="s">
        <v>11</v>
      </c>
      <c r="E1620" s="2" t="s">
        <v>17</v>
      </c>
      <c r="F1620" s="2" t="s">
        <v>42</v>
      </c>
      <c r="G1620" s="2" t="s">
        <v>19</v>
      </c>
      <c r="H1620" s="4">
        <v>68324</v>
      </c>
      <c r="I1620" s="4">
        <v>70100</v>
      </c>
    </row>
    <row r="1621" spans="1:9" x14ac:dyDescent="0.3">
      <c r="A1621" s="2" t="s">
        <v>1653</v>
      </c>
      <c r="B1621" s="3">
        <v>45889</v>
      </c>
      <c r="C1621" s="2" t="s">
        <v>31</v>
      </c>
      <c r="D1621" s="2" t="s">
        <v>11</v>
      </c>
      <c r="E1621" s="2" t="s">
        <v>17</v>
      </c>
      <c r="F1621" s="2" t="s">
        <v>59</v>
      </c>
      <c r="G1621" s="2" t="s">
        <v>14</v>
      </c>
      <c r="H1621" s="4">
        <v>137975</v>
      </c>
      <c r="I1621" s="4">
        <v>135000</v>
      </c>
    </row>
    <row r="1622" spans="1:9" x14ac:dyDescent="0.3">
      <c r="A1622" s="2" t="s">
        <v>1654</v>
      </c>
      <c r="B1622" s="3">
        <v>45890</v>
      </c>
      <c r="C1622" s="2" t="s">
        <v>62</v>
      </c>
      <c r="D1622" s="2" t="s">
        <v>11</v>
      </c>
      <c r="E1622" s="2" t="s">
        <v>22</v>
      </c>
      <c r="F1622" s="2" t="s">
        <v>13</v>
      </c>
      <c r="G1622" s="2" t="s">
        <v>14</v>
      </c>
      <c r="H1622" s="4">
        <v>205596</v>
      </c>
      <c r="I1622" s="4">
        <v>239600</v>
      </c>
    </row>
    <row r="1623" spans="1:9" x14ac:dyDescent="0.3">
      <c r="A1623" s="2" t="s">
        <v>1655</v>
      </c>
      <c r="B1623" s="3">
        <v>45890</v>
      </c>
      <c r="C1623" s="2" t="s">
        <v>16</v>
      </c>
      <c r="D1623" s="2" t="s">
        <v>11</v>
      </c>
      <c r="E1623" s="2" t="s">
        <v>17</v>
      </c>
      <c r="F1623" s="2" t="s">
        <v>18</v>
      </c>
      <c r="G1623" s="2" t="s">
        <v>19</v>
      </c>
      <c r="H1623" s="4">
        <v>79335</v>
      </c>
      <c r="I1623" s="4">
        <v>88700</v>
      </c>
    </row>
    <row r="1624" spans="1:9" x14ac:dyDescent="0.3">
      <c r="A1624" s="2" t="s">
        <v>1656</v>
      </c>
      <c r="B1624" s="3">
        <v>45890</v>
      </c>
      <c r="C1624" s="2" t="s">
        <v>16</v>
      </c>
      <c r="D1624" s="2" t="s">
        <v>11</v>
      </c>
      <c r="E1624" s="2" t="s">
        <v>17</v>
      </c>
      <c r="F1624" s="2" t="s">
        <v>42</v>
      </c>
      <c r="G1624" s="2" t="s">
        <v>19</v>
      </c>
      <c r="H1624" s="4">
        <v>66531</v>
      </c>
      <c r="I1624" s="4">
        <v>65800</v>
      </c>
    </row>
    <row r="1625" spans="1:9" x14ac:dyDescent="0.3">
      <c r="A1625" s="2" t="s">
        <v>1657</v>
      </c>
      <c r="B1625" s="3">
        <v>45891</v>
      </c>
      <c r="C1625" s="2" t="s">
        <v>62</v>
      </c>
      <c r="D1625" s="2" t="s">
        <v>11</v>
      </c>
      <c r="E1625" s="2" t="s">
        <v>22</v>
      </c>
      <c r="F1625" s="2" t="s">
        <v>46</v>
      </c>
      <c r="G1625" s="2" t="s">
        <v>19</v>
      </c>
      <c r="H1625" s="4">
        <v>21410</v>
      </c>
      <c r="I1625" s="4">
        <v>18800</v>
      </c>
    </row>
    <row r="1626" spans="1:9" x14ac:dyDescent="0.3">
      <c r="A1626" s="2" t="s">
        <v>1658</v>
      </c>
      <c r="B1626" s="3">
        <v>45891</v>
      </c>
      <c r="C1626" s="2" t="s">
        <v>10</v>
      </c>
      <c r="D1626" s="2" t="s">
        <v>11</v>
      </c>
      <c r="E1626" s="2" t="s">
        <v>12</v>
      </c>
      <c r="F1626" s="2" t="s">
        <v>26</v>
      </c>
      <c r="G1626" s="2" t="s">
        <v>14</v>
      </c>
      <c r="H1626" s="4">
        <v>161710</v>
      </c>
      <c r="I1626" s="4">
        <v>156300</v>
      </c>
    </row>
    <row r="1627" spans="1:9" x14ac:dyDescent="0.3">
      <c r="A1627" s="2" t="s">
        <v>1659</v>
      </c>
      <c r="B1627" s="3">
        <v>45891</v>
      </c>
      <c r="C1627" s="2" t="s">
        <v>16</v>
      </c>
      <c r="D1627" s="2" t="s">
        <v>11</v>
      </c>
      <c r="E1627" s="2" t="s">
        <v>17</v>
      </c>
      <c r="F1627" s="2" t="s">
        <v>56</v>
      </c>
      <c r="G1627" s="2" t="s">
        <v>19</v>
      </c>
      <c r="H1627" s="4">
        <v>30109</v>
      </c>
      <c r="I1627" s="4">
        <v>28200</v>
      </c>
    </row>
    <row r="1628" spans="1:9" x14ac:dyDescent="0.3">
      <c r="A1628" s="2" t="s">
        <v>1660</v>
      </c>
      <c r="B1628" s="3">
        <v>45891</v>
      </c>
      <c r="C1628" s="2" t="s">
        <v>21</v>
      </c>
      <c r="D1628" s="2" t="s">
        <v>11</v>
      </c>
      <c r="E1628" s="2" t="s">
        <v>22</v>
      </c>
      <c r="F1628" s="2" t="s">
        <v>39</v>
      </c>
      <c r="G1628" s="2" t="s">
        <v>19</v>
      </c>
      <c r="H1628" s="4">
        <v>75025</v>
      </c>
      <c r="I1628" s="4">
        <v>65600</v>
      </c>
    </row>
    <row r="1629" spans="1:9" x14ac:dyDescent="0.3">
      <c r="A1629" s="2" t="s">
        <v>1661</v>
      </c>
      <c r="B1629" s="3">
        <v>45891</v>
      </c>
      <c r="C1629" s="2" t="s">
        <v>25</v>
      </c>
      <c r="D1629" s="2" t="s">
        <v>11</v>
      </c>
      <c r="E1629" s="2" t="s">
        <v>22</v>
      </c>
      <c r="F1629" s="2" t="s">
        <v>18</v>
      </c>
      <c r="G1629" s="2" t="s">
        <v>19</v>
      </c>
      <c r="H1629" s="4">
        <v>116514</v>
      </c>
      <c r="I1629" s="4">
        <v>124000</v>
      </c>
    </row>
    <row r="1630" spans="1:9" x14ac:dyDescent="0.3">
      <c r="A1630" s="2" t="s">
        <v>1662</v>
      </c>
      <c r="B1630" s="3">
        <v>45891</v>
      </c>
      <c r="C1630" s="2" t="s">
        <v>25</v>
      </c>
      <c r="D1630" s="2" t="s">
        <v>11</v>
      </c>
      <c r="E1630" s="2" t="s">
        <v>22</v>
      </c>
      <c r="F1630" s="2" t="s">
        <v>37</v>
      </c>
      <c r="G1630" s="2" t="s">
        <v>14</v>
      </c>
      <c r="H1630" s="4">
        <v>33662</v>
      </c>
      <c r="I1630" s="4">
        <v>36800</v>
      </c>
    </row>
    <row r="1631" spans="1:9" x14ac:dyDescent="0.3">
      <c r="A1631" s="2" t="s">
        <v>1663</v>
      </c>
      <c r="B1631" s="3">
        <v>45891</v>
      </c>
      <c r="C1631" s="2" t="s">
        <v>31</v>
      </c>
      <c r="D1631" s="2" t="s">
        <v>11</v>
      </c>
      <c r="E1631" s="2" t="s">
        <v>17</v>
      </c>
      <c r="F1631" s="2" t="s">
        <v>56</v>
      </c>
      <c r="G1631" s="2" t="s">
        <v>19</v>
      </c>
      <c r="H1631" s="4">
        <v>105427</v>
      </c>
      <c r="I1631" s="4">
        <v>113400</v>
      </c>
    </row>
    <row r="1632" spans="1:9" x14ac:dyDescent="0.3">
      <c r="A1632" s="2" t="s">
        <v>1664</v>
      </c>
      <c r="B1632" s="3">
        <v>45891</v>
      </c>
      <c r="C1632" s="2" t="s">
        <v>55</v>
      </c>
      <c r="D1632" s="2" t="s">
        <v>11</v>
      </c>
      <c r="E1632" s="2" t="s">
        <v>37</v>
      </c>
      <c r="F1632" s="2" t="s">
        <v>33</v>
      </c>
      <c r="G1632" s="2" t="s">
        <v>19</v>
      </c>
      <c r="H1632" s="4">
        <v>68278</v>
      </c>
      <c r="I1632" s="4">
        <v>69000</v>
      </c>
    </row>
    <row r="1633" spans="1:9" x14ac:dyDescent="0.3">
      <c r="A1633" s="2" t="s">
        <v>1665</v>
      </c>
      <c r="B1633" s="3">
        <v>45891</v>
      </c>
      <c r="C1633" s="2" t="s">
        <v>55</v>
      </c>
      <c r="D1633" s="2" t="s">
        <v>11</v>
      </c>
      <c r="E1633" s="2" t="s">
        <v>37</v>
      </c>
      <c r="F1633" s="2" t="s">
        <v>23</v>
      </c>
      <c r="G1633" s="2" t="s">
        <v>14</v>
      </c>
      <c r="H1633" s="4">
        <v>182316</v>
      </c>
      <c r="I1633" s="4">
        <v>192900</v>
      </c>
    </row>
    <row r="1634" spans="1:9" x14ac:dyDescent="0.3">
      <c r="A1634" s="2" t="s">
        <v>1666</v>
      </c>
      <c r="B1634" s="3">
        <v>45892</v>
      </c>
      <c r="C1634" s="2" t="s">
        <v>16</v>
      </c>
      <c r="D1634" s="2" t="s">
        <v>11</v>
      </c>
      <c r="E1634" s="2" t="s">
        <v>17</v>
      </c>
      <c r="F1634" s="2" t="s">
        <v>46</v>
      </c>
      <c r="G1634" s="2" t="s">
        <v>19</v>
      </c>
      <c r="H1634" s="4">
        <v>75033</v>
      </c>
      <c r="I1634" s="4">
        <v>76500</v>
      </c>
    </row>
    <row r="1635" spans="1:9" x14ac:dyDescent="0.3">
      <c r="A1635" s="2" t="s">
        <v>1667</v>
      </c>
      <c r="B1635" s="3">
        <v>45892</v>
      </c>
      <c r="C1635" s="2" t="s">
        <v>16</v>
      </c>
      <c r="D1635" s="2" t="s">
        <v>11</v>
      </c>
      <c r="E1635" s="2" t="s">
        <v>17</v>
      </c>
      <c r="F1635" s="2" t="s">
        <v>37</v>
      </c>
      <c r="G1635" s="2" t="s">
        <v>14</v>
      </c>
      <c r="H1635" s="4">
        <v>244326</v>
      </c>
      <c r="I1635" s="4">
        <v>224000</v>
      </c>
    </row>
    <row r="1636" spans="1:9" x14ac:dyDescent="0.3">
      <c r="A1636" s="2" t="s">
        <v>1668</v>
      </c>
      <c r="B1636" s="3">
        <v>45892</v>
      </c>
      <c r="C1636" s="2" t="s">
        <v>36</v>
      </c>
      <c r="D1636" s="2" t="s">
        <v>11</v>
      </c>
      <c r="E1636" s="2" t="s">
        <v>37</v>
      </c>
      <c r="F1636" s="2" t="s">
        <v>33</v>
      </c>
      <c r="G1636" s="2" t="s">
        <v>19</v>
      </c>
      <c r="H1636" s="4">
        <v>56403</v>
      </c>
      <c r="I1636" s="4">
        <v>53600</v>
      </c>
    </row>
    <row r="1637" spans="1:9" x14ac:dyDescent="0.3">
      <c r="A1637" s="2" t="s">
        <v>1669</v>
      </c>
      <c r="B1637" s="3">
        <v>45892</v>
      </c>
      <c r="C1637" s="2" t="s">
        <v>21</v>
      </c>
      <c r="D1637" s="2" t="s">
        <v>11</v>
      </c>
      <c r="E1637" s="2" t="s">
        <v>22</v>
      </c>
      <c r="F1637" s="2" t="s">
        <v>56</v>
      </c>
      <c r="G1637" s="2" t="s">
        <v>19</v>
      </c>
      <c r="H1637" s="4">
        <v>44219</v>
      </c>
      <c r="I1637" s="4">
        <v>43100</v>
      </c>
    </row>
    <row r="1638" spans="1:9" x14ac:dyDescent="0.3">
      <c r="A1638" s="2" t="s">
        <v>1670</v>
      </c>
      <c r="B1638" s="3">
        <v>45892</v>
      </c>
      <c r="C1638" s="2" t="s">
        <v>21</v>
      </c>
      <c r="D1638" s="2" t="s">
        <v>11</v>
      </c>
      <c r="E1638" s="2" t="s">
        <v>22</v>
      </c>
      <c r="F1638" s="2" t="s">
        <v>46</v>
      </c>
      <c r="G1638" s="2" t="s">
        <v>19</v>
      </c>
      <c r="H1638" s="4">
        <v>48455</v>
      </c>
      <c r="I1638" s="4">
        <v>57600</v>
      </c>
    </row>
    <row r="1639" spans="1:9" x14ac:dyDescent="0.3">
      <c r="A1639" s="2" t="s">
        <v>1671</v>
      </c>
      <c r="B1639" s="3">
        <v>45892</v>
      </c>
      <c r="C1639" s="2" t="s">
        <v>25</v>
      </c>
      <c r="D1639" s="2" t="s">
        <v>11</v>
      </c>
      <c r="E1639" s="2" t="s">
        <v>22</v>
      </c>
      <c r="F1639" s="2" t="s">
        <v>13</v>
      </c>
      <c r="G1639" s="2" t="s">
        <v>14</v>
      </c>
      <c r="H1639" s="4">
        <v>245050</v>
      </c>
      <c r="I1639" s="4">
        <v>256700</v>
      </c>
    </row>
    <row r="1640" spans="1:9" x14ac:dyDescent="0.3">
      <c r="A1640" s="2" t="s">
        <v>1672</v>
      </c>
      <c r="B1640" s="3">
        <v>45892</v>
      </c>
      <c r="C1640" s="2" t="s">
        <v>31</v>
      </c>
      <c r="D1640" s="2" t="s">
        <v>11</v>
      </c>
      <c r="E1640" s="2" t="s">
        <v>17</v>
      </c>
      <c r="F1640" s="2" t="s">
        <v>42</v>
      </c>
      <c r="G1640" s="2" t="s">
        <v>19</v>
      </c>
      <c r="H1640" s="4">
        <v>83942</v>
      </c>
      <c r="I1640" s="4">
        <v>72200</v>
      </c>
    </row>
    <row r="1641" spans="1:9" x14ac:dyDescent="0.3">
      <c r="A1641" s="2" t="s">
        <v>1673</v>
      </c>
      <c r="B1641" s="3">
        <v>45893</v>
      </c>
      <c r="C1641" s="2" t="s">
        <v>62</v>
      </c>
      <c r="D1641" s="2" t="s">
        <v>11</v>
      </c>
      <c r="E1641" s="2" t="s">
        <v>22</v>
      </c>
      <c r="F1641" s="2" t="s">
        <v>46</v>
      </c>
      <c r="G1641" s="2" t="s">
        <v>19</v>
      </c>
      <c r="H1641" s="4">
        <v>102709</v>
      </c>
      <c r="I1641" s="4">
        <v>107400</v>
      </c>
    </row>
    <row r="1642" spans="1:9" x14ac:dyDescent="0.3">
      <c r="A1642" s="2" t="s">
        <v>1674</v>
      </c>
      <c r="B1642" s="3">
        <v>45893</v>
      </c>
      <c r="C1642" s="2" t="s">
        <v>10</v>
      </c>
      <c r="D1642" s="2" t="s">
        <v>11</v>
      </c>
      <c r="E1642" s="2" t="s">
        <v>12</v>
      </c>
      <c r="F1642" s="2" t="s">
        <v>46</v>
      </c>
      <c r="G1642" s="2" t="s">
        <v>19</v>
      </c>
      <c r="H1642" s="4">
        <v>55672</v>
      </c>
      <c r="I1642" s="4">
        <v>60000</v>
      </c>
    </row>
    <row r="1643" spans="1:9" x14ac:dyDescent="0.3">
      <c r="A1643" s="2" t="s">
        <v>1675</v>
      </c>
      <c r="B1643" s="3">
        <v>45893</v>
      </c>
      <c r="C1643" s="2" t="s">
        <v>25</v>
      </c>
      <c r="D1643" s="2" t="s">
        <v>11</v>
      </c>
      <c r="E1643" s="2" t="s">
        <v>22</v>
      </c>
      <c r="F1643" s="2" t="s">
        <v>59</v>
      </c>
      <c r="G1643" s="2" t="s">
        <v>14</v>
      </c>
      <c r="H1643" s="4">
        <v>54275</v>
      </c>
      <c r="I1643" s="4">
        <v>56800</v>
      </c>
    </row>
    <row r="1644" spans="1:9" x14ac:dyDescent="0.3">
      <c r="A1644" s="2" t="s">
        <v>1676</v>
      </c>
      <c r="B1644" s="3">
        <v>45893</v>
      </c>
      <c r="C1644" s="2" t="s">
        <v>31</v>
      </c>
      <c r="D1644" s="2" t="s">
        <v>11</v>
      </c>
      <c r="E1644" s="2" t="s">
        <v>17</v>
      </c>
      <c r="F1644" s="2" t="s">
        <v>12</v>
      </c>
      <c r="G1644" s="2" t="s">
        <v>14</v>
      </c>
      <c r="H1644" s="4">
        <v>159716</v>
      </c>
      <c r="I1644" s="4">
        <v>167600</v>
      </c>
    </row>
    <row r="1645" spans="1:9" x14ac:dyDescent="0.3">
      <c r="A1645" s="2" t="s">
        <v>1677</v>
      </c>
      <c r="B1645" s="3">
        <v>45893</v>
      </c>
      <c r="C1645" s="2" t="s">
        <v>55</v>
      </c>
      <c r="D1645" s="2" t="s">
        <v>11</v>
      </c>
      <c r="E1645" s="2" t="s">
        <v>37</v>
      </c>
      <c r="F1645" s="2" t="s">
        <v>42</v>
      </c>
      <c r="G1645" s="2" t="s">
        <v>19</v>
      </c>
      <c r="H1645" s="4">
        <v>87295</v>
      </c>
      <c r="I1645" s="4">
        <v>83000</v>
      </c>
    </row>
    <row r="1646" spans="1:9" x14ac:dyDescent="0.3">
      <c r="A1646" s="2" t="s">
        <v>1678</v>
      </c>
      <c r="B1646" s="3">
        <v>45894</v>
      </c>
      <c r="C1646" s="2" t="s">
        <v>62</v>
      </c>
      <c r="D1646" s="2" t="s">
        <v>11</v>
      </c>
      <c r="E1646" s="2" t="s">
        <v>22</v>
      </c>
      <c r="F1646" s="2" t="s">
        <v>42</v>
      </c>
      <c r="G1646" s="2" t="s">
        <v>19</v>
      </c>
      <c r="H1646" s="4">
        <v>50511</v>
      </c>
      <c r="I1646" s="4">
        <v>52000</v>
      </c>
    </row>
    <row r="1647" spans="1:9" x14ac:dyDescent="0.3">
      <c r="A1647" s="2" t="s">
        <v>1679</v>
      </c>
      <c r="B1647" s="3">
        <v>45894</v>
      </c>
      <c r="C1647" s="2" t="s">
        <v>10</v>
      </c>
      <c r="D1647" s="2" t="s">
        <v>11</v>
      </c>
      <c r="E1647" s="2" t="s">
        <v>12</v>
      </c>
      <c r="F1647" s="2" t="s">
        <v>33</v>
      </c>
      <c r="G1647" s="2" t="s">
        <v>19</v>
      </c>
      <c r="H1647" s="4">
        <v>110159</v>
      </c>
      <c r="I1647" s="4">
        <v>115600</v>
      </c>
    </row>
    <row r="1648" spans="1:9" x14ac:dyDescent="0.3">
      <c r="A1648" s="2" t="s">
        <v>1680</v>
      </c>
      <c r="B1648" s="3">
        <v>45894</v>
      </c>
      <c r="C1648" s="2" t="s">
        <v>10</v>
      </c>
      <c r="D1648" s="2" t="s">
        <v>11</v>
      </c>
      <c r="E1648" s="2" t="s">
        <v>12</v>
      </c>
      <c r="F1648" s="2" t="s">
        <v>42</v>
      </c>
      <c r="G1648" s="2" t="s">
        <v>19</v>
      </c>
      <c r="H1648" s="4">
        <v>93751</v>
      </c>
      <c r="I1648" s="4">
        <v>102600</v>
      </c>
    </row>
    <row r="1649" spans="1:9" x14ac:dyDescent="0.3">
      <c r="A1649" s="2" t="s">
        <v>1681</v>
      </c>
      <c r="B1649" s="3">
        <v>45894</v>
      </c>
      <c r="C1649" s="2" t="s">
        <v>10</v>
      </c>
      <c r="D1649" s="2" t="s">
        <v>11</v>
      </c>
      <c r="E1649" s="2" t="s">
        <v>12</v>
      </c>
      <c r="F1649" s="2" t="s">
        <v>26</v>
      </c>
      <c r="G1649" s="2" t="s">
        <v>14</v>
      </c>
      <c r="H1649" s="4">
        <v>238607</v>
      </c>
      <c r="I1649" s="4">
        <v>257900</v>
      </c>
    </row>
    <row r="1650" spans="1:9" x14ac:dyDescent="0.3">
      <c r="A1650" s="2" t="s">
        <v>1682</v>
      </c>
      <c r="B1650" s="3">
        <v>45894</v>
      </c>
      <c r="C1650" s="2" t="s">
        <v>36</v>
      </c>
      <c r="D1650" s="2" t="s">
        <v>11</v>
      </c>
      <c r="E1650" s="2" t="s">
        <v>37</v>
      </c>
      <c r="F1650" s="2" t="s">
        <v>37</v>
      </c>
      <c r="G1650" s="2" t="s">
        <v>14</v>
      </c>
      <c r="H1650" s="4">
        <v>228383</v>
      </c>
      <c r="I1650" s="4">
        <v>237900</v>
      </c>
    </row>
    <row r="1651" spans="1:9" x14ac:dyDescent="0.3">
      <c r="A1651" s="2" t="s">
        <v>1683</v>
      </c>
      <c r="B1651" s="3">
        <v>45894</v>
      </c>
      <c r="C1651" s="2" t="s">
        <v>21</v>
      </c>
      <c r="D1651" s="2" t="s">
        <v>11</v>
      </c>
      <c r="E1651" s="2" t="s">
        <v>22</v>
      </c>
      <c r="F1651" s="2" t="s">
        <v>37</v>
      </c>
      <c r="G1651" s="2" t="s">
        <v>14</v>
      </c>
      <c r="H1651" s="4">
        <v>67208</v>
      </c>
      <c r="I1651" s="4">
        <v>64600</v>
      </c>
    </row>
    <row r="1652" spans="1:9" x14ac:dyDescent="0.3">
      <c r="A1652" s="2" t="s">
        <v>1684</v>
      </c>
      <c r="B1652" s="3">
        <v>45894</v>
      </c>
      <c r="C1652" s="2" t="s">
        <v>25</v>
      </c>
      <c r="D1652" s="2" t="s">
        <v>11</v>
      </c>
      <c r="E1652" s="2" t="s">
        <v>22</v>
      </c>
      <c r="F1652" s="2" t="s">
        <v>46</v>
      </c>
      <c r="G1652" s="2" t="s">
        <v>19</v>
      </c>
      <c r="H1652" s="4">
        <v>33652</v>
      </c>
      <c r="I1652" s="4">
        <v>36900</v>
      </c>
    </row>
    <row r="1653" spans="1:9" x14ac:dyDescent="0.3">
      <c r="A1653" s="2" t="s">
        <v>1685</v>
      </c>
      <c r="B1653" s="3">
        <v>45894</v>
      </c>
      <c r="C1653" s="2" t="s">
        <v>31</v>
      </c>
      <c r="D1653" s="2" t="s">
        <v>11</v>
      </c>
      <c r="E1653" s="2" t="s">
        <v>17</v>
      </c>
      <c r="F1653" s="2" t="s">
        <v>56</v>
      </c>
      <c r="G1653" s="2" t="s">
        <v>19</v>
      </c>
      <c r="H1653" s="4">
        <v>97942</v>
      </c>
      <c r="I1653" s="4">
        <v>85600</v>
      </c>
    </row>
    <row r="1654" spans="1:9" x14ac:dyDescent="0.3">
      <c r="A1654" s="2" t="s">
        <v>1686</v>
      </c>
      <c r="B1654" s="3">
        <v>45895</v>
      </c>
      <c r="C1654" s="2" t="s">
        <v>62</v>
      </c>
      <c r="D1654" s="2" t="s">
        <v>11</v>
      </c>
      <c r="E1654" s="2" t="s">
        <v>22</v>
      </c>
      <c r="F1654" s="2" t="s">
        <v>56</v>
      </c>
      <c r="G1654" s="2" t="s">
        <v>19</v>
      </c>
      <c r="H1654" s="4">
        <v>52060</v>
      </c>
      <c r="I1654" s="4">
        <v>60900</v>
      </c>
    </row>
    <row r="1655" spans="1:9" x14ac:dyDescent="0.3">
      <c r="A1655" s="2" t="s">
        <v>1687</v>
      </c>
      <c r="B1655" s="3">
        <v>45895</v>
      </c>
      <c r="C1655" s="2" t="s">
        <v>16</v>
      </c>
      <c r="D1655" s="2" t="s">
        <v>11</v>
      </c>
      <c r="E1655" s="2" t="s">
        <v>17</v>
      </c>
      <c r="F1655" s="2" t="s">
        <v>12</v>
      </c>
      <c r="G1655" s="2" t="s">
        <v>14</v>
      </c>
      <c r="H1655" s="4">
        <v>158449</v>
      </c>
      <c r="I1655" s="4">
        <v>173300</v>
      </c>
    </row>
    <row r="1656" spans="1:9" x14ac:dyDescent="0.3">
      <c r="A1656" s="2" t="s">
        <v>1688</v>
      </c>
      <c r="B1656" s="3">
        <v>45895</v>
      </c>
      <c r="C1656" s="2" t="s">
        <v>36</v>
      </c>
      <c r="D1656" s="2" t="s">
        <v>11</v>
      </c>
      <c r="E1656" s="2" t="s">
        <v>37</v>
      </c>
      <c r="F1656" s="2" t="s">
        <v>56</v>
      </c>
      <c r="G1656" s="2" t="s">
        <v>19</v>
      </c>
      <c r="H1656" s="4">
        <v>60073</v>
      </c>
      <c r="I1656" s="4">
        <v>52700</v>
      </c>
    </row>
    <row r="1657" spans="1:9" x14ac:dyDescent="0.3">
      <c r="A1657" s="2" t="s">
        <v>1689</v>
      </c>
      <c r="B1657" s="3">
        <v>45895</v>
      </c>
      <c r="C1657" s="2" t="s">
        <v>36</v>
      </c>
      <c r="D1657" s="2" t="s">
        <v>11</v>
      </c>
      <c r="E1657" s="2" t="s">
        <v>37</v>
      </c>
      <c r="F1657" s="2" t="s">
        <v>13</v>
      </c>
      <c r="G1657" s="2" t="s">
        <v>14</v>
      </c>
      <c r="H1657" s="4">
        <v>229292</v>
      </c>
      <c r="I1657" s="4">
        <v>194500</v>
      </c>
    </row>
    <row r="1658" spans="1:9" x14ac:dyDescent="0.3">
      <c r="A1658" s="2" t="s">
        <v>1690</v>
      </c>
      <c r="B1658" s="3">
        <v>45895</v>
      </c>
      <c r="C1658" s="2" t="s">
        <v>36</v>
      </c>
      <c r="D1658" s="2" t="s">
        <v>11</v>
      </c>
      <c r="E1658" s="2" t="s">
        <v>37</v>
      </c>
      <c r="F1658" s="2" t="s">
        <v>37</v>
      </c>
      <c r="G1658" s="2" t="s">
        <v>14</v>
      </c>
      <c r="H1658" s="4">
        <v>58755</v>
      </c>
      <c r="I1658" s="4">
        <v>53700</v>
      </c>
    </row>
    <row r="1659" spans="1:9" x14ac:dyDescent="0.3">
      <c r="A1659" s="2" t="s">
        <v>1691</v>
      </c>
      <c r="B1659" s="3">
        <v>45895</v>
      </c>
      <c r="C1659" s="2" t="s">
        <v>21</v>
      </c>
      <c r="D1659" s="2" t="s">
        <v>11</v>
      </c>
      <c r="E1659" s="2" t="s">
        <v>22</v>
      </c>
      <c r="F1659" s="2" t="s">
        <v>39</v>
      </c>
      <c r="G1659" s="2" t="s">
        <v>19</v>
      </c>
      <c r="H1659" s="4">
        <v>40159</v>
      </c>
      <c r="I1659" s="4">
        <v>44800</v>
      </c>
    </row>
    <row r="1660" spans="1:9" x14ac:dyDescent="0.3">
      <c r="A1660" s="2" t="s">
        <v>1692</v>
      </c>
      <c r="B1660" s="3">
        <v>45895</v>
      </c>
      <c r="C1660" s="2" t="s">
        <v>25</v>
      </c>
      <c r="D1660" s="2" t="s">
        <v>11</v>
      </c>
      <c r="E1660" s="2" t="s">
        <v>22</v>
      </c>
      <c r="F1660" s="2" t="s">
        <v>12</v>
      </c>
      <c r="G1660" s="2" t="s">
        <v>14</v>
      </c>
      <c r="H1660" s="4">
        <v>125713</v>
      </c>
      <c r="I1660" s="4">
        <v>112800</v>
      </c>
    </row>
    <row r="1661" spans="1:9" x14ac:dyDescent="0.3">
      <c r="A1661" s="2" t="s">
        <v>1693</v>
      </c>
      <c r="B1661" s="3">
        <v>45895</v>
      </c>
      <c r="C1661" s="2" t="s">
        <v>25</v>
      </c>
      <c r="D1661" s="2" t="s">
        <v>11</v>
      </c>
      <c r="E1661" s="2" t="s">
        <v>22</v>
      </c>
      <c r="F1661" s="2" t="s">
        <v>37</v>
      </c>
      <c r="G1661" s="2" t="s">
        <v>14</v>
      </c>
      <c r="H1661" s="4">
        <v>41178</v>
      </c>
      <c r="I1661" s="4">
        <v>44300</v>
      </c>
    </row>
    <row r="1662" spans="1:9" x14ac:dyDescent="0.3">
      <c r="A1662" s="2" t="s">
        <v>1694</v>
      </c>
      <c r="B1662" s="3">
        <v>45896</v>
      </c>
      <c r="C1662" s="2" t="s">
        <v>25</v>
      </c>
      <c r="D1662" s="2" t="s">
        <v>11</v>
      </c>
      <c r="E1662" s="2" t="s">
        <v>22</v>
      </c>
      <c r="F1662" s="2" t="s">
        <v>18</v>
      </c>
      <c r="G1662" s="2" t="s">
        <v>19</v>
      </c>
      <c r="H1662" s="4">
        <v>100689</v>
      </c>
      <c r="I1662" s="4">
        <v>89900</v>
      </c>
    </row>
    <row r="1663" spans="1:9" x14ac:dyDescent="0.3">
      <c r="A1663" s="2" t="s">
        <v>1695</v>
      </c>
      <c r="B1663" s="3">
        <v>45896</v>
      </c>
      <c r="C1663" s="2" t="s">
        <v>25</v>
      </c>
      <c r="D1663" s="2" t="s">
        <v>11</v>
      </c>
      <c r="E1663" s="2" t="s">
        <v>22</v>
      </c>
      <c r="F1663" s="2" t="s">
        <v>18</v>
      </c>
      <c r="G1663" s="2" t="s">
        <v>19</v>
      </c>
      <c r="H1663" s="4">
        <v>53279</v>
      </c>
      <c r="I1663" s="4">
        <v>61100</v>
      </c>
    </row>
    <row r="1664" spans="1:9" x14ac:dyDescent="0.3">
      <c r="A1664" s="2" t="s">
        <v>1696</v>
      </c>
      <c r="B1664" s="3">
        <v>45896</v>
      </c>
      <c r="C1664" s="2" t="s">
        <v>25</v>
      </c>
      <c r="D1664" s="2" t="s">
        <v>11</v>
      </c>
      <c r="E1664" s="2" t="s">
        <v>22</v>
      </c>
      <c r="F1664" s="2" t="s">
        <v>23</v>
      </c>
      <c r="G1664" s="2" t="s">
        <v>14</v>
      </c>
      <c r="H1664" s="4">
        <v>213749</v>
      </c>
      <c r="I1664" s="4">
        <v>249400</v>
      </c>
    </row>
    <row r="1665" spans="1:9" x14ac:dyDescent="0.3">
      <c r="A1665" s="2" t="s">
        <v>1697</v>
      </c>
      <c r="B1665" s="3">
        <v>45896</v>
      </c>
      <c r="C1665" s="2" t="s">
        <v>25</v>
      </c>
      <c r="D1665" s="2" t="s">
        <v>11</v>
      </c>
      <c r="E1665" s="2" t="s">
        <v>22</v>
      </c>
      <c r="F1665" s="2" t="s">
        <v>12</v>
      </c>
      <c r="G1665" s="2" t="s">
        <v>14</v>
      </c>
      <c r="H1665" s="4">
        <v>143645</v>
      </c>
      <c r="I1665" s="4">
        <v>143900</v>
      </c>
    </row>
    <row r="1666" spans="1:9" x14ac:dyDescent="0.3">
      <c r="A1666" s="2" t="s">
        <v>1698</v>
      </c>
      <c r="B1666" s="3">
        <v>45896</v>
      </c>
      <c r="C1666" s="2" t="s">
        <v>31</v>
      </c>
      <c r="D1666" s="2" t="s">
        <v>11</v>
      </c>
      <c r="E1666" s="2" t="s">
        <v>17</v>
      </c>
      <c r="F1666" s="2" t="s">
        <v>26</v>
      </c>
      <c r="G1666" s="2" t="s">
        <v>14</v>
      </c>
      <c r="H1666" s="4">
        <v>104074</v>
      </c>
      <c r="I1666" s="4">
        <v>112700</v>
      </c>
    </row>
    <row r="1667" spans="1:9" x14ac:dyDescent="0.3">
      <c r="A1667" s="2" t="s">
        <v>1699</v>
      </c>
      <c r="B1667" s="3">
        <v>45897</v>
      </c>
      <c r="C1667" s="2" t="s">
        <v>62</v>
      </c>
      <c r="D1667" s="2" t="s">
        <v>11</v>
      </c>
      <c r="E1667" s="2" t="s">
        <v>22</v>
      </c>
      <c r="F1667" s="2" t="s">
        <v>56</v>
      </c>
      <c r="G1667" s="2" t="s">
        <v>19</v>
      </c>
      <c r="H1667" s="4">
        <v>42918</v>
      </c>
      <c r="I1667" s="4">
        <v>42200</v>
      </c>
    </row>
    <row r="1668" spans="1:9" x14ac:dyDescent="0.3">
      <c r="A1668" s="2" t="s">
        <v>1700</v>
      </c>
      <c r="B1668" s="3">
        <v>45897</v>
      </c>
      <c r="C1668" s="2" t="s">
        <v>62</v>
      </c>
      <c r="D1668" s="2" t="s">
        <v>11</v>
      </c>
      <c r="E1668" s="2" t="s">
        <v>22</v>
      </c>
      <c r="F1668" s="2" t="s">
        <v>37</v>
      </c>
      <c r="G1668" s="2" t="s">
        <v>14</v>
      </c>
      <c r="H1668" s="4">
        <v>59766</v>
      </c>
      <c r="I1668" s="4">
        <v>57200</v>
      </c>
    </row>
    <row r="1669" spans="1:9" x14ac:dyDescent="0.3">
      <c r="A1669" s="2" t="s">
        <v>1701</v>
      </c>
      <c r="B1669" s="3">
        <v>45897</v>
      </c>
      <c r="C1669" s="2" t="s">
        <v>10</v>
      </c>
      <c r="D1669" s="2" t="s">
        <v>11</v>
      </c>
      <c r="E1669" s="2" t="s">
        <v>12</v>
      </c>
      <c r="F1669" s="2" t="s">
        <v>13</v>
      </c>
      <c r="G1669" s="2" t="s">
        <v>14</v>
      </c>
      <c r="H1669" s="4">
        <v>125990</v>
      </c>
      <c r="I1669" s="4">
        <v>123000</v>
      </c>
    </row>
    <row r="1670" spans="1:9" x14ac:dyDescent="0.3">
      <c r="A1670" s="2" t="s">
        <v>1702</v>
      </c>
      <c r="B1670" s="3">
        <v>45897</v>
      </c>
      <c r="C1670" s="2" t="s">
        <v>10</v>
      </c>
      <c r="D1670" s="2" t="s">
        <v>11</v>
      </c>
      <c r="E1670" s="2" t="s">
        <v>12</v>
      </c>
      <c r="F1670" s="2" t="s">
        <v>37</v>
      </c>
      <c r="G1670" s="2" t="s">
        <v>14</v>
      </c>
      <c r="H1670" s="4">
        <v>117673</v>
      </c>
      <c r="I1670" s="4">
        <v>110400</v>
      </c>
    </row>
    <row r="1671" spans="1:9" x14ac:dyDescent="0.3">
      <c r="A1671" s="2" t="s">
        <v>1703</v>
      </c>
      <c r="B1671" s="3">
        <v>45897</v>
      </c>
      <c r="C1671" s="2" t="s">
        <v>36</v>
      </c>
      <c r="D1671" s="2" t="s">
        <v>11</v>
      </c>
      <c r="E1671" s="2" t="s">
        <v>37</v>
      </c>
      <c r="F1671" s="2" t="s">
        <v>33</v>
      </c>
      <c r="G1671" s="2" t="s">
        <v>19</v>
      </c>
      <c r="H1671" s="4">
        <v>109868</v>
      </c>
      <c r="I1671" s="4">
        <v>116700</v>
      </c>
    </row>
    <row r="1672" spans="1:9" x14ac:dyDescent="0.3">
      <c r="A1672" s="2" t="s">
        <v>1704</v>
      </c>
      <c r="B1672" s="3">
        <v>45897</v>
      </c>
      <c r="C1672" s="2" t="s">
        <v>21</v>
      </c>
      <c r="D1672" s="2" t="s">
        <v>11</v>
      </c>
      <c r="E1672" s="2" t="s">
        <v>22</v>
      </c>
      <c r="F1672" s="2" t="s">
        <v>33</v>
      </c>
      <c r="G1672" s="2" t="s">
        <v>19</v>
      </c>
      <c r="H1672" s="4">
        <v>21369</v>
      </c>
      <c r="I1672" s="4">
        <v>20900</v>
      </c>
    </row>
    <row r="1673" spans="1:9" x14ac:dyDescent="0.3">
      <c r="A1673" s="2" t="s">
        <v>1705</v>
      </c>
      <c r="B1673" s="3">
        <v>45897</v>
      </c>
      <c r="C1673" s="2" t="s">
        <v>21</v>
      </c>
      <c r="D1673" s="2" t="s">
        <v>11</v>
      </c>
      <c r="E1673" s="2" t="s">
        <v>22</v>
      </c>
      <c r="F1673" s="2" t="s">
        <v>13</v>
      </c>
      <c r="G1673" s="2" t="s">
        <v>14</v>
      </c>
      <c r="H1673" s="4">
        <v>188745</v>
      </c>
      <c r="I1673" s="4">
        <v>208800</v>
      </c>
    </row>
    <row r="1674" spans="1:9" x14ac:dyDescent="0.3">
      <c r="A1674" s="2" t="s">
        <v>1706</v>
      </c>
      <c r="B1674" s="3">
        <v>45897</v>
      </c>
      <c r="C1674" s="2" t="s">
        <v>25</v>
      </c>
      <c r="D1674" s="2" t="s">
        <v>11</v>
      </c>
      <c r="E1674" s="2" t="s">
        <v>22</v>
      </c>
      <c r="F1674" s="2" t="s">
        <v>12</v>
      </c>
      <c r="G1674" s="2" t="s">
        <v>14</v>
      </c>
      <c r="H1674" s="4">
        <v>55448</v>
      </c>
      <c r="I1674" s="4">
        <v>58700</v>
      </c>
    </row>
    <row r="1675" spans="1:9" x14ac:dyDescent="0.3">
      <c r="A1675" s="2" t="s">
        <v>1707</v>
      </c>
      <c r="B1675" s="3">
        <v>45898</v>
      </c>
      <c r="C1675" s="2" t="s">
        <v>62</v>
      </c>
      <c r="D1675" s="2" t="s">
        <v>11</v>
      </c>
      <c r="E1675" s="2" t="s">
        <v>22</v>
      </c>
      <c r="F1675" s="2" t="s">
        <v>56</v>
      </c>
      <c r="G1675" s="2" t="s">
        <v>19</v>
      </c>
      <c r="H1675" s="4">
        <v>86061</v>
      </c>
      <c r="I1675" s="4">
        <v>99100</v>
      </c>
    </row>
    <row r="1676" spans="1:9" x14ac:dyDescent="0.3">
      <c r="A1676" s="2" t="s">
        <v>1708</v>
      </c>
      <c r="B1676" s="3">
        <v>45898</v>
      </c>
      <c r="C1676" s="2" t="s">
        <v>62</v>
      </c>
      <c r="D1676" s="2" t="s">
        <v>11</v>
      </c>
      <c r="E1676" s="2" t="s">
        <v>22</v>
      </c>
      <c r="F1676" s="2" t="s">
        <v>26</v>
      </c>
      <c r="G1676" s="2" t="s">
        <v>14</v>
      </c>
      <c r="H1676" s="4">
        <v>176855</v>
      </c>
      <c r="I1676" s="4">
        <v>174800</v>
      </c>
    </row>
    <row r="1677" spans="1:9" x14ac:dyDescent="0.3">
      <c r="A1677" s="2" t="s">
        <v>1709</v>
      </c>
      <c r="B1677" s="3">
        <v>45898</v>
      </c>
      <c r="C1677" s="2" t="s">
        <v>10</v>
      </c>
      <c r="D1677" s="2" t="s">
        <v>11</v>
      </c>
      <c r="E1677" s="2" t="s">
        <v>12</v>
      </c>
      <c r="F1677" s="2" t="s">
        <v>46</v>
      </c>
      <c r="G1677" s="2" t="s">
        <v>19</v>
      </c>
      <c r="H1677" s="4">
        <v>32656</v>
      </c>
      <c r="I1677" s="4">
        <v>31300</v>
      </c>
    </row>
    <row r="1678" spans="1:9" x14ac:dyDescent="0.3">
      <c r="A1678" s="2" t="s">
        <v>1710</v>
      </c>
      <c r="B1678" s="3">
        <v>45898</v>
      </c>
      <c r="C1678" s="2" t="s">
        <v>16</v>
      </c>
      <c r="D1678" s="2" t="s">
        <v>11</v>
      </c>
      <c r="E1678" s="2" t="s">
        <v>17</v>
      </c>
      <c r="F1678" s="2" t="s">
        <v>46</v>
      </c>
      <c r="G1678" s="2" t="s">
        <v>19</v>
      </c>
      <c r="H1678" s="4">
        <v>26119</v>
      </c>
      <c r="I1678" s="4">
        <v>23000</v>
      </c>
    </row>
    <row r="1679" spans="1:9" x14ac:dyDescent="0.3">
      <c r="A1679" s="2" t="s">
        <v>1711</v>
      </c>
      <c r="B1679" s="3">
        <v>45898</v>
      </c>
      <c r="C1679" s="2" t="s">
        <v>16</v>
      </c>
      <c r="D1679" s="2" t="s">
        <v>11</v>
      </c>
      <c r="E1679" s="2" t="s">
        <v>17</v>
      </c>
      <c r="F1679" s="2" t="s">
        <v>42</v>
      </c>
      <c r="G1679" s="2" t="s">
        <v>19</v>
      </c>
      <c r="H1679" s="4">
        <v>82828</v>
      </c>
      <c r="I1679" s="4">
        <v>88700</v>
      </c>
    </row>
    <row r="1680" spans="1:9" x14ac:dyDescent="0.3">
      <c r="A1680" s="2" t="s">
        <v>1712</v>
      </c>
      <c r="B1680" s="3">
        <v>45898</v>
      </c>
      <c r="C1680" s="2" t="s">
        <v>16</v>
      </c>
      <c r="D1680" s="2" t="s">
        <v>11</v>
      </c>
      <c r="E1680" s="2" t="s">
        <v>17</v>
      </c>
      <c r="F1680" s="2" t="s">
        <v>46</v>
      </c>
      <c r="G1680" s="2" t="s">
        <v>19</v>
      </c>
      <c r="H1680" s="4">
        <v>92365</v>
      </c>
      <c r="I1680" s="4">
        <v>95800</v>
      </c>
    </row>
    <row r="1681" spans="1:9" x14ac:dyDescent="0.3">
      <c r="A1681" s="2" t="s">
        <v>1713</v>
      </c>
      <c r="B1681" s="3">
        <v>45898</v>
      </c>
      <c r="C1681" s="2" t="s">
        <v>36</v>
      </c>
      <c r="D1681" s="2" t="s">
        <v>11</v>
      </c>
      <c r="E1681" s="2" t="s">
        <v>37</v>
      </c>
      <c r="F1681" s="2" t="s">
        <v>46</v>
      </c>
      <c r="G1681" s="2" t="s">
        <v>19</v>
      </c>
      <c r="H1681" s="4">
        <v>20306</v>
      </c>
      <c r="I1681" s="4">
        <v>19700</v>
      </c>
    </row>
    <row r="1682" spans="1:9" x14ac:dyDescent="0.3">
      <c r="A1682" s="2" t="s">
        <v>1714</v>
      </c>
      <c r="B1682" s="3">
        <v>45898</v>
      </c>
      <c r="C1682" s="2" t="s">
        <v>36</v>
      </c>
      <c r="D1682" s="2" t="s">
        <v>11</v>
      </c>
      <c r="E1682" s="2" t="s">
        <v>37</v>
      </c>
      <c r="F1682" s="2" t="s">
        <v>59</v>
      </c>
      <c r="G1682" s="2" t="s">
        <v>14</v>
      </c>
      <c r="H1682" s="4">
        <v>225235</v>
      </c>
      <c r="I1682" s="4">
        <v>250500</v>
      </c>
    </row>
    <row r="1683" spans="1:9" x14ac:dyDescent="0.3">
      <c r="A1683" s="2" t="s">
        <v>1715</v>
      </c>
      <c r="B1683" s="3">
        <v>45898</v>
      </c>
      <c r="C1683" s="2" t="s">
        <v>36</v>
      </c>
      <c r="D1683" s="2" t="s">
        <v>11</v>
      </c>
      <c r="E1683" s="2" t="s">
        <v>37</v>
      </c>
      <c r="F1683" s="2" t="s">
        <v>26</v>
      </c>
      <c r="G1683" s="2" t="s">
        <v>14</v>
      </c>
      <c r="H1683" s="4">
        <v>68266</v>
      </c>
      <c r="I1683" s="4">
        <v>63300</v>
      </c>
    </row>
    <row r="1684" spans="1:9" x14ac:dyDescent="0.3">
      <c r="A1684" s="2" t="s">
        <v>1716</v>
      </c>
      <c r="B1684" s="3">
        <v>45898</v>
      </c>
      <c r="C1684" s="2" t="s">
        <v>21</v>
      </c>
      <c r="D1684" s="2" t="s">
        <v>11</v>
      </c>
      <c r="E1684" s="2" t="s">
        <v>22</v>
      </c>
      <c r="F1684" s="2" t="s">
        <v>26</v>
      </c>
      <c r="G1684" s="2" t="s">
        <v>14</v>
      </c>
      <c r="H1684" s="4">
        <v>194335</v>
      </c>
      <c r="I1684" s="4">
        <v>186700</v>
      </c>
    </row>
    <row r="1685" spans="1:9" x14ac:dyDescent="0.3">
      <c r="A1685" s="2" t="s">
        <v>1717</v>
      </c>
      <c r="B1685" s="3">
        <v>45898</v>
      </c>
      <c r="C1685" s="2" t="s">
        <v>25</v>
      </c>
      <c r="D1685" s="2" t="s">
        <v>11</v>
      </c>
      <c r="E1685" s="2" t="s">
        <v>22</v>
      </c>
      <c r="F1685" s="2" t="s">
        <v>39</v>
      </c>
      <c r="G1685" s="2" t="s">
        <v>19</v>
      </c>
      <c r="H1685" s="4">
        <v>87884</v>
      </c>
      <c r="I1685" s="4">
        <v>83400</v>
      </c>
    </row>
    <row r="1686" spans="1:9" x14ac:dyDescent="0.3">
      <c r="A1686" s="2" t="s">
        <v>1718</v>
      </c>
      <c r="B1686" s="3">
        <v>45899</v>
      </c>
      <c r="C1686" s="2" t="s">
        <v>10</v>
      </c>
      <c r="D1686" s="2" t="s">
        <v>11</v>
      </c>
      <c r="E1686" s="2" t="s">
        <v>12</v>
      </c>
      <c r="F1686" s="2" t="s">
        <v>18</v>
      </c>
      <c r="G1686" s="2" t="s">
        <v>19</v>
      </c>
      <c r="H1686" s="4">
        <v>33262</v>
      </c>
      <c r="I1686" s="4">
        <v>35700</v>
      </c>
    </row>
    <row r="1687" spans="1:9" x14ac:dyDescent="0.3">
      <c r="A1687" s="2" t="s">
        <v>1719</v>
      </c>
      <c r="B1687" s="3">
        <v>45899</v>
      </c>
      <c r="C1687" s="2" t="s">
        <v>25</v>
      </c>
      <c r="D1687" s="2" t="s">
        <v>11</v>
      </c>
      <c r="E1687" s="2" t="s">
        <v>22</v>
      </c>
      <c r="F1687" s="2" t="s">
        <v>12</v>
      </c>
      <c r="G1687" s="2" t="s">
        <v>14</v>
      </c>
      <c r="H1687" s="4">
        <v>156039</v>
      </c>
      <c r="I1687" s="4">
        <v>156700</v>
      </c>
    </row>
    <row r="1688" spans="1:9" x14ac:dyDescent="0.3">
      <c r="A1688" s="2" t="s">
        <v>1720</v>
      </c>
      <c r="B1688" s="3">
        <v>45900</v>
      </c>
      <c r="C1688" s="2" t="s">
        <v>21</v>
      </c>
      <c r="D1688" s="2" t="s">
        <v>11</v>
      </c>
      <c r="E1688" s="2" t="s">
        <v>22</v>
      </c>
      <c r="F1688" s="2" t="s">
        <v>18</v>
      </c>
      <c r="G1688" s="2" t="s">
        <v>19</v>
      </c>
      <c r="H1688" s="4">
        <v>102713</v>
      </c>
      <c r="I1688" s="4">
        <v>101200</v>
      </c>
    </row>
    <row r="1689" spans="1:9" x14ac:dyDescent="0.3">
      <c r="A1689" s="2" t="s">
        <v>1721</v>
      </c>
      <c r="B1689" s="3">
        <v>45900</v>
      </c>
      <c r="C1689" s="2" t="s">
        <v>21</v>
      </c>
      <c r="D1689" s="2" t="s">
        <v>11</v>
      </c>
      <c r="E1689" s="2" t="s">
        <v>22</v>
      </c>
      <c r="F1689" s="2" t="s">
        <v>37</v>
      </c>
      <c r="G1689" s="2" t="s">
        <v>14</v>
      </c>
      <c r="H1689" s="4">
        <v>139099</v>
      </c>
      <c r="I1689" s="4">
        <v>133900</v>
      </c>
    </row>
    <row r="1690" spans="1:9" x14ac:dyDescent="0.3">
      <c r="A1690" s="2" t="s">
        <v>1722</v>
      </c>
      <c r="B1690" s="3">
        <v>45900</v>
      </c>
      <c r="C1690" s="2" t="s">
        <v>25</v>
      </c>
      <c r="D1690" s="2" t="s">
        <v>11</v>
      </c>
      <c r="E1690" s="2" t="s">
        <v>22</v>
      </c>
      <c r="F1690" s="2" t="s">
        <v>56</v>
      </c>
      <c r="G1690" s="2" t="s">
        <v>19</v>
      </c>
      <c r="H1690" s="4">
        <v>46250</v>
      </c>
      <c r="I1690" s="4">
        <v>41900</v>
      </c>
    </row>
    <row r="1691" spans="1:9" x14ac:dyDescent="0.3">
      <c r="A1691" s="2" t="s">
        <v>1723</v>
      </c>
      <c r="B1691" s="3">
        <v>45900</v>
      </c>
      <c r="C1691" s="2" t="s">
        <v>25</v>
      </c>
      <c r="D1691" s="2" t="s">
        <v>11</v>
      </c>
      <c r="E1691" s="2" t="s">
        <v>22</v>
      </c>
      <c r="F1691" s="2" t="s">
        <v>39</v>
      </c>
      <c r="G1691" s="2" t="s">
        <v>19</v>
      </c>
      <c r="H1691" s="4">
        <v>63030</v>
      </c>
      <c r="I1691" s="4">
        <v>52200</v>
      </c>
    </row>
    <row r="1692" spans="1:9" x14ac:dyDescent="0.3">
      <c r="A1692" s="2" t="s">
        <v>1724</v>
      </c>
      <c r="B1692" s="3">
        <v>45900</v>
      </c>
      <c r="C1692" s="2" t="s">
        <v>25</v>
      </c>
      <c r="D1692" s="2" t="s">
        <v>11</v>
      </c>
      <c r="E1692" s="2" t="s">
        <v>22</v>
      </c>
      <c r="F1692" s="2" t="s">
        <v>12</v>
      </c>
      <c r="G1692" s="2" t="s">
        <v>14</v>
      </c>
      <c r="H1692" s="4">
        <v>203279</v>
      </c>
      <c r="I1692" s="4">
        <v>179900</v>
      </c>
    </row>
    <row r="1693" spans="1:9" x14ac:dyDescent="0.3">
      <c r="A1693" s="2" t="s">
        <v>1725</v>
      </c>
      <c r="B1693" s="3">
        <v>45901</v>
      </c>
      <c r="C1693" s="2" t="s">
        <v>62</v>
      </c>
      <c r="D1693" s="2" t="s">
        <v>11</v>
      </c>
      <c r="E1693" s="2" t="s">
        <v>22</v>
      </c>
      <c r="F1693" s="2" t="s">
        <v>42</v>
      </c>
      <c r="G1693" s="2" t="s">
        <v>19</v>
      </c>
      <c r="H1693" s="4">
        <v>72988</v>
      </c>
      <c r="I1693" s="4">
        <v>77800</v>
      </c>
    </row>
    <row r="1694" spans="1:9" x14ac:dyDescent="0.3">
      <c r="A1694" s="2" t="s">
        <v>1726</v>
      </c>
      <c r="B1694" s="3">
        <v>45901</v>
      </c>
      <c r="C1694" s="2" t="s">
        <v>62</v>
      </c>
      <c r="D1694" s="2" t="s">
        <v>11</v>
      </c>
      <c r="E1694" s="2" t="s">
        <v>22</v>
      </c>
      <c r="F1694" s="2" t="s">
        <v>39</v>
      </c>
      <c r="G1694" s="2" t="s">
        <v>19</v>
      </c>
      <c r="H1694" s="4">
        <v>29353</v>
      </c>
      <c r="I1694" s="4">
        <v>25600</v>
      </c>
    </row>
    <row r="1695" spans="1:9" x14ac:dyDescent="0.3">
      <c r="A1695" s="2" t="s">
        <v>1727</v>
      </c>
      <c r="B1695" s="3">
        <v>45901</v>
      </c>
      <c r="C1695" s="2" t="s">
        <v>10</v>
      </c>
      <c r="D1695" s="2" t="s">
        <v>11</v>
      </c>
      <c r="E1695" s="2" t="s">
        <v>12</v>
      </c>
      <c r="F1695" s="2" t="s">
        <v>59</v>
      </c>
      <c r="G1695" s="2" t="s">
        <v>14</v>
      </c>
      <c r="H1695" s="4">
        <v>104652</v>
      </c>
      <c r="I1695" s="4">
        <v>95000</v>
      </c>
    </row>
    <row r="1696" spans="1:9" x14ac:dyDescent="0.3">
      <c r="A1696" s="2" t="s">
        <v>1728</v>
      </c>
      <c r="B1696" s="3">
        <v>45901</v>
      </c>
      <c r="C1696" s="2" t="s">
        <v>16</v>
      </c>
      <c r="D1696" s="2" t="s">
        <v>11</v>
      </c>
      <c r="E1696" s="2" t="s">
        <v>17</v>
      </c>
      <c r="F1696" s="2" t="s">
        <v>13</v>
      </c>
      <c r="G1696" s="2" t="s">
        <v>14</v>
      </c>
      <c r="H1696" s="4">
        <v>165143</v>
      </c>
      <c r="I1696" s="4">
        <v>142600</v>
      </c>
    </row>
    <row r="1697" spans="1:9" x14ac:dyDescent="0.3">
      <c r="A1697" s="2" t="s">
        <v>1729</v>
      </c>
      <c r="B1697" s="3">
        <v>45901</v>
      </c>
      <c r="C1697" s="2" t="s">
        <v>36</v>
      </c>
      <c r="D1697" s="2" t="s">
        <v>11</v>
      </c>
      <c r="E1697" s="2" t="s">
        <v>37</v>
      </c>
      <c r="F1697" s="2" t="s">
        <v>12</v>
      </c>
      <c r="G1697" s="2" t="s">
        <v>14</v>
      </c>
      <c r="H1697" s="4">
        <v>102193</v>
      </c>
      <c r="I1697" s="4">
        <v>102800</v>
      </c>
    </row>
    <row r="1698" spans="1:9" x14ac:dyDescent="0.3">
      <c r="A1698" s="2" t="s">
        <v>1730</v>
      </c>
      <c r="B1698" s="3">
        <v>45901</v>
      </c>
      <c r="C1698" s="2" t="s">
        <v>21</v>
      </c>
      <c r="D1698" s="2" t="s">
        <v>11</v>
      </c>
      <c r="E1698" s="2" t="s">
        <v>22</v>
      </c>
      <c r="F1698" s="2" t="s">
        <v>12</v>
      </c>
      <c r="G1698" s="2" t="s">
        <v>14</v>
      </c>
      <c r="H1698" s="4">
        <v>97594</v>
      </c>
      <c r="I1698" s="4">
        <v>98000</v>
      </c>
    </row>
    <row r="1699" spans="1:9" x14ac:dyDescent="0.3">
      <c r="A1699" s="2" t="s">
        <v>1731</v>
      </c>
      <c r="B1699" s="3">
        <v>45901</v>
      </c>
      <c r="C1699" s="2" t="s">
        <v>55</v>
      </c>
      <c r="D1699" s="2" t="s">
        <v>11</v>
      </c>
      <c r="E1699" s="2" t="s">
        <v>37</v>
      </c>
      <c r="F1699" s="2" t="s">
        <v>59</v>
      </c>
      <c r="G1699" s="2" t="s">
        <v>14</v>
      </c>
      <c r="H1699" s="4">
        <v>246519</v>
      </c>
      <c r="I1699" s="4">
        <v>254700</v>
      </c>
    </row>
    <row r="1700" spans="1:9" x14ac:dyDescent="0.3">
      <c r="A1700" s="2" t="s">
        <v>1732</v>
      </c>
      <c r="B1700" s="3">
        <v>45902</v>
      </c>
      <c r="C1700" s="2" t="s">
        <v>21</v>
      </c>
      <c r="D1700" s="2" t="s">
        <v>11</v>
      </c>
      <c r="E1700" s="2" t="s">
        <v>22</v>
      </c>
      <c r="F1700" s="2" t="s">
        <v>26</v>
      </c>
      <c r="G1700" s="2" t="s">
        <v>14</v>
      </c>
      <c r="H1700" s="4">
        <v>110676</v>
      </c>
      <c r="I1700" s="4">
        <v>108800</v>
      </c>
    </row>
    <row r="1701" spans="1:9" x14ac:dyDescent="0.3">
      <c r="A1701" s="2" t="s">
        <v>1733</v>
      </c>
      <c r="B1701" s="3">
        <v>45902</v>
      </c>
      <c r="C1701" s="2" t="s">
        <v>55</v>
      </c>
      <c r="D1701" s="2" t="s">
        <v>11</v>
      </c>
      <c r="E1701" s="2" t="s">
        <v>37</v>
      </c>
      <c r="F1701" s="2" t="s">
        <v>26</v>
      </c>
      <c r="G1701" s="2" t="s">
        <v>14</v>
      </c>
      <c r="H1701" s="4">
        <v>33744</v>
      </c>
      <c r="I1701" s="4">
        <v>34000</v>
      </c>
    </row>
    <row r="1702" spans="1:9" x14ac:dyDescent="0.3">
      <c r="A1702" s="2" t="s">
        <v>1734</v>
      </c>
      <c r="B1702" s="3">
        <v>45903</v>
      </c>
      <c r="C1702" s="2" t="s">
        <v>62</v>
      </c>
      <c r="D1702" s="2" t="s">
        <v>11</v>
      </c>
      <c r="E1702" s="2" t="s">
        <v>22</v>
      </c>
      <c r="F1702" s="2" t="s">
        <v>59</v>
      </c>
      <c r="G1702" s="2" t="s">
        <v>14</v>
      </c>
      <c r="H1702" s="4">
        <v>221509</v>
      </c>
      <c r="I1702" s="4">
        <v>217700</v>
      </c>
    </row>
    <row r="1703" spans="1:9" x14ac:dyDescent="0.3">
      <c r="A1703" s="2" t="s">
        <v>1735</v>
      </c>
      <c r="B1703" s="3">
        <v>45903</v>
      </c>
      <c r="C1703" s="2" t="s">
        <v>16</v>
      </c>
      <c r="D1703" s="2" t="s">
        <v>11</v>
      </c>
      <c r="E1703" s="2" t="s">
        <v>17</v>
      </c>
      <c r="F1703" s="2" t="s">
        <v>42</v>
      </c>
      <c r="G1703" s="2" t="s">
        <v>19</v>
      </c>
      <c r="H1703" s="4">
        <v>37056</v>
      </c>
      <c r="I1703" s="4">
        <v>36500</v>
      </c>
    </row>
    <row r="1704" spans="1:9" x14ac:dyDescent="0.3">
      <c r="A1704" s="2" t="s">
        <v>1736</v>
      </c>
      <c r="B1704" s="3">
        <v>45903</v>
      </c>
      <c r="C1704" s="2" t="s">
        <v>36</v>
      </c>
      <c r="D1704" s="2" t="s">
        <v>11</v>
      </c>
      <c r="E1704" s="2" t="s">
        <v>37</v>
      </c>
      <c r="F1704" s="2" t="s">
        <v>46</v>
      </c>
      <c r="G1704" s="2" t="s">
        <v>19</v>
      </c>
      <c r="H1704" s="4">
        <v>67151</v>
      </c>
      <c r="I1704" s="4">
        <v>62200</v>
      </c>
    </row>
    <row r="1705" spans="1:9" x14ac:dyDescent="0.3">
      <c r="A1705" s="2" t="s">
        <v>1737</v>
      </c>
      <c r="B1705" s="3">
        <v>45903</v>
      </c>
      <c r="C1705" s="2" t="s">
        <v>21</v>
      </c>
      <c r="D1705" s="2" t="s">
        <v>11</v>
      </c>
      <c r="E1705" s="2" t="s">
        <v>22</v>
      </c>
      <c r="F1705" s="2" t="s">
        <v>13</v>
      </c>
      <c r="G1705" s="2" t="s">
        <v>14</v>
      </c>
      <c r="H1705" s="4">
        <v>176475</v>
      </c>
      <c r="I1705" s="4">
        <v>159100</v>
      </c>
    </row>
    <row r="1706" spans="1:9" x14ac:dyDescent="0.3">
      <c r="A1706" s="2" t="s">
        <v>1738</v>
      </c>
      <c r="B1706" s="3">
        <v>45903</v>
      </c>
      <c r="C1706" s="2" t="s">
        <v>25</v>
      </c>
      <c r="D1706" s="2" t="s">
        <v>11</v>
      </c>
      <c r="E1706" s="2" t="s">
        <v>22</v>
      </c>
      <c r="F1706" s="2" t="s">
        <v>39</v>
      </c>
      <c r="G1706" s="2" t="s">
        <v>19</v>
      </c>
      <c r="H1706" s="4">
        <v>76251</v>
      </c>
      <c r="I1706" s="4">
        <v>84500</v>
      </c>
    </row>
    <row r="1707" spans="1:9" x14ac:dyDescent="0.3">
      <c r="A1707" s="2" t="s">
        <v>1739</v>
      </c>
      <c r="B1707" s="3">
        <v>45903</v>
      </c>
      <c r="C1707" s="2" t="s">
        <v>25</v>
      </c>
      <c r="D1707" s="2" t="s">
        <v>11</v>
      </c>
      <c r="E1707" s="2" t="s">
        <v>22</v>
      </c>
      <c r="F1707" s="2" t="s">
        <v>42</v>
      </c>
      <c r="G1707" s="2" t="s">
        <v>19</v>
      </c>
      <c r="H1707" s="4">
        <v>86521</v>
      </c>
      <c r="I1707" s="4">
        <v>97700</v>
      </c>
    </row>
    <row r="1708" spans="1:9" x14ac:dyDescent="0.3">
      <c r="A1708" s="2" t="s">
        <v>1740</v>
      </c>
      <c r="B1708" s="3">
        <v>45903</v>
      </c>
      <c r="C1708" s="2" t="s">
        <v>25</v>
      </c>
      <c r="D1708" s="2" t="s">
        <v>11</v>
      </c>
      <c r="E1708" s="2" t="s">
        <v>22</v>
      </c>
      <c r="F1708" s="2" t="s">
        <v>23</v>
      </c>
      <c r="G1708" s="2" t="s">
        <v>14</v>
      </c>
      <c r="H1708" s="4">
        <v>100006</v>
      </c>
      <c r="I1708" s="4">
        <v>83500</v>
      </c>
    </row>
    <row r="1709" spans="1:9" x14ac:dyDescent="0.3">
      <c r="A1709" s="2" t="s">
        <v>1741</v>
      </c>
      <c r="B1709" s="3">
        <v>45903</v>
      </c>
      <c r="C1709" s="2" t="s">
        <v>31</v>
      </c>
      <c r="D1709" s="2" t="s">
        <v>11</v>
      </c>
      <c r="E1709" s="2" t="s">
        <v>17</v>
      </c>
      <c r="F1709" s="2" t="s">
        <v>39</v>
      </c>
      <c r="G1709" s="2" t="s">
        <v>19</v>
      </c>
      <c r="H1709" s="4">
        <v>16618</v>
      </c>
      <c r="I1709" s="4">
        <v>13300</v>
      </c>
    </row>
    <row r="1710" spans="1:9" x14ac:dyDescent="0.3">
      <c r="A1710" s="2" t="s">
        <v>1742</v>
      </c>
      <c r="B1710" s="3">
        <v>45903</v>
      </c>
      <c r="C1710" s="2" t="s">
        <v>31</v>
      </c>
      <c r="D1710" s="2" t="s">
        <v>11</v>
      </c>
      <c r="E1710" s="2" t="s">
        <v>17</v>
      </c>
      <c r="F1710" s="2" t="s">
        <v>18</v>
      </c>
      <c r="G1710" s="2" t="s">
        <v>19</v>
      </c>
      <c r="H1710" s="4">
        <v>109804</v>
      </c>
      <c r="I1710" s="4">
        <v>120900</v>
      </c>
    </row>
    <row r="1711" spans="1:9" x14ac:dyDescent="0.3">
      <c r="A1711" s="2" t="s">
        <v>1743</v>
      </c>
      <c r="B1711" s="3">
        <v>45903</v>
      </c>
      <c r="C1711" s="2" t="s">
        <v>31</v>
      </c>
      <c r="D1711" s="2" t="s">
        <v>11</v>
      </c>
      <c r="E1711" s="2" t="s">
        <v>17</v>
      </c>
      <c r="F1711" s="2" t="s">
        <v>18</v>
      </c>
      <c r="G1711" s="2" t="s">
        <v>19</v>
      </c>
      <c r="H1711" s="4">
        <v>116659</v>
      </c>
      <c r="I1711" s="4">
        <v>91100</v>
      </c>
    </row>
    <row r="1712" spans="1:9" x14ac:dyDescent="0.3">
      <c r="A1712" s="2" t="s">
        <v>1744</v>
      </c>
      <c r="B1712" s="3">
        <v>45904</v>
      </c>
      <c r="C1712" s="2" t="s">
        <v>62</v>
      </c>
      <c r="D1712" s="2" t="s">
        <v>11</v>
      </c>
      <c r="E1712" s="2" t="s">
        <v>22</v>
      </c>
      <c r="F1712" s="2" t="s">
        <v>33</v>
      </c>
      <c r="G1712" s="2" t="s">
        <v>19</v>
      </c>
      <c r="H1712" s="4">
        <v>102578</v>
      </c>
      <c r="I1712" s="4">
        <v>105200</v>
      </c>
    </row>
    <row r="1713" spans="1:9" x14ac:dyDescent="0.3">
      <c r="A1713" s="2" t="s">
        <v>1745</v>
      </c>
      <c r="B1713" s="3">
        <v>45904</v>
      </c>
      <c r="C1713" s="2" t="s">
        <v>10</v>
      </c>
      <c r="D1713" s="2" t="s">
        <v>11</v>
      </c>
      <c r="E1713" s="2" t="s">
        <v>12</v>
      </c>
      <c r="F1713" s="2" t="s">
        <v>37</v>
      </c>
      <c r="G1713" s="2" t="s">
        <v>14</v>
      </c>
      <c r="H1713" s="4">
        <v>236942</v>
      </c>
      <c r="I1713" s="4">
        <v>243300</v>
      </c>
    </row>
    <row r="1714" spans="1:9" x14ac:dyDescent="0.3">
      <c r="A1714" s="2" t="s">
        <v>1746</v>
      </c>
      <c r="B1714" s="3">
        <v>45904</v>
      </c>
      <c r="C1714" s="2" t="s">
        <v>16</v>
      </c>
      <c r="D1714" s="2" t="s">
        <v>11</v>
      </c>
      <c r="E1714" s="2" t="s">
        <v>17</v>
      </c>
      <c r="F1714" s="2" t="s">
        <v>23</v>
      </c>
      <c r="G1714" s="2" t="s">
        <v>14</v>
      </c>
      <c r="H1714" s="4">
        <v>164622</v>
      </c>
      <c r="I1714" s="4">
        <v>173000</v>
      </c>
    </row>
    <row r="1715" spans="1:9" x14ac:dyDescent="0.3">
      <c r="A1715" s="2" t="s">
        <v>1747</v>
      </c>
      <c r="B1715" s="3">
        <v>45904</v>
      </c>
      <c r="C1715" s="2" t="s">
        <v>36</v>
      </c>
      <c r="D1715" s="2" t="s">
        <v>11</v>
      </c>
      <c r="E1715" s="2" t="s">
        <v>37</v>
      </c>
      <c r="F1715" s="2" t="s">
        <v>56</v>
      </c>
      <c r="G1715" s="2" t="s">
        <v>19</v>
      </c>
      <c r="H1715" s="4">
        <v>49569</v>
      </c>
      <c r="I1715" s="4">
        <v>55300</v>
      </c>
    </row>
    <row r="1716" spans="1:9" x14ac:dyDescent="0.3">
      <c r="A1716" s="2" t="s">
        <v>1748</v>
      </c>
      <c r="B1716" s="3">
        <v>45904</v>
      </c>
      <c r="C1716" s="2" t="s">
        <v>21</v>
      </c>
      <c r="D1716" s="2" t="s">
        <v>11</v>
      </c>
      <c r="E1716" s="2" t="s">
        <v>22</v>
      </c>
      <c r="F1716" s="2" t="s">
        <v>33</v>
      </c>
      <c r="G1716" s="2" t="s">
        <v>19</v>
      </c>
      <c r="H1716" s="4">
        <v>74199</v>
      </c>
      <c r="I1716" s="4">
        <v>92100</v>
      </c>
    </row>
    <row r="1717" spans="1:9" x14ac:dyDescent="0.3">
      <c r="A1717" s="2" t="s">
        <v>1749</v>
      </c>
      <c r="B1717" s="3">
        <v>45904</v>
      </c>
      <c r="C1717" s="2" t="s">
        <v>21</v>
      </c>
      <c r="D1717" s="2" t="s">
        <v>11</v>
      </c>
      <c r="E1717" s="2" t="s">
        <v>22</v>
      </c>
      <c r="F1717" s="2" t="s">
        <v>33</v>
      </c>
      <c r="G1717" s="2" t="s">
        <v>19</v>
      </c>
      <c r="H1717" s="4">
        <v>14821</v>
      </c>
      <c r="I1717" s="4">
        <v>17100</v>
      </c>
    </row>
    <row r="1718" spans="1:9" x14ac:dyDescent="0.3">
      <c r="A1718" s="2" t="s">
        <v>1750</v>
      </c>
      <c r="B1718" s="3">
        <v>45904</v>
      </c>
      <c r="C1718" s="2" t="s">
        <v>21</v>
      </c>
      <c r="D1718" s="2" t="s">
        <v>11</v>
      </c>
      <c r="E1718" s="2" t="s">
        <v>22</v>
      </c>
      <c r="F1718" s="2" t="s">
        <v>12</v>
      </c>
      <c r="G1718" s="2" t="s">
        <v>14</v>
      </c>
      <c r="H1718" s="4">
        <v>109931</v>
      </c>
      <c r="I1718" s="4">
        <v>103200</v>
      </c>
    </row>
    <row r="1719" spans="1:9" x14ac:dyDescent="0.3">
      <c r="A1719" s="2" t="s">
        <v>1751</v>
      </c>
      <c r="B1719" s="3">
        <v>45904</v>
      </c>
      <c r="C1719" s="2" t="s">
        <v>31</v>
      </c>
      <c r="D1719" s="2" t="s">
        <v>11</v>
      </c>
      <c r="E1719" s="2" t="s">
        <v>17</v>
      </c>
      <c r="F1719" s="2" t="s">
        <v>23</v>
      </c>
      <c r="G1719" s="2" t="s">
        <v>14</v>
      </c>
      <c r="H1719" s="4">
        <v>40594</v>
      </c>
      <c r="I1719" s="4">
        <v>36300</v>
      </c>
    </row>
    <row r="1720" spans="1:9" x14ac:dyDescent="0.3">
      <c r="A1720" s="2" t="s">
        <v>1752</v>
      </c>
      <c r="B1720" s="3">
        <v>45904</v>
      </c>
      <c r="C1720" s="2" t="s">
        <v>31</v>
      </c>
      <c r="D1720" s="2" t="s">
        <v>11</v>
      </c>
      <c r="E1720" s="2" t="s">
        <v>17</v>
      </c>
      <c r="F1720" s="2" t="s">
        <v>59</v>
      </c>
      <c r="G1720" s="2" t="s">
        <v>14</v>
      </c>
      <c r="H1720" s="4">
        <v>33451</v>
      </c>
      <c r="I1720" s="4">
        <v>34100</v>
      </c>
    </row>
    <row r="1721" spans="1:9" x14ac:dyDescent="0.3">
      <c r="A1721" s="2" t="s">
        <v>1753</v>
      </c>
      <c r="B1721" s="3">
        <v>45905</v>
      </c>
      <c r="C1721" s="2" t="s">
        <v>62</v>
      </c>
      <c r="D1721" s="2" t="s">
        <v>11</v>
      </c>
      <c r="E1721" s="2" t="s">
        <v>22</v>
      </c>
      <c r="F1721" s="2" t="s">
        <v>59</v>
      </c>
      <c r="G1721" s="2" t="s">
        <v>14</v>
      </c>
      <c r="H1721" s="4">
        <v>90959</v>
      </c>
      <c r="I1721" s="4">
        <v>95200</v>
      </c>
    </row>
    <row r="1722" spans="1:9" x14ac:dyDescent="0.3">
      <c r="A1722" s="2" t="s">
        <v>1754</v>
      </c>
      <c r="B1722" s="3">
        <v>45905</v>
      </c>
      <c r="C1722" s="2" t="s">
        <v>62</v>
      </c>
      <c r="D1722" s="2" t="s">
        <v>11</v>
      </c>
      <c r="E1722" s="2" t="s">
        <v>22</v>
      </c>
      <c r="F1722" s="2" t="s">
        <v>23</v>
      </c>
      <c r="G1722" s="2" t="s">
        <v>14</v>
      </c>
      <c r="H1722" s="4">
        <v>44625</v>
      </c>
      <c r="I1722" s="4">
        <v>50700</v>
      </c>
    </row>
    <row r="1723" spans="1:9" x14ac:dyDescent="0.3">
      <c r="A1723" s="2" t="s">
        <v>1755</v>
      </c>
      <c r="B1723" s="3">
        <v>45905</v>
      </c>
      <c r="C1723" s="2" t="s">
        <v>10</v>
      </c>
      <c r="D1723" s="2" t="s">
        <v>11</v>
      </c>
      <c r="E1723" s="2" t="s">
        <v>12</v>
      </c>
      <c r="F1723" s="2" t="s">
        <v>33</v>
      </c>
      <c r="G1723" s="2" t="s">
        <v>19</v>
      </c>
      <c r="H1723" s="4">
        <v>68828</v>
      </c>
      <c r="I1723" s="4">
        <v>71700</v>
      </c>
    </row>
    <row r="1724" spans="1:9" x14ac:dyDescent="0.3">
      <c r="A1724" s="2" t="s">
        <v>1756</v>
      </c>
      <c r="B1724" s="3">
        <v>45905</v>
      </c>
      <c r="C1724" s="2" t="s">
        <v>36</v>
      </c>
      <c r="D1724" s="2" t="s">
        <v>11</v>
      </c>
      <c r="E1724" s="2" t="s">
        <v>37</v>
      </c>
      <c r="F1724" s="2" t="s">
        <v>37</v>
      </c>
      <c r="G1724" s="2" t="s">
        <v>14</v>
      </c>
      <c r="H1724" s="4">
        <v>41989</v>
      </c>
      <c r="I1724" s="4">
        <v>42300</v>
      </c>
    </row>
    <row r="1725" spans="1:9" x14ac:dyDescent="0.3">
      <c r="A1725" s="2" t="s">
        <v>1757</v>
      </c>
      <c r="B1725" s="3">
        <v>45905</v>
      </c>
      <c r="C1725" s="2" t="s">
        <v>36</v>
      </c>
      <c r="D1725" s="2" t="s">
        <v>11</v>
      </c>
      <c r="E1725" s="2" t="s">
        <v>37</v>
      </c>
      <c r="F1725" s="2" t="s">
        <v>23</v>
      </c>
      <c r="G1725" s="2" t="s">
        <v>14</v>
      </c>
      <c r="H1725" s="4">
        <v>33356</v>
      </c>
      <c r="I1725" s="4">
        <v>34300</v>
      </c>
    </row>
    <row r="1726" spans="1:9" x14ac:dyDescent="0.3">
      <c r="A1726" s="2" t="s">
        <v>1758</v>
      </c>
      <c r="B1726" s="3">
        <v>45905</v>
      </c>
      <c r="C1726" s="2" t="s">
        <v>21</v>
      </c>
      <c r="D1726" s="2" t="s">
        <v>11</v>
      </c>
      <c r="E1726" s="2" t="s">
        <v>22</v>
      </c>
      <c r="F1726" s="2" t="s">
        <v>33</v>
      </c>
      <c r="G1726" s="2" t="s">
        <v>19</v>
      </c>
      <c r="H1726" s="4">
        <v>108719</v>
      </c>
      <c r="I1726" s="4">
        <v>114300</v>
      </c>
    </row>
    <row r="1727" spans="1:9" x14ac:dyDescent="0.3">
      <c r="A1727" s="2" t="s">
        <v>1759</v>
      </c>
      <c r="B1727" s="3">
        <v>45905</v>
      </c>
      <c r="C1727" s="2" t="s">
        <v>25</v>
      </c>
      <c r="D1727" s="2" t="s">
        <v>11</v>
      </c>
      <c r="E1727" s="2" t="s">
        <v>22</v>
      </c>
      <c r="F1727" s="2" t="s">
        <v>23</v>
      </c>
      <c r="G1727" s="2" t="s">
        <v>14</v>
      </c>
      <c r="H1727" s="4">
        <v>122633</v>
      </c>
      <c r="I1727" s="4">
        <v>115700</v>
      </c>
    </row>
    <row r="1728" spans="1:9" x14ac:dyDescent="0.3">
      <c r="A1728" s="2" t="s">
        <v>1760</v>
      </c>
      <c r="B1728" s="3">
        <v>45905</v>
      </c>
      <c r="C1728" s="2" t="s">
        <v>25</v>
      </c>
      <c r="D1728" s="2" t="s">
        <v>11</v>
      </c>
      <c r="E1728" s="2" t="s">
        <v>22</v>
      </c>
      <c r="F1728" s="2" t="s">
        <v>12</v>
      </c>
      <c r="G1728" s="2" t="s">
        <v>14</v>
      </c>
      <c r="H1728" s="4">
        <v>232828</v>
      </c>
      <c r="I1728" s="4">
        <v>205300</v>
      </c>
    </row>
    <row r="1729" spans="1:9" x14ac:dyDescent="0.3">
      <c r="A1729" s="2" t="s">
        <v>1761</v>
      </c>
      <c r="B1729" s="3">
        <v>45905</v>
      </c>
      <c r="C1729" s="2" t="s">
        <v>31</v>
      </c>
      <c r="D1729" s="2" t="s">
        <v>11</v>
      </c>
      <c r="E1729" s="2" t="s">
        <v>17</v>
      </c>
      <c r="F1729" s="2" t="s">
        <v>42</v>
      </c>
      <c r="G1729" s="2" t="s">
        <v>19</v>
      </c>
      <c r="H1729" s="4">
        <v>87395</v>
      </c>
      <c r="I1729" s="4">
        <v>88100</v>
      </c>
    </row>
    <row r="1730" spans="1:9" x14ac:dyDescent="0.3">
      <c r="A1730" s="2" t="s">
        <v>1762</v>
      </c>
      <c r="B1730" s="3">
        <v>45905</v>
      </c>
      <c r="C1730" s="2" t="s">
        <v>55</v>
      </c>
      <c r="D1730" s="2" t="s">
        <v>11</v>
      </c>
      <c r="E1730" s="2" t="s">
        <v>37</v>
      </c>
      <c r="F1730" s="2" t="s">
        <v>12</v>
      </c>
      <c r="G1730" s="2" t="s">
        <v>14</v>
      </c>
      <c r="H1730" s="4">
        <v>155059</v>
      </c>
      <c r="I1730" s="4">
        <v>146400</v>
      </c>
    </row>
    <row r="1731" spans="1:9" x14ac:dyDescent="0.3">
      <c r="A1731" s="2" t="s">
        <v>1763</v>
      </c>
      <c r="B1731" s="3">
        <v>45906</v>
      </c>
      <c r="C1731" s="2" t="s">
        <v>62</v>
      </c>
      <c r="D1731" s="2" t="s">
        <v>11</v>
      </c>
      <c r="E1731" s="2" t="s">
        <v>22</v>
      </c>
      <c r="F1731" s="2" t="s">
        <v>46</v>
      </c>
      <c r="G1731" s="2" t="s">
        <v>19</v>
      </c>
      <c r="H1731" s="4">
        <v>67150</v>
      </c>
      <c r="I1731" s="4">
        <v>73600</v>
      </c>
    </row>
    <row r="1732" spans="1:9" x14ac:dyDescent="0.3">
      <c r="A1732" s="2" t="s">
        <v>1764</v>
      </c>
      <c r="B1732" s="3">
        <v>45906</v>
      </c>
      <c r="C1732" s="2" t="s">
        <v>62</v>
      </c>
      <c r="D1732" s="2" t="s">
        <v>11</v>
      </c>
      <c r="E1732" s="2" t="s">
        <v>22</v>
      </c>
      <c r="F1732" s="2" t="s">
        <v>23</v>
      </c>
      <c r="G1732" s="2" t="s">
        <v>14</v>
      </c>
      <c r="H1732" s="4">
        <v>91790</v>
      </c>
      <c r="I1732" s="4">
        <v>91900</v>
      </c>
    </row>
    <row r="1733" spans="1:9" x14ac:dyDescent="0.3">
      <c r="A1733" s="2" t="s">
        <v>1765</v>
      </c>
      <c r="B1733" s="3">
        <v>45906</v>
      </c>
      <c r="C1733" s="2" t="s">
        <v>16</v>
      </c>
      <c r="D1733" s="2" t="s">
        <v>11</v>
      </c>
      <c r="E1733" s="2" t="s">
        <v>17</v>
      </c>
      <c r="F1733" s="2" t="s">
        <v>26</v>
      </c>
      <c r="G1733" s="2" t="s">
        <v>14</v>
      </c>
      <c r="H1733" s="4">
        <v>237921</v>
      </c>
      <c r="I1733" s="4">
        <v>259500</v>
      </c>
    </row>
    <row r="1734" spans="1:9" x14ac:dyDescent="0.3">
      <c r="A1734" s="2" t="s">
        <v>1766</v>
      </c>
      <c r="B1734" s="3">
        <v>45906</v>
      </c>
      <c r="C1734" s="2" t="s">
        <v>36</v>
      </c>
      <c r="D1734" s="2" t="s">
        <v>11</v>
      </c>
      <c r="E1734" s="2" t="s">
        <v>37</v>
      </c>
      <c r="F1734" s="2" t="s">
        <v>42</v>
      </c>
      <c r="G1734" s="2" t="s">
        <v>19</v>
      </c>
      <c r="H1734" s="4">
        <v>52991</v>
      </c>
      <c r="I1734" s="4">
        <v>57600</v>
      </c>
    </row>
    <row r="1735" spans="1:9" x14ac:dyDescent="0.3">
      <c r="A1735" s="2" t="s">
        <v>1767</v>
      </c>
      <c r="B1735" s="3">
        <v>45906</v>
      </c>
      <c r="C1735" s="2" t="s">
        <v>36</v>
      </c>
      <c r="D1735" s="2" t="s">
        <v>11</v>
      </c>
      <c r="E1735" s="2" t="s">
        <v>37</v>
      </c>
      <c r="F1735" s="2" t="s">
        <v>37</v>
      </c>
      <c r="G1735" s="2" t="s">
        <v>14</v>
      </c>
      <c r="H1735" s="4">
        <v>96971</v>
      </c>
      <c r="I1735" s="4">
        <v>98100</v>
      </c>
    </row>
    <row r="1736" spans="1:9" x14ac:dyDescent="0.3">
      <c r="A1736" s="2" t="s">
        <v>1768</v>
      </c>
      <c r="B1736" s="3">
        <v>45906</v>
      </c>
      <c r="C1736" s="2" t="s">
        <v>25</v>
      </c>
      <c r="D1736" s="2" t="s">
        <v>11</v>
      </c>
      <c r="E1736" s="2" t="s">
        <v>22</v>
      </c>
      <c r="F1736" s="2" t="s">
        <v>42</v>
      </c>
      <c r="G1736" s="2" t="s">
        <v>19</v>
      </c>
      <c r="H1736" s="4">
        <v>82352</v>
      </c>
      <c r="I1736" s="4">
        <v>80200</v>
      </c>
    </row>
    <row r="1737" spans="1:9" x14ac:dyDescent="0.3">
      <c r="A1737" s="2" t="s">
        <v>1769</v>
      </c>
      <c r="B1737" s="3">
        <v>45906</v>
      </c>
      <c r="C1737" s="2" t="s">
        <v>25</v>
      </c>
      <c r="D1737" s="2" t="s">
        <v>11</v>
      </c>
      <c r="E1737" s="2" t="s">
        <v>22</v>
      </c>
      <c r="F1737" s="2" t="s">
        <v>23</v>
      </c>
      <c r="G1737" s="2" t="s">
        <v>14</v>
      </c>
      <c r="H1737" s="4">
        <v>219597</v>
      </c>
      <c r="I1737" s="4">
        <v>212900</v>
      </c>
    </row>
    <row r="1738" spans="1:9" x14ac:dyDescent="0.3">
      <c r="A1738" s="2" t="s">
        <v>1770</v>
      </c>
      <c r="B1738" s="3">
        <v>45907</v>
      </c>
      <c r="C1738" s="2" t="s">
        <v>62</v>
      </c>
      <c r="D1738" s="2" t="s">
        <v>11</v>
      </c>
      <c r="E1738" s="2" t="s">
        <v>22</v>
      </c>
      <c r="F1738" s="2" t="s">
        <v>12</v>
      </c>
      <c r="G1738" s="2" t="s">
        <v>14</v>
      </c>
      <c r="H1738" s="4">
        <v>102326</v>
      </c>
      <c r="I1738" s="4">
        <v>100200</v>
      </c>
    </row>
    <row r="1739" spans="1:9" x14ac:dyDescent="0.3">
      <c r="A1739" s="2" t="s">
        <v>1771</v>
      </c>
      <c r="B1739" s="3">
        <v>45907</v>
      </c>
      <c r="C1739" s="2" t="s">
        <v>16</v>
      </c>
      <c r="D1739" s="2" t="s">
        <v>11</v>
      </c>
      <c r="E1739" s="2" t="s">
        <v>17</v>
      </c>
      <c r="F1739" s="2" t="s">
        <v>37</v>
      </c>
      <c r="G1739" s="2" t="s">
        <v>14</v>
      </c>
      <c r="H1739" s="4">
        <v>160815</v>
      </c>
      <c r="I1739" s="4">
        <v>178200</v>
      </c>
    </row>
    <row r="1740" spans="1:9" x14ac:dyDescent="0.3">
      <c r="A1740" s="2" t="s">
        <v>1772</v>
      </c>
      <c r="B1740" s="3">
        <v>45907</v>
      </c>
      <c r="C1740" s="2" t="s">
        <v>16</v>
      </c>
      <c r="D1740" s="2" t="s">
        <v>11</v>
      </c>
      <c r="E1740" s="2" t="s">
        <v>17</v>
      </c>
      <c r="F1740" s="2" t="s">
        <v>37</v>
      </c>
      <c r="G1740" s="2" t="s">
        <v>14</v>
      </c>
      <c r="H1740" s="4">
        <v>221042</v>
      </c>
      <c r="I1740" s="4">
        <v>180700</v>
      </c>
    </row>
    <row r="1741" spans="1:9" x14ac:dyDescent="0.3">
      <c r="A1741" s="2" t="s">
        <v>1773</v>
      </c>
      <c r="B1741" s="3">
        <v>45907</v>
      </c>
      <c r="C1741" s="2" t="s">
        <v>21</v>
      </c>
      <c r="D1741" s="2" t="s">
        <v>11</v>
      </c>
      <c r="E1741" s="2" t="s">
        <v>22</v>
      </c>
      <c r="F1741" s="2" t="s">
        <v>37</v>
      </c>
      <c r="G1741" s="2" t="s">
        <v>14</v>
      </c>
      <c r="H1741" s="4">
        <v>34172</v>
      </c>
      <c r="I1741" s="4">
        <v>33900</v>
      </c>
    </row>
    <row r="1742" spans="1:9" x14ac:dyDescent="0.3">
      <c r="A1742" s="2" t="s">
        <v>1774</v>
      </c>
      <c r="B1742" s="3">
        <v>45907</v>
      </c>
      <c r="C1742" s="2" t="s">
        <v>55</v>
      </c>
      <c r="D1742" s="2" t="s">
        <v>11</v>
      </c>
      <c r="E1742" s="2" t="s">
        <v>37</v>
      </c>
      <c r="F1742" s="2" t="s">
        <v>46</v>
      </c>
      <c r="G1742" s="2" t="s">
        <v>19</v>
      </c>
      <c r="H1742" s="4">
        <v>91099</v>
      </c>
      <c r="I1742" s="4">
        <v>109000</v>
      </c>
    </row>
    <row r="1743" spans="1:9" x14ac:dyDescent="0.3">
      <c r="A1743" s="2" t="s">
        <v>1775</v>
      </c>
      <c r="B1743" s="3">
        <v>45907</v>
      </c>
      <c r="C1743" s="2" t="s">
        <v>55</v>
      </c>
      <c r="D1743" s="2" t="s">
        <v>11</v>
      </c>
      <c r="E1743" s="2" t="s">
        <v>37</v>
      </c>
      <c r="F1743" s="2" t="s">
        <v>33</v>
      </c>
      <c r="G1743" s="2" t="s">
        <v>19</v>
      </c>
      <c r="H1743" s="4">
        <v>87751</v>
      </c>
      <c r="I1743" s="4">
        <v>88700</v>
      </c>
    </row>
    <row r="1744" spans="1:9" x14ac:dyDescent="0.3">
      <c r="A1744" s="2" t="s">
        <v>1776</v>
      </c>
      <c r="B1744" s="3">
        <v>45907</v>
      </c>
      <c r="C1744" s="2" t="s">
        <v>55</v>
      </c>
      <c r="D1744" s="2" t="s">
        <v>11</v>
      </c>
      <c r="E1744" s="2" t="s">
        <v>37</v>
      </c>
      <c r="F1744" s="2" t="s">
        <v>33</v>
      </c>
      <c r="G1744" s="2" t="s">
        <v>19</v>
      </c>
      <c r="H1744" s="4">
        <v>31978</v>
      </c>
      <c r="I1744" s="4">
        <v>29200</v>
      </c>
    </row>
    <row r="1745" spans="1:9" x14ac:dyDescent="0.3">
      <c r="A1745" s="2" t="s">
        <v>1777</v>
      </c>
      <c r="B1745" s="3">
        <v>45908</v>
      </c>
      <c r="C1745" s="2" t="s">
        <v>62</v>
      </c>
      <c r="D1745" s="2" t="s">
        <v>11</v>
      </c>
      <c r="E1745" s="2" t="s">
        <v>22</v>
      </c>
      <c r="F1745" s="2" t="s">
        <v>39</v>
      </c>
      <c r="G1745" s="2" t="s">
        <v>19</v>
      </c>
      <c r="H1745" s="4">
        <v>86859</v>
      </c>
      <c r="I1745" s="4">
        <v>61900</v>
      </c>
    </row>
    <row r="1746" spans="1:9" x14ac:dyDescent="0.3">
      <c r="A1746" s="2" t="s">
        <v>1778</v>
      </c>
      <c r="B1746" s="3">
        <v>45908</v>
      </c>
      <c r="C1746" s="2" t="s">
        <v>21</v>
      </c>
      <c r="D1746" s="2" t="s">
        <v>11</v>
      </c>
      <c r="E1746" s="2" t="s">
        <v>22</v>
      </c>
      <c r="F1746" s="2" t="s">
        <v>42</v>
      </c>
      <c r="G1746" s="2" t="s">
        <v>19</v>
      </c>
      <c r="H1746" s="4">
        <v>53672</v>
      </c>
      <c r="I1746" s="4">
        <v>49600</v>
      </c>
    </row>
    <row r="1747" spans="1:9" x14ac:dyDescent="0.3">
      <c r="A1747" s="2" t="s">
        <v>1779</v>
      </c>
      <c r="B1747" s="3">
        <v>45908</v>
      </c>
      <c r="C1747" s="2" t="s">
        <v>25</v>
      </c>
      <c r="D1747" s="2" t="s">
        <v>11</v>
      </c>
      <c r="E1747" s="2" t="s">
        <v>22</v>
      </c>
      <c r="F1747" s="2" t="s">
        <v>33</v>
      </c>
      <c r="G1747" s="2" t="s">
        <v>19</v>
      </c>
      <c r="H1747" s="4">
        <v>96630</v>
      </c>
      <c r="I1747" s="4">
        <v>112100</v>
      </c>
    </row>
    <row r="1748" spans="1:9" x14ac:dyDescent="0.3">
      <c r="A1748" s="2" t="s">
        <v>1780</v>
      </c>
      <c r="B1748" s="3">
        <v>45909</v>
      </c>
      <c r="C1748" s="2" t="s">
        <v>62</v>
      </c>
      <c r="D1748" s="2" t="s">
        <v>11</v>
      </c>
      <c r="E1748" s="2" t="s">
        <v>22</v>
      </c>
      <c r="F1748" s="2" t="s">
        <v>56</v>
      </c>
      <c r="G1748" s="2" t="s">
        <v>19</v>
      </c>
      <c r="H1748" s="4">
        <v>108719</v>
      </c>
      <c r="I1748" s="4">
        <v>106000</v>
      </c>
    </row>
    <row r="1749" spans="1:9" x14ac:dyDescent="0.3">
      <c r="A1749" s="2" t="s">
        <v>1781</v>
      </c>
      <c r="B1749" s="3">
        <v>45909</v>
      </c>
      <c r="C1749" s="2" t="s">
        <v>10</v>
      </c>
      <c r="D1749" s="2" t="s">
        <v>11</v>
      </c>
      <c r="E1749" s="2" t="s">
        <v>12</v>
      </c>
      <c r="F1749" s="2" t="s">
        <v>59</v>
      </c>
      <c r="G1749" s="2" t="s">
        <v>14</v>
      </c>
      <c r="H1749" s="4">
        <v>186145</v>
      </c>
      <c r="I1749" s="4">
        <v>164700</v>
      </c>
    </row>
    <row r="1750" spans="1:9" x14ac:dyDescent="0.3">
      <c r="A1750" s="2" t="s">
        <v>1782</v>
      </c>
      <c r="B1750" s="3">
        <v>45909</v>
      </c>
      <c r="C1750" s="2" t="s">
        <v>16</v>
      </c>
      <c r="D1750" s="2" t="s">
        <v>11</v>
      </c>
      <c r="E1750" s="2" t="s">
        <v>17</v>
      </c>
      <c r="F1750" s="2" t="s">
        <v>46</v>
      </c>
      <c r="G1750" s="2" t="s">
        <v>19</v>
      </c>
      <c r="H1750" s="4">
        <v>29284</v>
      </c>
      <c r="I1750" s="4">
        <v>33900</v>
      </c>
    </row>
    <row r="1751" spans="1:9" x14ac:dyDescent="0.3">
      <c r="A1751" s="2" t="s">
        <v>1783</v>
      </c>
      <c r="B1751" s="3">
        <v>45909</v>
      </c>
      <c r="C1751" s="2" t="s">
        <v>36</v>
      </c>
      <c r="D1751" s="2" t="s">
        <v>11</v>
      </c>
      <c r="E1751" s="2" t="s">
        <v>37</v>
      </c>
      <c r="F1751" s="2" t="s">
        <v>42</v>
      </c>
      <c r="G1751" s="2" t="s">
        <v>19</v>
      </c>
      <c r="H1751" s="4">
        <v>53895</v>
      </c>
      <c r="I1751" s="4">
        <v>56700</v>
      </c>
    </row>
    <row r="1752" spans="1:9" x14ac:dyDescent="0.3">
      <c r="A1752" s="2" t="s">
        <v>1784</v>
      </c>
      <c r="B1752" s="3">
        <v>45909</v>
      </c>
      <c r="C1752" s="2" t="s">
        <v>31</v>
      </c>
      <c r="D1752" s="2" t="s">
        <v>11</v>
      </c>
      <c r="E1752" s="2" t="s">
        <v>17</v>
      </c>
      <c r="F1752" s="2" t="s">
        <v>33</v>
      </c>
      <c r="G1752" s="2" t="s">
        <v>19</v>
      </c>
      <c r="H1752" s="4">
        <v>52640</v>
      </c>
      <c r="I1752" s="4">
        <v>50600</v>
      </c>
    </row>
    <row r="1753" spans="1:9" x14ac:dyDescent="0.3">
      <c r="A1753" s="2" t="s">
        <v>1785</v>
      </c>
      <c r="B1753" s="3">
        <v>45909</v>
      </c>
      <c r="C1753" s="2" t="s">
        <v>31</v>
      </c>
      <c r="D1753" s="2" t="s">
        <v>11</v>
      </c>
      <c r="E1753" s="2" t="s">
        <v>17</v>
      </c>
      <c r="F1753" s="2" t="s">
        <v>37</v>
      </c>
      <c r="G1753" s="2" t="s">
        <v>14</v>
      </c>
      <c r="H1753" s="4">
        <v>62589</v>
      </c>
      <c r="I1753" s="4">
        <v>70500</v>
      </c>
    </row>
    <row r="1754" spans="1:9" x14ac:dyDescent="0.3">
      <c r="A1754" s="2" t="s">
        <v>1786</v>
      </c>
      <c r="B1754" s="3">
        <v>45909</v>
      </c>
      <c r="C1754" s="2" t="s">
        <v>55</v>
      </c>
      <c r="D1754" s="2" t="s">
        <v>11</v>
      </c>
      <c r="E1754" s="2" t="s">
        <v>37</v>
      </c>
      <c r="F1754" s="2" t="s">
        <v>42</v>
      </c>
      <c r="G1754" s="2" t="s">
        <v>19</v>
      </c>
      <c r="H1754" s="4">
        <v>77749</v>
      </c>
      <c r="I1754" s="4">
        <v>68400</v>
      </c>
    </row>
    <row r="1755" spans="1:9" x14ac:dyDescent="0.3">
      <c r="A1755" s="2" t="s">
        <v>1787</v>
      </c>
      <c r="B1755" s="3">
        <v>45910</v>
      </c>
      <c r="C1755" s="2" t="s">
        <v>62</v>
      </c>
      <c r="D1755" s="2" t="s">
        <v>11</v>
      </c>
      <c r="E1755" s="2" t="s">
        <v>22</v>
      </c>
      <c r="F1755" s="2" t="s">
        <v>23</v>
      </c>
      <c r="G1755" s="2" t="s">
        <v>14</v>
      </c>
      <c r="H1755" s="4">
        <v>231895</v>
      </c>
      <c r="I1755" s="4">
        <v>234800</v>
      </c>
    </row>
    <row r="1756" spans="1:9" x14ac:dyDescent="0.3">
      <c r="A1756" s="2" t="s">
        <v>1788</v>
      </c>
      <c r="B1756" s="3">
        <v>45910</v>
      </c>
      <c r="C1756" s="2" t="s">
        <v>62</v>
      </c>
      <c r="D1756" s="2" t="s">
        <v>11</v>
      </c>
      <c r="E1756" s="2" t="s">
        <v>22</v>
      </c>
      <c r="F1756" s="2" t="s">
        <v>59</v>
      </c>
      <c r="G1756" s="2" t="s">
        <v>14</v>
      </c>
      <c r="H1756" s="4">
        <v>152065</v>
      </c>
      <c r="I1756" s="4">
        <v>130600</v>
      </c>
    </row>
    <row r="1757" spans="1:9" x14ac:dyDescent="0.3">
      <c r="A1757" s="2" t="s">
        <v>1789</v>
      </c>
      <c r="B1757" s="3">
        <v>45910</v>
      </c>
      <c r="C1757" s="2" t="s">
        <v>16</v>
      </c>
      <c r="D1757" s="2" t="s">
        <v>11</v>
      </c>
      <c r="E1757" s="2" t="s">
        <v>17</v>
      </c>
      <c r="F1757" s="2" t="s">
        <v>46</v>
      </c>
      <c r="G1757" s="2" t="s">
        <v>19</v>
      </c>
      <c r="H1757" s="4">
        <v>116235</v>
      </c>
      <c r="I1757" s="4">
        <v>107100</v>
      </c>
    </row>
    <row r="1758" spans="1:9" x14ac:dyDescent="0.3">
      <c r="A1758" s="2" t="s">
        <v>1790</v>
      </c>
      <c r="B1758" s="3">
        <v>45910</v>
      </c>
      <c r="C1758" s="2" t="s">
        <v>16</v>
      </c>
      <c r="D1758" s="2" t="s">
        <v>11</v>
      </c>
      <c r="E1758" s="2" t="s">
        <v>17</v>
      </c>
      <c r="F1758" s="2" t="s">
        <v>18</v>
      </c>
      <c r="G1758" s="2" t="s">
        <v>19</v>
      </c>
      <c r="H1758" s="4">
        <v>84579</v>
      </c>
      <c r="I1758" s="4">
        <v>70900</v>
      </c>
    </row>
    <row r="1759" spans="1:9" x14ac:dyDescent="0.3">
      <c r="A1759" s="2" t="s">
        <v>1791</v>
      </c>
      <c r="B1759" s="3">
        <v>45910</v>
      </c>
      <c r="C1759" s="2" t="s">
        <v>16</v>
      </c>
      <c r="D1759" s="2" t="s">
        <v>11</v>
      </c>
      <c r="E1759" s="2" t="s">
        <v>17</v>
      </c>
      <c r="F1759" s="2" t="s">
        <v>23</v>
      </c>
      <c r="G1759" s="2" t="s">
        <v>14</v>
      </c>
      <c r="H1759" s="4">
        <v>67545</v>
      </c>
      <c r="I1759" s="4">
        <v>63500</v>
      </c>
    </row>
    <row r="1760" spans="1:9" x14ac:dyDescent="0.3">
      <c r="A1760" s="2" t="s">
        <v>1792</v>
      </c>
      <c r="B1760" s="3">
        <v>45910</v>
      </c>
      <c r="C1760" s="2" t="s">
        <v>16</v>
      </c>
      <c r="D1760" s="2" t="s">
        <v>11</v>
      </c>
      <c r="E1760" s="2" t="s">
        <v>17</v>
      </c>
      <c r="F1760" s="2" t="s">
        <v>26</v>
      </c>
      <c r="G1760" s="2" t="s">
        <v>14</v>
      </c>
      <c r="H1760" s="4">
        <v>246096</v>
      </c>
      <c r="I1760" s="4">
        <v>235500</v>
      </c>
    </row>
    <row r="1761" spans="1:9" x14ac:dyDescent="0.3">
      <c r="A1761" s="2" t="s">
        <v>1793</v>
      </c>
      <c r="B1761" s="3">
        <v>45910</v>
      </c>
      <c r="C1761" s="2" t="s">
        <v>31</v>
      </c>
      <c r="D1761" s="2" t="s">
        <v>11</v>
      </c>
      <c r="E1761" s="2" t="s">
        <v>17</v>
      </c>
      <c r="F1761" s="2" t="s">
        <v>33</v>
      </c>
      <c r="G1761" s="2" t="s">
        <v>19</v>
      </c>
      <c r="H1761" s="4">
        <v>54258</v>
      </c>
      <c r="I1761" s="4">
        <v>49600</v>
      </c>
    </row>
    <row r="1762" spans="1:9" x14ac:dyDescent="0.3">
      <c r="A1762" s="2" t="s">
        <v>1794</v>
      </c>
      <c r="B1762" s="3">
        <v>45910</v>
      </c>
      <c r="C1762" s="2" t="s">
        <v>31</v>
      </c>
      <c r="D1762" s="2" t="s">
        <v>11</v>
      </c>
      <c r="E1762" s="2" t="s">
        <v>17</v>
      </c>
      <c r="F1762" s="2" t="s">
        <v>37</v>
      </c>
      <c r="G1762" s="2" t="s">
        <v>14</v>
      </c>
      <c r="H1762" s="4">
        <v>236929</v>
      </c>
      <c r="I1762" s="4">
        <v>253300</v>
      </c>
    </row>
    <row r="1763" spans="1:9" x14ac:dyDescent="0.3">
      <c r="A1763" s="2" t="s">
        <v>1795</v>
      </c>
      <c r="B1763" s="3">
        <v>45911</v>
      </c>
      <c r="C1763" s="2" t="s">
        <v>16</v>
      </c>
      <c r="D1763" s="2" t="s">
        <v>11</v>
      </c>
      <c r="E1763" s="2" t="s">
        <v>17</v>
      </c>
      <c r="F1763" s="2" t="s">
        <v>39</v>
      </c>
      <c r="G1763" s="2" t="s">
        <v>19</v>
      </c>
      <c r="H1763" s="4">
        <v>80456</v>
      </c>
      <c r="I1763" s="4">
        <v>87200</v>
      </c>
    </row>
    <row r="1764" spans="1:9" x14ac:dyDescent="0.3">
      <c r="A1764" s="2" t="s">
        <v>1796</v>
      </c>
      <c r="B1764" s="3">
        <v>45911</v>
      </c>
      <c r="C1764" s="2" t="s">
        <v>21</v>
      </c>
      <c r="D1764" s="2" t="s">
        <v>11</v>
      </c>
      <c r="E1764" s="2" t="s">
        <v>22</v>
      </c>
      <c r="F1764" s="2" t="s">
        <v>23</v>
      </c>
      <c r="G1764" s="2" t="s">
        <v>14</v>
      </c>
      <c r="H1764" s="4">
        <v>182817</v>
      </c>
      <c r="I1764" s="4">
        <v>198000</v>
      </c>
    </row>
    <row r="1765" spans="1:9" x14ac:dyDescent="0.3">
      <c r="A1765" s="2" t="s">
        <v>1797</v>
      </c>
      <c r="B1765" s="3">
        <v>45911</v>
      </c>
      <c r="C1765" s="2" t="s">
        <v>25</v>
      </c>
      <c r="D1765" s="2" t="s">
        <v>11</v>
      </c>
      <c r="E1765" s="2" t="s">
        <v>22</v>
      </c>
      <c r="F1765" s="2" t="s">
        <v>18</v>
      </c>
      <c r="G1765" s="2" t="s">
        <v>19</v>
      </c>
      <c r="H1765" s="4">
        <v>111456</v>
      </c>
      <c r="I1765" s="4">
        <v>93000</v>
      </c>
    </row>
    <row r="1766" spans="1:9" x14ac:dyDescent="0.3">
      <c r="A1766" s="2" t="s">
        <v>1798</v>
      </c>
      <c r="B1766" s="3">
        <v>45911</v>
      </c>
      <c r="C1766" s="2" t="s">
        <v>25</v>
      </c>
      <c r="D1766" s="2" t="s">
        <v>11</v>
      </c>
      <c r="E1766" s="2" t="s">
        <v>22</v>
      </c>
      <c r="F1766" s="2" t="s">
        <v>37</v>
      </c>
      <c r="G1766" s="2" t="s">
        <v>14</v>
      </c>
      <c r="H1766" s="4">
        <v>51916</v>
      </c>
      <c r="I1766" s="4">
        <v>48500</v>
      </c>
    </row>
    <row r="1767" spans="1:9" x14ac:dyDescent="0.3">
      <c r="A1767" s="2" t="s">
        <v>1799</v>
      </c>
      <c r="B1767" s="3">
        <v>45911</v>
      </c>
      <c r="C1767" s="2" t="s">
        <v>55</v>
      </c>
      <c r="D1767" s="2" t="s">
        <v>11</v>
      </c>
      <c r="E1767" s="2" t="s">
        <v>37</v>
      </c>
      <c r="F1767" s="2" t="s">
        <v>39</v>
      </c>
      <c r="G1767" s="2" t="s">
        <v>19</v>
      </c>
      <c r="H1767" s="4">
        <v>34233</v>
      </c>
      <c r="I1767" s="4">
        <v>40700</v>
      </c>
    </row>
    <row r="1768" spans="1:9" x14ac:dyDescent="0.3">
      <c r="A1768" s="2" t="s">
        <v>1800</v>
      </c>
      <c r="B1768" s="3">
        <v>45911</v>
      </c>
      <c r="C1768" s="2" t="s">
        <v>55</v>
      </c>
      <c r="D1768" s="2" t="s">
        <v>11</v>
      </c>
      <c r="E1768" s="2" t="s">
        <v>37</v>
      </c>
      <c r="F1768" s="2" t="s">
        <v>33</v>
      </c>
      <c r="G1768" s="2" t="s">
        <v>19</v>
      </c>
      <c r="H1768" s="4">
        <v>115656</v>
      </c>
      <c r="I1768" s="4">
        <v>114200</v>
      </c>
    </row>
    <row r="1769" spans="1:9" x14ac:dyDescent="0.3">
      <c r="A1769" s="2" t="s">
        <v>1801</v>
      </c>
      <c r="B1769" s="3">
        <v>45912</v>
      </c>
      <c r="C1769" s="2" t="s">
        <v>62</v>
      </c>
      <c r="D1769" s="2" t="s">
        <v>11</v>
      </c>
      <c r="E1769" s="2" t="s">
        <v>22</v>
      </c>
      <c r="F1769" s="2" t="s">
        <v>26</v>
      </c>
      <c r="G1769" s="2" t="s">
        <v>14</v>
      </c>
      <c r="H1769" s="4">
        <v>106320</v>
      </c>
      <c r="I1769" s="4">
        <v>87500</v>
      </c>
    </row>
    <row r="1770" spans="1:9" x14ac:dyDescent="0.3">
      <c r="A1770" s="2" t="s">
        <v>1802</v>
      </c>
      <c r="B1770" s="3">
        <v>45912</v>
      </c>
      <c r="C1770" s="2" t="s">
        <v>10</v>
      </c>
      <c r="D1770" s="2" t="s">
        <v>11</v>
      </c>
      <c r="E1770" s="2" t="s">
        <v>12</v>
      </c>
      <c r="F1770" s="2" t="s">
        <v>33</v>
      </c>
      <c r="G1770" s="2" t="s">
        <v>19</v>
      </c>
      <c r="H1770" s="4">
        <v>86828</v>
      </c>
      <c r="I1770" s="4">
        <v>91900</v>
      </c>
    </row>
    <row r="1771" spans="1:9" x14ac:dyDescent="0.3">
      <c r="A1771" s="2" t="s">
        <v>1803</v>
      </c>
      <c r="B1771" s="3">
        <v>45912</v>
      </c>
      <c r="C1771" s="2" t="s">
        <v>16</v>
      </c>
      <c r="D1771" s="2" t="s">
        <v>11</v>
      </c>
      <c r="E1771" s="2" t="s">
        <v>17</v>
      </c>
      <c r="F1771" s="2" t="s">
        <v>18</v>
      </c>
      <c r="G1771" s="2" t="s">
        <v>19</v>
      </c>
      <c r="H1771" s="4">
        <v>109495</v>
      </c>
      <c r="I1771" s="4">
        <v>106200</v>
      </c>
    </row>
    <row r="1772" spans="1:9" x14ac:dyDescent="0.3">
      <c r="A1772" s="2" t="s">
        <v>1804</v>
      </c>
      <c r="B1772" s="3">
        <v>45912</v>
      </c>
      <c r="C1772" s="2" t="s">
        <v>16</v>
      </c>
      <c r="D1772" s="2" t="s">
        <v>11</v>
      </c>
      <c r="E1772" s="2" t="s">
        <v>17</v>
      </c>
      <c r="F1772" s="2" t="s">
        <v>23</v>
      </c>
      <c r="G1772" s="2" t="s">
        <v>14</v>
      </c>
      <c r="H1772" s="4">
        <v>31297</v>
      </c>
      <c r="I1772" s="4">
        <v>33100</v>
      </c>
    </row>
    <row r="1773" spans="1:9" x14ac:dyDescent="0.3">
      <c r="A1773" s="2" t="s">
        <v>1805</v>
      </c>
      <c r="B1773" s="3">
        <v>45912</v>
      </c>
      <c r="C1773" s="2" t="s">
        <v>36</v>
      </c>
      <c r="D1773" s="2" t="s">
        <v>11</v>
      </c>
      <c r="E1773" s="2" t="s">
        <v>37</v>
      </c>
      <c r="F1773" s="2" t="s">
        <v>18</v>
      </c>
      <c r="G1773" s="2" t="s">
        <v>19</v>
      </c>
      <c r="H1773" s="4">
        <v>21017</v>
      </c>
      <c r="I1773" s="4">
        <v>19100</v>
      </c>
    </row>
    <row r="1774" spans="1:9" x14ac:dyDescent="0.3">
      <c r="A1774" s="2" t="s">
        <v>1806</v>
      </c>
      <c r="B1774" s="3">
        <v>45912</v>
      </c>
      <c r="C1774" s="2" t="s">
        <v>21</v>
      </c>
      <c r="D1774" s="2" t="s">
        <v>11</v>
      </c>
      <c r="E1774" s="2" t="s">
        <v>22</v>
      </c>
      <c r="F1774" s="2" t="s">
        <v>39</v>
      </c>
      <c r="G1774" s="2" t="s">
        <v>19</v>
      </c>
      <c r="H1774" s="4">
        <v>92794</v>
      </c>
      <c r="I1774" s="4">
        <v>81700</v>
      </c>
    </row>
    <row r="1775" spans="1:9" x14ac:dyDescent="0.3">
      <c r="A1775" s="2" t="s">
        <v>1807</v>
      </c>
      <c r="B1775" s="3">
        <v>45913</v>
      </c>
      <c r="C1775" s="2" t="s">
        <v>62</v>
      </c>
      <c r="D1775" s="2" t="s">
        <v>11</v>
      </c>
      <c r="E1775" s="2" t="s">
        <v>22</v>
      </c>
      <c r="F1775" s="2" t="s">
        <v>56</v>
      </c>
      <c r="G1775" s="2" t="s">
        <v>19</v>
      </c>
      <c r="H1775" s="4">
        <v>95554</v>
      </c>
      <c r="I1775" s="4">
        <v>88500</v>
      </c>
    </row>
    <row r="1776" spans="1:9" x14ac:dyDescent="0.3">
      <c r="A1776" s="2" t="s">
        <v>1808</v>
      </c>
      <c r="B1776" s="3">
        <v>45913</v>
      </c>
      <c r="C1776" s="2" t="s">
        <v>62</v>
      </c>
      <c r="D1776" s="2" t="s">
        <v>11</v>
      </c>
      <c r="E1776" s="2" t="s">
        <v>22</v>
      </c>
      <c r="F1776" s="2" t="s">
        <v>12</v>
      </c>
      <c r="G1776" s="2" t="s">
        <v>14</v>
      </c>
      <c r="H1776" s="4">
        <v>106224</v>
      </c>
      <c r="I1776" s="4">
        <v>110300</v>
      </c>
    </row>
    <row r="1777" spans="1:9" x14ac:dyDescent="0.3">
      <c r="A1777" s="2" t="s">
        <v>1809</v>
      </c>
      <c r="B1777" s="3">
        <v>45913</v>
      </c>
      <c r="C1777" s="2" t="s">
        <v>62</v>
      </c>
      <c r="D1777" s="2" t="s">
        <v>11</v>
      </c>
      <c r="E1777" s="2" t="s">
        <v>22</v>
      </c>
      <c r="F1777" s="2" t="s">
        <v>12</v>
      </c>
      <c r="G1777" s="2" t="s">
        <v>14</v>
      </c>
      <c r="H1777" s="4">
        <v>233034</v>
      </c>
      <c r="I1777" s="4">
        <v>246600</v>
      </c>
    </row>
    <row r="1778" spans="1:9" x14ac:dyDescent="0.3">
      <c r="A1778" s="2" t="s">
        <v>1810</v>
      </c>
      <c r="B1778" s="3">
        <v>45913</v>
      </c>
      <c r="C1778" s="2" t="s">
        <v>62</v>
      </c>
      <c r="D1778" s="2" t="s">
        <v>11</v>
      </c>
      <c r="E1778" s="2" t="s">
        <v>22</v>
      </c>
      <c r="F1778" s="2" t="s">
        <v>13</v>
      </c>
      <c r="G1778" s="2" t="s">
        <v>14</v>
      </c>
      <c r="H1778" s="4">
        <v>243999</v>
      </c>
      <c r="I1778" s="4">
        <v>238400</v>
      </c>
    </row>
    <row r="1779" spans="1:9" x14ac:dyDescent="0.3">
      <c r="A1779" s="2" t="s">
        <v>1811</v>
      </c>
      <c r="B1779" s="3">
        <v>45913</v>
      </c>
      <c r="C1779" s="2" t="s">
        <v>10</v>
      </c>
      <c r="D1779" s="2" t="s">
        <v>11</v>
      </c>
      <c r="E1779" s="2" t="s">
        <v>12</v>
      </c>
      <c r="F1779" s="2" t="s">
        <v>18</v>
      </c>
      <c r="G1779" s="2" t="s">
        <v>19</v>
      </c>
      <c r="H1779" s="4">
        <v>71603</v>
      </c>
      <c r="I1779" s="4">
        <v>76800</v>
      </c>
    </row>
    <row r="1780" spans="1:9" x14ac:dyDescent="0.3">
      <c r="A1780" s="2" t="s">
        <v>1812</v>
      </c>
      <c r="B1780" s="3">
        <v>45913</v>
      </c>
      <c r="C1780" s="2" t="s">
        <v>16</v>
      </c>
      <c r="D1780" s="2" t="s">
        <v>11</v>
      </c>
      <c r="E1780" s="2" t="s">
        <v>17</v>
      </c>
      <c r="F1780" s="2" t="s">
        <v>37</v>
      </c>
      <c r="G1780" s="2" t="s">
        <v>14</v>
      </c>
      <c r="H1780" s="4">
        <v>164879</v>
      </c>
      <c r="I1780" s="4">
        <v>150600</v>
      </c>
    </row>
    <row r="1781" spans="1:9" x14ac:dyDescent="0.3">
      <c r="A1781" s="2" t="s">
        <v>1813</v>
      </c>
      <c r="B1781" s="3">
        <v>45913</v>
      </c>
      <c r="C1781" s="2" t="s">
        <v>25</v>
      </c>
      <c r="D1781" s="2" t="s">
        <v>11</v>
      </c>
      <c r="E1781" s="2" t="s">
        <v>22</v>
      </c>
      <c r="F1781" s="2" t="s">
        <v>26</v>
      </c>
      <c r="G1781" s="2" t="s">
        <v>14</v>
      </c>
      <c r="H1781" s="4">
        <v>122864</v>
      </c>
      <c r="I1781" s="4">
        <v>118900</v>
      </c>
    </row>
    <row r="1782" spans="1:9" x14ac:dyDescent="0.3">
      <c r="A1782" s="2" t="s">
        <v>1814</v>
      </c>
      <c r="B1782" s="3">
        <v>45914</v>
      </c>
      <c r="C1782" s="2" t="s">
        <v>55</v>
      </c>
      <c r="D1782" s="2" t="s">
        <v>11</v>
      </c>
      <c r="E1782" s="2" t="s">
        <v>37</v>
      </c>
      <c r="F1782" s="2" t="s">
        <v>26</v>
      </c>
      <c r="G1782" s="2" t="s">
        <v>14</v>
      </c>
      <c r="H1782" s="4">
        <v>132535</v>
      </c>
      <c r="I1782" s="4">
        <v>109100</v>
      </c>
    </row>
    <row r="1783" spans="1:9" x14ac:dyDescent="0.3">
      <c r="A1783" s="2" t="s">
        <v>1815</v>
      </c>
      <c r="B1783" s="3">
        <v>45915</v>
      </c>
      <c r="C1783" s="2" t="s">
        <v>62</v>
      </c>
      <c r="D1783" s="2" t="s">
        <v>11</v>
      </c>
      <c r="E1783" s="2" t="s">
        <v>22</v>
      </c>
      <c r="F1783" s="2" t="s">
        <v>23</v>
      </c>
      <c r="G1783" s="2" t="s">
        <v>14</v>
      </c>
      <c r="H1783" s="4">
        <v>85054</v>
      </c>
      <c r="I1783" s="4">
        <v>81200</v>
      </c>
    </row>
    <row r="1784" spans="1:9" x14ac:dyDescent="0.3">
      <c r="A1784" s="2" t="s">
        <v>1816</v>
      </c>
      <c r="B1784" s="3">
        <v>45915</v>
      </c>
      <c r="C1784" s="2" t="s">
        <v>10</v>
      </c>
      <c r="D1784" s="2" t="s">
        <v>11</v>
      </c>
      <c r="E1784" s="2" t="s">
        <v>12</v>
      </c>
      <c r="F1784" s="2" t="s">
        <v>37</v>
      </c>
      <c r="G1784" s="2" t="s">
        <v>14</v>
      </c>
      <c r="H1784" s="4">
        <v>118956</v>
      </c>
      <c r="I1784" s="4">
        <v>99400</v>
      </c>
    </row>
    <row r="1785" spans="1:9" x14ac:dyDescent="0.3">
      <c r="A1785" s="2" t="s">
        <v>1817</v>
      </c>
      <c r="B1785" s="3">
        <v>45915</v>
      </c>
      <c r="C1785" s="2" t="s">
        <v>36</v>
      </c>
      <c r="D1785" s="2" t="s">
        <v>11</v>
      </c>
      <c r="E1785" s="2" t="s">
        <v>37</v>
      </c>
      <c r="F1785" s="2" t="s">
        <v>46</v>
      </c>
      <c r="G1785" s="2" t="s">
        <v>19</v>
      </c>
      <c r="H1785" s="4">
        <v>118354</v>
      </c>
      <c r="I1785" s="4">
        <v>101300</v>
      </c>
    </row>
    <row r="1786" spans="1:9" x14ac:dyDescent="0.3">
      <c r="A1786" s="2" t="s">
        <v>1818</v>
      </c>
      <c r="B1786" s="3">
        <v>45915</v>
      </c>
      <c r="C1786" s="2" t="s">
        <v>36</v>
      </c>
      <c r="D1786" s="2" t="s">
        <v>11</v>
      </c>
      <c r="E1786" s="2" t="s">
        <v>37</v>
      </c>
      <c r="F1786" s="2" t="s">
        <v>33</v>
      </c>
      <c r="G1786" s="2" t="s">
        <v>19</v>
      </c>
      <c r="H1786" s="4">
        <v>15928</v>
      </c>
      <c r="I1786" s="4">
        <v>15600</v>
      </c>
    </row>
    <row r="1787" spans="1:9" x14ac:dyDescent="0.3">
      <c r="A1787" s="2" t="s">
        <v>1819</v>
      </c>
      <c r="B1787" s="3">
        <v>45915</v>
      </c>
      <c r="C1787" s="2" t="s">
        <v>21</v>
      </c>
      <c r="D1787" s="2" t="s">
        <v>11</v>
      </c>
      <c r="E1787" s="2" t="s">
        <v>22</v>
      </c>
      <c r="F1787" s="2" t="s">
        <v>39</v>
      </c>
      <c r="G1787" s="2" t="s">
        <v>19</v>
      </c>
      <c r="H1787" s="4">
        <v>21921</v>
      </c>
      <c r="I1787" s="4">
        <v>22300</v>
      </c>
    </row>
    <row r="1788" spans="1:9" x14ac:dyDescent="0.3">
      <c r="A1788" s="2" t="s">
        <v>1820</v>
      </c>
      <c r="B1788" s="3">
        <v>45915</v>
      </c>
      <c r="C1788" s="2" t="s">
        <v>25</v>
      </c>
      <c r="D1788" s="2" t="s">
        <v>11</v>
      </c>
      <c r="E1788" s="2" t="s">
        <v>22</v>
      </c>
      <c r="F1788" s="2" t="s">
        <v>56</v>
      </c>
      <c r="G1788" s="2" t="s">
        <v>19</v>
      </c>
      <c r="H1788" s="4">
        <v>105539</v>
      </c>
      <c r="I1788" s="4">
        <v>124000</v>
      </c>
    </row>
    <row r="1789" spans="1:9" x14ac:dyDescent="0.3">
      <c r="A1789" s="2" t="s">
        <v>1821</v>
      </c>
      <c r="B1789" s="3">
        <v>45915</v>
      </c>
      <c r="C1789" s="2" t="s">
        <v>31</v>
      </c>
      <c r="D1789" s="2" t="s">
        <v>11</v>
      </c>
      <c r="E1789" s="2" t="s">
        <v>17</v>
      </c>
      <c r="F1789" s="2" t="s">
        <v>18</v>
      </c>
      <c r="G1789" s="2" t="s">
        <v>19</v>
      </c>
      <c r="H1789" s="4">
        <v>91838</v>
      </c>
      <c r="I1789" s="4">
        <v>89200</v>
      </c>
    </row>
    <row r="1790" spans="1:9" x14ac:dyDescent="0.3">
      <c r="A1790" s="2" t="s">
        <v>1822</v>
      </c>
      <c r="B1790" s="3">
        <v>45915</v>
      </c>
      <c r="C1790" s="2" t="s">
        <v>55</v>
      </c>
      <c r="D1790" s="2" t="s">
        <v>11</v>
      </c>
      <c r="E1790" s="2" t="s">
        <v>37</v>
      </c>
      <c r="F1790" s="2" t="s">
        <v>13</v>
      </c>
      <c r="G1790" s="2" t="s">
        <v>14</v>
      </c>
      <c r="H1790" s="4">
        <v>64206</v>
      </c>
      <c r="I1790" s="4">
        <v>70500</v>
      </c>
    </row>
    <row r="1791" spans="1:9" x14ac:dyDescent="0.3">
      <c r="A1791" s="2" t="s">
        <v>1823</v>
      </c>
      <c r="B1791" s="3">
        <v>45916</v>
      </c>
      <c r="C1791" s="2" t="s">
        <v>62</v>
      </c>
      <c r="D1791" s="2" t="s">
        <v>11</v>
      </c>
      <c r="E1791" s="2" t="s">
        <v>22</v>
      </c>
      <c r="F1791" s="2" t="s">
        <v>13</v>
      </c>
      <c r="G1791" s="2" t="s">
        <v>14</v>
      </c>
      <c r="H1791" s="4">
        <v>29700</v>
      </c>
      <c r="I1791" s="4">
        <v>28200</v>
      </c>
    </row>
    <row r="1792" spans="1:9" x14ac:dyDescent="0.3">
      <c r="A1792" s="2" t="s">
        <v>1824</v>
      </c>
      <c r="B1792" s="3">
        <v>45916</v>
      </c>
      <c r="C1792" s="2" t="s">
        <v>10</v>
      </c>
      <c r="D1792" s="2" t="s">
        <v>11</v>
      </c>
      <c r="E1792" s="2" t="s">
        <v>12</v>
      </c>
      <c r="F1792" s="2" t="s">
        <v>18</v>
      </c>
      <c r="G1792" s="2" t="s">
        <v>19</v>
      </c>
      <c r="H1792" s="4">
        <v>58242</v>
      </c>
      <c r="I1792" s="4">
        <v>58800</v>
      </c>
    </row>
    <row r="1793" spans="1:9" x14ac:dyDescent="0.3">
      <c r="A1793" s="2" t="s">
        <v>1825</v>
      </c>
      <c r="B1793" s="3">
        <v>45916</v>
      </c>
      <c r="C1793" s="2" t="s">
        <v>10</v>
      </c>
      <c r="D1793" s="2" t="s">
        <v>11</v>
      </c>
      <c r="E1793" s="2" t="s">
        <v>12</v>
      </c>
      <c r="F1793" s="2" t="s">
        <v>56</v>
      </c>
      <c r="G1793" s="2" t="s">
        <v>19</v>
      </c>
      <c r="H1793" s="4">
        <v>38022</v>
      </c>
      <c r="I1793" s="4">
        <v>40300</v>
      </c>
    </row>
    <row r="1794" spans="1:9" x14ac:dyDescent="0.3">
      <c r="A1794" s="2" t="s">
        <v>1826</v>
      </c>
      <c r="B1794" s="3">
        <v>45916</v>
      </c>
      <c r="C1794" s="2" t="s">
        <v>16</v>
      </c>
      <c r="D1794" s="2" t="s">
        <v>11</v>
      </c>
      <c r="E1794" s="2" t="s">
        <v>17</v>
      </c>
      <c r="F1794" s="2" t="s">
        <v>26</v>
      </c>
      <c r="G1794" s="2" t="s">
        <v>14</v>
      </c>
      <c r="H1794" s="4">
        <v>143983</v>
      </c>
      <c r="I1794" s="4">
        <v>166600</v>
      </c>
    </row>
    <row r="1795" spans="1:9" x14ac:dyDescent="0.3">
      <c r="A1795" s="2" t="s">
        <v>1827</v>
      </c>
      <c r="B1795" s="3">
        <v>45916</v>
      </c>
      <c r="C1795" s="2" t="s">
        <v>21</v>
      </c>
      <c r="D1795" s="2" t="s">
        <v>11</v>
      </c>
      <c r="E1795" s="2" t="s">
        <v>22</v>
      </c>
      <c r="F1795" s="2" t="s">
        <v>42</v>
      </c>
      <c r="G1795" s="2" t="s">
        <v>19</v>
      </c>
      <c r="H1795" s="4">
        <v>58162</v>
      </c>
      <c r="I1795" s="4">
        <v>62700</v>
      </c>
    </row>
    <row r="1796" spans="1:9" x14ac:dyDescent="0.3">
      <c r="A1796" s="2" t="s">
        <v>1828</v>
      </c>
      <c r="B1796" s="3">
        <v>45916</v>
      </c>
      <c r="C1796" s="2" t="s">
        <v>21</v>
      </c>
      <c r="D1796" s="2" t="s">
        <v>11</v>
      </c>
      <c r="E1796" s="2" t="s">
        <v>22</v>
      </c>
      <c r="F1796" s="2" t="s">
        <v>39</v>
      </c>
      <c r="G1796" s="2" t="s">
        <v>19</v>
      </c>
      <c r="H1796" s="4">
        <v>62893</v>
      </c>
      <c r="I1796" s="4">
        <v>54900</v>
      </c>
    </row>
    <row r="1797" spans="1:9" x14ac:dyDescent="0.3">
      <c r="A1797" s="2" t="s">
        <v>1829</v>
      </c>
      <c r="B1797" s="3">
        <v>45916</v>
      </c>
      <c r="C1797" s="2" t="s">
        <v>31</v>
      </c>
      <c r="D1797" s="2" t="s">
        <v>11</v>
      </c>
      <c r="E1797" s="2" t="s">
        <v>17</v>
      </c>
      <c r="F1797" s="2" t="s">
        <v>39</v>
      </c>
      <c r="G1797" s="2" t="s">
        <v>19</v>
      </c>
      <c r="H1797" s="4">
        <v>104120</v>
      </c>
      <c r="I1797" s="4">
        <v>108700</v>
      </c>
    </row>
    <row r="1798" spans="1:9" x14ac:dyDescent="0.3">
      <c r="A1798" s="2" t="s">
        <v>1830</v>
      </c>
      <c r="B1798" s="3">
        <v>45916</v>
      </c>
      <c r="C1798" s="2" t="s">
        <v>31</v>
      </c>
      <c r="D1798" s="2" t="s">
        <v>11</v>
      </c>
      <c r="E1798" s="2" t="s">
        <v>17</v>
      </c>
      <c r="F1798" s="2" t="s">
        <v>13</v>
      </c>
      <c r="G1798" s="2" t="s">
        <v>14</v>
      </c>
      <c r="H1798" s="4">
        <v>39257</v>
      </c>
      <c r="I1798" s="4">
        <v>39200</v>
      </c>
    </row>
    <row r="1799" spans="1:9" x14ac:dyDescent="0.3">
      <c r="A1799" s="2" t="s">
        <v>1831</v>
      </c>
      <c r="B1799" s="3">
        <v>45917</v>
      </c>
      <c r="C1799" s="2" t="s">
        <v>62</v>
      </c>
      <c r="D1799" s="2" t="s">
        <v>11</v>
      </c>
      <c r="E1799" s="2" t="s">
        <v>22</v>
      </c>
      <c r="F1799" s="2" t="s">
        <v>42</v>
      </c>
      <c r="G1799" s="2" t="s">
        <v>19</v>
      </c>
      <c r="H1799" s="4">
        <v>95528</v>
      </c>
      <c r="I1799" s="4">
        <v>101600</v>
      </c>
    </row>
    <row r="1800" spans="1:9" x14ac:dyDescent="0.3">
      <c r="A1800" s="2" t="s">
        <v>1832</v>
      </c>
      <c r="B1800" s="3">
        <v>45917</v>
      </c>
      <c r="C1800" s="2" t="s">
        <v>10</v>
      </c>
      <c r="D1800" s="2" t="s">
        <v>11</v>
      </c>
      <c r="E1800" s="2" t="s">
        <v>12</v>
      </c>
      <c r="F1800" s="2" t="s">
        <v>23</v>
      </c>
      <c r="G1800" s="2" t="s">
        <v>14</v>
      </c>
      <c r="H1800" s="4">
        <v>71445</v>
      </c>
      <c r="I1800" s="4">
        <v>75000</v>
      </c>
    </row>
    <row r="1801" spans="1:9" x14ac:dyDescent="0.3">
      <c r="A1801" s="2" t="s">
        <v>1833</v>
      </c>
      <c r="B1801" s="3">
        <v>45917</v>
      </c>
      <c r="C1801" s="2" t="s">
        <v>16</v>
      </c>
      <c r="D1801" s="2" t="s">
        <v>11</v>
      </c>
      <c r="E1801" s="2" t="s">
        <v>17</v>
      </c>
      <c r="F1801" s="2" t="s">
        <v>33</v>
      </c>
      <c r="G1801" s="2" t="s">
        <v>19</v>
      </c>
      <c r="H1801" s="4">
        <v>75966</v>
      </c>
      <c r="I1801" s="4">
        <v>70800</v>
      </c>
    </row>
    <row r="1802" spans="1:9" x14ac:dyDescent="0.3">
      <c r="A1802" s="2" t="s">
        <v>1834</v>
      </c>
      <c r="B1802" s="3">
        <v>45917</v>
      </c>
      <c r="C1802" s="2" t="s">
        <v>21</v>
      </c>
      <c r="D1802" s="2" t="s">
        <v>11</v>
      </c>
      <c r="E1802" s="2" t="s">
        <v>22</v>
      </c>
      <c r="F1802" s="2" t="s">
        <v>33</v>
      </c>
      <c r="G1802" s="2" t="s">
        <v>19</v>
      </c>
      <c r="H1802" s="4">
        <v>90423</v>
      </c>
      <c r="I1802" s="4">
        <v>89400</v>
      </c>
    </row>
    <row r="1803" spans="1:9" x14ac:dyDescent="0.3">
      <c r="A1803" s="2" t="s">
        <v>1835</v>
      </c>
      <c r="B1803" s="3">
        <v>45917</v>
      </c>
      <c r="C1803" s="2" t="s">
        <v>21</v>
      </c>
      <c r="D1803" s="2" t="s">
        <v>11</v>
      </c>
      <c r="E1803" s="2" t="s">
        <v>22</v>
      </c>
      <c r="F1803" s="2" t="s">
        <v>13</v>
      </c>
      <c r="G1803" s="2" t="s">
        <v>14</v>
      </c>
      <c r="H1803" s="4">
        <v>239272</v>
      </c>
      <c r="I1803" s="4">
        <v>282800</v>
      </c>
    </row>
    <row r="1804" spans="1:9" x14ac:dyDescent="0.3">
      <c r="A1804" s="2" t="s">
        <v>1836</v>
      </c>
      <c r="B1804" s="3">
        <v>45917</v>
      </c>
      <c r="C1804" s="2" t="s">
        <v>25</v>
      </c>
      <c r="D1804" s="2" t="s">
        <v>11</v>
      </c>
      <c r="E1804" s="2" t="s">
        <v>22</v>
      </c>
      <c r="F1804" s="2" t="s">
        <v>46</v>
      </c>
      <c r="G1804" s="2" t="s">
        <v>19</v>
      </c>
      <c r="H1804" s="4">
        <v>115503</v>
      </c>
      <c r="I1804" s="4">
        <v>104500</v>
      </c>
    </row>
    <row r="1805" spans="1:9" x14ac:dyDescent="0.3">
      <c r="A1805" s="2" t="s">
        <v>1837</v>
      </c>
      <c r="B1805" s="3">
        <v>45917</v>
      </c>
      <c r="C1805" s="2" t="s">
        <v>25</v>
      </c>
      <c r="D1805" s="2" t="s">
        <v>11</v>
      </c>
      <c r="E1805" s="2" t="s">
        <v>22</v>
      </c>
      <c r="F1805" s="2" t="s">
        <v>37</v>
      </c>
      <c r="G1805" s="2" t="s">
        <v>14</v>
      </c>
      <c r="H1805" s="4">
        <v>93560</v>
      </c>
      <c r="I1805" s="4">
        <v>93800</v>
      </c>
    </row>
    <row r="1806" spans="1:9" x14ac:dyDescent="0.3">
      <c r="A1806" s="2" t="s">
        <v>1838</v>
      </c>
      <c r="B1806" s="3">
        <v>45917</v>
      </c>
      <c r="C1806" s="2" t="s">
        <v>25</v>
      </c>
      <c r="D1806" s="2" t="s">
        <v>11</v>
      </c>
      <c r="E1806" s="2" t="s">
        <v>22</v>
      </c>
      <c r="F1806" s="2" t="s">
        <v>37</v>
      </c>
      <c r="G1806" s="2" t="s">
        <v>14</v>
      </c>
      <c r="H1806" s="4">
        <v>53319</v>
      </c>
      <c r="I1806" s="4">
        <v>50300</v>
      </c>
    </row>
    <row r="1807" spans="1:9" x14ac:dyDescent="0.3">
      <c r="A1807" s="2" t="s">
        <v>1839</v>
      </c>
      <c r="B1807" s="3">
        <v>45917</v>
      </c>
      <c r="C1807" s="2" t="s">
        <v>31</v>
      </c>
      <c r="D1807" s="2" t="s">
        <v>11</v>
      </c>
      <c r="E1807" s="2" t="s">
        <v>17</v>
      </c>
      <c r="F1807" s="2" t="s">
        <v>39</v>
      </c>
      <c r="G1807" s="2" t="s">
        <v>19</v>
      </c>
      <c r="H1807" s="4">
        <v>114228</v>
      </c>
      <c r="I1807" s="4">
        <v>94900</v>
      </c>
    </row>
    <row r="1808" spans="1:9" x14ac:dyDescent="0.3">
      <c r="A1808" s="2" t="s">
        <v>1840</v>
      </c>
      <c r="B1808" s="3">
        <v>45918</v>
      </c>
      <c r="C1808" s="2" t="s">
        <v>62</v>
      </c>
      <c r="D1808" s="2" t="s">
        <v>11</v>
      </c>
      <c r="E1808" s="2" t="s">
        <v>22</v>
      </c>
      <c r="F1808" s="2" t="s">
        <v>13</v>
      </c>
      <c r="G1808" s="2" t="s">
        <v>14</v>
      </c>
      <c r="H1808" s="4">
        <v>140844</v>
      </c>
      <c r="I1808" s="4">
        <v>154300</v>
      </c>
    </row>
    <row r="1809" spans="1:9" x14ac:dyDescent="0.3">
      <c r="A1809" s="2" t="s">
        <v>1841</v>
      </c>
      <c r="B1809" s="3">
        <v>45918</v>
      </c>
      <c r="C1809" s="2" t="s">
        <v>16</v>
      </c>
      <c r="D1809" s="2" t="s">
        <v>11</v>
      </c>
      <c r="E1809" s="2" t="s">
        <v>17</v>
      </c>
      <c r="F1809" s="2" t="s">
        <v>37</v>
      </c>
      <c r="G1809" s="2" t="s">
        <v>14</v>
      </c>
      <c r="H1809" s="4">
        <v>44997</v>
      </c>
      <c r="I1809" s="4">
        <v>48100</v>
      </c>
    </row>
    <row r="1810" spans="1:9" x14ac:dyDescent="0.3">
      <c r="A1810" s="2" t="s">
        <v>1842</v>
      </c>
      <c r="B1810" s="3">
        <v>45918</v>
      </c>
      <c r="C1810" s="2" t="s">
        <v>36</v>
      </c>
      <c r="D1810" s="2" t="s">
        <v>11</v>
      </c>
      <c r="E1810" s="2" t="s">
        <v>37</v>
      </c>
      <c r="F1810" s="2" t="s">
        <v>37</v>
      </c>
      <c r="G1810" s="2" t="s">
        <v>14</v>
      </c>
      <c r="H1810" s="4">
        <v>62737</v>
      </c>
      <c r="I1810" s="4">
        <v>69600</v>
      </c>
    </row>
    <row r="1811" spans="1:9" x14ac:dyDescent="0.3">
      <c r="A1811" s="2" t="s">
        <v>1843</v>
      </c>
      <c r="B1811" s="3">
        <v>45918</v>
      </c>
      <c r="C1811" s="2" t="s">
        <v>21</v>
      </c>
      <c r="D1811" s="2" t="s">
        <v>11</v>
      </c>
      <c r="E1811" s="2" t="s">
        <v>22</v>
      </c>
      <c r="F1811" s="2" t="s">
        <v>18</v>
      </c>
      <c r="G1811" s="2" t="s">
        <v>19</v>
      </c>
      <c r="H1811" s="4">
        <v>111065</v>
      </c>
      <c r="I1811" s="4">
        <v>110400</v>
      </c>
    </row>
    <row r="1812" spans="1:9" x14ac:dyDescent="0.3">
      <c r="A1812" s="2" t="s">
        <v>1844</v>
      </c>
      <c r="B1812" s="3">
        <v>45918</v>
      </c>
      <c r="C1812" s="2" t="s">
        <v>21</v>
      </c>
      <c r="D1812" s="2" t="s">
        <v>11</v>
      </c>
      <c r="E1812" s="2" t="s">
        <v>22</v>
      </c>
      <c r="F1812" s="2" t="s">
        <v>42</v>
      </c>
      <c r="G1812" s="2" t="s">
        <v>19</v>
      </c>
      <c r="H1812" s="4">
        <v>36013</v>
      </c>
      <c r="I1812" s="4">
        <v>36800</v>
      </c>
    </row>
    <row r="1813" spans="1:9" x14ac:dyDescent="0.3">
      <c r="A1813" s="2" t="s">
        <v>1845</v>
      </c>
      <c r="B1813" s="3">
        <v>45918</v>
      </c>
      <c r="C1813" s="2" t="s">
        <v>25</v>
      </c>
      <c r="D1813" s="2" t="s">
        <v>11</v>
      </c>
      <c r="E1813" s="2" t="s">
        <v>22</v>
      </c>
      <c r="F1813" s="2" t="s">
        <v>59</v>
      </c>
      <c r="G1813" s="2" t="s">
        <v>14</v>
      </c>
      <c r="H1813" s="4">
        <v>80955</v>
      </c>
      <c r="I1813" s="4">
        <v>92200</v>
      </c>
    </row>
    <row r="1814" spans="1:9" x14ac:dyDescent="0.3">
      <c r="A1814" s="2" t="s">
        <v>1846</v>
      </c>
      <c r="B1814" s="3">
        <v>45918</v>
      </c>
      <c r="C1814" s="2" t="s">
        <v>55</v>
      </c>
      <c r="D1814" s="2" t="s">
        <v>11</v>
      </c>
      <c r="E1814" s="2" t="s">
        <v>37</v>
      </c>
      <c r="F1814" s="2" t="s">
        <v>42</v>
      </c>
      <c r="G1814" s="2" t="s">
        <v>19</v>
      </c>
      <c r="H1814" s="4">
        <v>31135</v>
      </c>
      <c r="I1814" s="4">
        <v>29100</v>
      </c>
    </row>
    <row r="1815" spans="1:9" x14ac:dyDescent="0.3">
      <c r="A1815" s="2" t="s">
        <v>1847</v>
      </c>
      <c r="B1815" s="3">
        <v>45919</v>
      </c>
      <c r="C1815" s="2" t="s">
        <v>10</v>
      </c>
      <c r="D1815" s="2" t="s">
        <v>11</v>
      </c>
      <c r="E1815" s="2" t="s">
        <v>12</v>
      </c>
      <c r="F1815" s="2" t="s">
        <v>13</v>
      </c>
      <c r="G1815" s="2" t="s">
        <v>14</v>
      </c>
      <c r="H1815" s="4">
        <v>246388</v>
      </c>
      <c r="I1815" s="4">
        <v>239600</v>
      </c>
    </row>
    <row r="1816" spans="1:9" x14ac:dyDescent="0.3">
      <c r="A1816" s="2" t="s">
        <v>1848</v>
      </c>
      <c r="B1816" s="3">
        <v>45919</v>
      </c>
      <c r="C1816" s="2" t="s">
        <v>10</v>
      </c>
      <c r="D1816" s="2" t="s">
        <v>11</v>
      </c>
      <c r="E1816" s="2" t="s">
        <v>12</v>
      </c>
      <c r="F1816" s="2" t="s">
        <v>59</v>
      </c>
      <c r="G1816" s="2" t="s">
        <v>14</v>
      </c>
      <c r="H1816" s="4">
        <v>60893</v>
      </c>
      <c r="I1816" s="4">
        <v>60000</v>
      </c>
    </row>
    <row r="1817" spans="1:9" x14ac:dyDescent="0.3">
      <c r="A1817" s="2" t="s">
        <v>1849</v>
      </c>
      <c r="B1817" s="3">
        <v>45919</v>
      </c>
      <c r="C1817" s="2" t="s">
        <v>10</v>
      </c>
      <c r="D1817" s="2" t="s">
        <v>11</v>
      </c>
      <c r="E1817" s="2" t="s">
        <v>12</v>
      </c>
      <c r="F1817" s="2" t="s">
        <v>12</v>
      </c>
      <c r="G1817" s="2" t="s">
        <v>14</v>
      </c>
      <c r="H1817" s="4">
        <v>163291</v>
      </c>
      <c r="I1817" s="4">
        <v>186600</v>
      </c>
    </row>
    <row r="1818" spans="1:9" x14ac:dyDescent="0.3">
      <c r="A1818" s="2" t="s">
        <v>1850</v>
      </c>
      <c r="B1818" s="3">
        <v>45919</v>
      </c>
      <c r="C1818" s="2" t="s">
        <v>16</v>
      </c>
      <c r="D1818" s="2" t="s">
        <v>11</v>
      </c>
      <c r="E1818" s="2" t="s">
        <v>17</v>
      </c>
      <c r="F1818" s="2" t="s">
        <v>37</v>
      </c>
      <c r="G1818" s="2" t="s">
        <v>14</v>
      </c>
      <c r="H1818" s="4">
        <v>65429</v>
      </c>
      <c r="I1818" s="4">
        <v>56200</v>
      </c>
    </row>
    <row r="1819" spans="1:9" x14ac:dyDescent="0.3">
      <c r="A1819" s="2" t="s">
        <v>1851</v>
      </c>
      <c r="B1819" s="3">
        <v>45919</v>
      </c>
      <c r="C1819" s="2" t="s">
        <v>21</v>
      </c>
      <c r="D1819" s="2" t="s">
        <v>11</v>
      </c>
      <c r="E1819" s="2" t="s">
        <v>22</v>
      </c>
      <c r="F1819" s="2" t="s">
        <v>56</v>
      </c>
      <c r="G1819" s="2" t="s">
        <v>19</v>
      </c>
      <c r="H1819" s="4">
        <v>93041</v>
      </c>
      <c r="I1819" s="4">
        <v>93000</v>
      </c>
    </row>
    <row r="1820" spans="1:9" x14ac:dyDescent="0.3">
      <c r="A1820" s="2" t="s">
        <v>1852</v>
      </c>
      <c r="B1820" s="3">
        <v>45919</v>
      </c>
      <c r="C1820" s="2" t="s">
        <v>21</v>
      </c>
      <c r="D1820" s="2" t="s">
        <v>11</v>
      </c>
      <c r="E1820" s="2" t="s">
        <v>22</v>
      </c>
      <c r="F1820" s="2" t="s">
        <v>26</v>
      </c>
      <c r="G1820" s="2" t="s">
        <v>14</v>
      </c>
      <c r="H1820" s="4">
        <v>115334</v>
      </c>
      <c r="I1820" s="4">
        <v>130200</v>
      </c>
    </row>
    <row r="1821" spans="1:9" x14ac:dyDescent="0.3">
      <c r="A1821" s="2" t="s">
        <v>1853</v>
      </c>
      <c r="B1821" s="3">
        <v>45919</v>
      </c>
      <c r="C1821" s="2" t="s">
        <v>25</v>
      </c>
      <c r="D1821" s="2" t="s">
        <v>11</v>
      </c>
      <c r="E1821" s="2" t="s">
        <v>22</v>
      </c>
      <c r="F1821" s="2" t="s">
        <v>23</v>
      </c>
      <c r="G1821" s="2" t="s">
        <v>14</v>
      </c>
      <c r="H1821" s="4">
        <v>31957</v>
      </c>
      <c r="I1821" s="4">
        <v>28700</v>
      </c>
    </row>
    <row r="1822" spans="1:9" x14ac:dyDescent="0.3">
      <c r="A1822" s="2" t="s">
        <v>1854</v>
      </c>
      <c r="B1822" s="3">
        <v>45919</v>
      </c>
      <c r="C1822" s="2" t="s">
        <v>31</v>
      </c>
      <c r="D1822" s="2" t="s">
        <v>11</v>
      </c>
      <c r="E1822" s="2" t="s">
        <v>17</v>
      </c>
      <c r="F1822" s="2" t="s">
        <v>42</v>
      </c>
      <c r="G1822" s="2" t="s">
        <v>19</v>
      </c>
      <c r="H1822" s="4">
        <v>109535</v>
      </c>
      <c r="I1822" s="4">
        <v>102100</v>
      </c>
    </row>
    <row r="1823" spans="1:9" x14ac:dyDescent="0.3">
      <c r="A1823" s="2" t="s">
        <v>1855</v>
      </c>
      <c r="B1823" s="3">
        <v>45919</v>
      </c>
      <c r="C1823" s="2" t="s">
        <v>55</v>
      </c>
      <c r="D1823" s="2" t="s">
        <v>11</v>
      </c>
      <c r="E1823" s="2" t="s">
        <v>37</v>
      </c>
      <c r="F1823" s="2" t="s">
        <v>23</v>
      </c>
      <c r="G1823" s="2" t="s">
        <v>14</v>
      </c>
      <c r="H1823" s="4">
        <v>199679</v>
      </c>
      <c r="I1823" s="4">
        <v>210800</v>
      </c>
    </row>
    <row r="1824" spans="1:9" x14ac:dyDescent="0.3">
      <c r="A1824" s="2" t="s">
        <v>1856</v>
      </c>
      <c r="B1824" s="3">
        <v>45920</v>
      </c>
      <c r="C1824" s="2" t="s">
        <v>62</v>
      </c>
      <c r="D1824" s="2" t="s">
        <v>11</v>
      </c>
      <c r="E1824" s="2" t="s">
        <v>22</v>
      </c>
      <c r="F1824" s="2" t="s">
        <v>39</v>
      </c>
      <c r="G1824" s="2" t="s">
        <v>19</v>
      </c>
      <c r="H1824" s="4">
        <v>97919</v>
      </c>
      <c r="I1824" s="4">
        <v>88800</v>
      </c>
    </row>
    <row r="1825" spans="1:9" x14ac:dyDescent="0.3">
      <c r="A1825" s="2" t="s">
        <v>1857</v>
      </c>
      <c r="B1825" s="3">
        <v>45920</v>
      </c>
      <c r="C1825" s="2" t="s">
        <v>62</v>
      </c>
      <c r="D1825" s="2" t="s">
        <v>11</v>
      </c>
      <c r="E1825" s="2" t="s">
        <v>22</v>
      </c>
      <c r="F1825" s="2" t="s">
        <v>56</v>
      </c>
      <c r="G1825" s="2" t="s">
        <v>19</v>
      </c>
      <c r="H1825" s="4">
        <v>85557</v>
      </c>
      <c r="I1825" s="4">
        <v>91600</v>
      </c>
    </row>
    <row r="1826" spans="1:9" x14ac:dyDescent="0.3">
      <c r="A1826" s="2" t="s">
        <v>1858</v>
      </c>
      <c r="B1826" s="3">
        <v>45920</v>
      </c>
      <c r="C1826" s="2" t="s">
        <v>16</v>
      </c>
      <c r="D1826" s="2" t="s">
        <v>11</v>
      </c>
      <c r="E1826" s="2" t="s">
        <v>17</v>
      </c>
      <c r="F1826" s="2" t="s">
        <v>39</v>
      </c>
      <c r="G1826" s="2" t="s">
        <v>19</v>
      </c>
      <c r="H1826" s="4">
        <v>16749</v>
      </c>
      <c r="I1826" s="4">
        <v>13900</v>
      </c>
    </row>
    <row r="1827" spans="1:9" x14ac:dyDescent="0.3">
      <c r="A1827" s="2" t="s">
        <v>1859</v>
      </c>
      <c r="B1827" s="3">
        <v>45920</v>
      </c>
      <c r="C1827" s="2" t="s">
        <v>36</v>
      </c>
      <c r="D1827" s="2" t="s">
        <v>11</v>
      </c>
      <c r="E1827" s="2" t="s">
        <v>37</v>
      </c>
      <c r="F1827" s="2" t="s">
        <v>23</v>
      </c>
      <c r="G1827" s="2" t="s">
        <v>14</v>
      </c>
      <c r="H1827" s="4">
        <v>194279</v>
      </c>
      <c r="I1827" s="4">
        <v>207700</v>
      </c>
    </row>
    <row r="1828" spans="1:9" x14ac:dyDescent="0.3">
      <c r="A1828" s="2" t="s">
        <v>1860</v>
      </c>
      <c r="B1828" s="3">
        <v>45920</v>
      </c>
      <c r="C1828" s="2" t="s">
        <v>21</v>
      </c>
      <c r="D1828" s="2" t="s">
        <v>11</v>
      </c>
      <c r="E1828" s="2" t="s">
        <v>22</v>
      </c>
      <c r="F1828" s="2" t="s">
        <v>13</v>
      </c>
      <c r="G1828" s="2" t="s">
        <v>14</v>
      </c>
      <c r="H1828" s="4">
        <v>238555</v>
      </c>
      <c r="I1828" s="4">
        <v>253200</v>
      </c>
    </row>
    <row r="1829" spans="1:9" x14ac:dyDescent="0.3">
      <c r="A1829" s="2" t="s">
        <v>1861</v>
      </c>
      <c r="B1829" s="3">
        <v>45920</v>
      </c>
      <c r="C1829" s="2" t="s">
        <v>25</v>
      </c>
      <c r="D1829" s="2" t="s">
        <v>11</v>
      </c>
      <c r="E1829" s="2" t="s">
        <v>22</v>
      </c>
      <c r="F1829" s="2" t="s">
        <v>46</v>
      </c>
      <c r="G1829" s="2" t="s">
        <v>19</v>
      </c>
      <c r="H1829" s="4">
        <v>55104</v>
      </c>
      <c r="I1829" s="4">
        <v>56600</v>
      </c>
    </row>
    <row r="1830" spans="1:9" x14ac:dyDescent="0.3">
      <c r="A1830" s="2" t="s">
        <v>1862</v>
      </c>
      <c r="B1830" s="3">
        <v>45921</v>
      </c>
      <c r="C1830" s="2" t="s">
        <v>16</v>
      </c>
      <c r="D1830" s="2" t="s">
        <v>11</v>
      </c>
      <c r="E1830" s="2" t="s">
        <v>17</v>
      </c>
      <c r="F1830" s="2" t="s">
        <v>33</v>
      </c>
      <c r="G1830" s="2" t="s">
        <v>19</v>
      </c>
      <c r="H1830" s="4">
        <v>109217</v>
      </c>
      <c r="I1830" s="4">
        <v>96000</v>
      </c>
    </row>
    <row r="1831" spans="1:9" x14ac:dyDescent="0.3">
      <c r="A1831" s="2" t="s">
        <v>1863</v>
      </c>
      <c r="B1831" s="3">
        <v>45921</v>
      </c>
      <c r="C1831" s="2" t="s">
        <v>36</v>
      </c>
      <c r="D1831" s="2" t="s">
        <v>11</v>
      </c>
      <c r="E1831" s="2" t="s">
        <v>37</v>
      </c>
      <c r="F1831" s="2" t="s">
        <v>12</v>
      </c>
      <c r="G1831" s="2" t="s">
        <v>14</v>
      </c>
      <c r="H1831" s="4">
        <v>25421</v>
      </c>
      <c r="I1831" s="4">
        <v>24200</v>
      </c>
    </row>
    <row r="1832" spans="1:9" x14ac:dyDescent="0.3">
      <c r="A1832" s="2" t="s">
        <v>1864</v>
      </c>
      <c r="B1832" s="3">
        <v>45921</v>
      </c>
      <c r="C1832" s="2" t="s">
        <v>31</v>
      </c>
      <c r="D1832" s="2" t="s">
        <v>11</v>
      </c>
      <c r="E1832" s="2" t="s">
        <v>17</v>
      </c>
      <c r="F1832" s="2" t="s">
        <v>18</v>
      </c>
      <c r="G1832" s="2" t="s">
        <v>19</v>
      </c>
      <c r="H1832" s="4">
        <v>39908</v>
      </c>
      <c r="I1832" s="4">
        <v>40300</v>
      </c>
    </row>
    <row r="1833" spans="1:9" x14ac:dyDescent="0.3">
      <c r="A1833" s="2" t="s">
        <v>1865</v>
      </c>
      <c r="B1833" s="3">
        <v>45921</v>
      </c>
      <c r="C1833" s="2" t="s">
        <v>31</v>
      </c>
      <c r="D1833" s="2" t="s">
        <v>11</v>
      </c>
      <c r="E1833" s="2" t="s">
        <v>17</v>
      </c>
      <c r="F1833" s="2" t="s">
        <v>33</v>
      </c>
      <c r="G1833" s="2" t="s">
        <v>19</v>
      </c>
      <c r="H1833" s="4">
        <v>84983</v>
      </c>
      <c r="I1833" s="4">
        <v>73300</v>
      </c>
    </row>
    <row r="1834" spans="1:9" x14ac:dyDescent="0.3">
      <c r="A1834" s="2" t="s">
        <v>1866</v>
      </c>
      <c r="B1834" s="3">
        <v>45922</v>
      </c>
      <c r="C1834" s="2" t="s">
        <v>62</v>
      </c>
      <c r="D1834" s="2" t="s">
        <v>11</v>
      </c>
      <c r="E1834" s="2" t="s">
        <v>22</v>
      </c>
      <c r="F1834" s="2" t="s">
        <v>23</v>
      </c>
      <c r="G1834" s="2" t="s">
        <v>14</v>
      </c>
      <c r="H1834" s="4">
        <v>100411</v>
      </c>
      <c r="I1834" s="4">
        <v>111000</v>
      </c>
    </row>
    <row r="1835" spans="1:9" x14ac:dyDescent="0.3">
      <c r="A1835" s="2" t="s">
        <v>1867</v>
      </c>
      <c r="B1835" s="3">
        <v>45922</v>
      </c>
      <c r="C1835" s="2" t="s">
        <v>16</v>
      </c>
      <c r="D1835" s="2" t="s">
        <v>11</v>
      </c>
      <c r="E1835" s="2" t="s">
        <v>17</v>
      </c>
      <c r="F1835" s="2" t="s">
        <v>46</v>
      </c>
      <c r="G1835" s="2" t="s">
        <v>19</v>
      </c>
      <c r="H1835" s="4">
        <v>40859</v>
      </c>
      <c r="I1835" s="4">
        <v>53500</v>
      </c>
    </row>
    <row r="1836" spans="1:9" x14ac:dyDescent="0.3">
      <c r="A1836" s="2" t="s">
        <v>1868</v>
      </c>
      <c r="B1836" s="3">
        <v>45922</v>
      </c>
      <c r="C1836" s="2" t="s">
        <v>16</v>
      </c>
      <c r="D1836" s="2" t="s">
        <v>11</v>
      </c>
      <c r="E1836" s="2" t="s">
        <v>17</v>
      </c>
      <c r="F1836" s="2" t="s">
        <v>39</v>
      </c>
      <c r="G1836" s="2" t="s">
        <v>19</v>
      </c>
      <c r="H1836" s="4">
        <v>60506</v>
      </c>
      <c r="I1836" s="4">
        <v>66200</v>
      </c>
    </row>
    <row r="1837" spans="1:9" x14ac:dyDescent="0.3">
      <c r="A1837" s="2" t="s">
        <v>1869</v>
      </c>
      <c r="B1837" s="3">
        <v>45922</v>
      </c>
      <c r="C1837" s="2" t="s">
        <v>21</v>
      </c>
      <c r="D1837" s="2" t="s">
        <v>11</v>
      </c>
      <c r="E1837" s="2" t="s">
        <v>22</v>
      </c>
      <c r="F1837" s="2" t="s">
        <v>18</v>
      </c>
      <c r="G1837" s="2" t="s">
        <v>19</v>
      </c>
      <c r="H1837" s="4">
        <v>70570</v>
      </c>
      <c r="I1837" s="4">
        <v>71700</v>
      </c>
    </row>
    <row r="1838" spans="1:9" x14ac:dyDescent="0.3">
      <c r="A1838" s="2" t="s">
        <v>1870</v>
      </c>
      <c r="B1838" s="3">
        <v>45922</v>
      </c>
      <c r="C1838" s="2" t="s">
        <v>21</v>
      </c>
      <c r="D1838" s="2" t="s">
        <v>11</v>
      </c>
      <c r="E1838" s="2" t="s">
        <v>22</v>
      </c>
      <c r="F1838" s="2" t="s">
        <v>39</v>
      </c>
      <c r="G1838" s="2" t="s">
        <v>19</v>
      </c>
      <c r="H1838" s="4">
        <v>85870</v>
      </c>
      <c r="I1838" s="4">
        <v>79300</v>
      </c>
    </row>
    <row r="1839" spans="1:9" x14ac:dyDescent="0.3">
      <c r="A1839" s="2" t="s">
        <v>1871</v>
      </c>
      <c r="B1839" s="3">
        <v>45923</v>
      </c>
      <c r="C1839" s="2" t="s">
        <v>62</v>
      </c>
      <c r="D1839" s="2" t="s">
        <v>11</v>
      </c>
      <c r="E1839" s="2" t="s">
        <v>22</v>
      </c>
      <c r="F1839" s="2" t="s">
        <v>33</v>
      </c>
      <c r="G1839" s="2" t="s">
        <v>19</v>
      </c>
      <c r="H1839" s="4">
        <v>31008</v>
      </c>
      <c r="I1839" s="4">
        <v>29900</v>
      </c>
    </row>
    <row r="1840" spans="1:9" x14ac:dyDescent="0.3">
      <c r="A1840" s="2" t="s">
        <v>1872</v>
      </c>
      <c r="B1840" s="3">
        <v>45923</v>
      </c>
      <c r="C1840" s="2" t="s">
        <v>10</v>
      </c>
      <c r="D1840" s="2" t="s">
        <v>11</v>
      </c>
      <c r="E1840" s="2" t="s">
        <v>12</v>
      </c>
      <c r="F1840" s="2" t="s">
        <v>33</v>
      </c>
      <c r="G1840" s="2" t="s">
        <v>19</v>
      </c>
      <c r="H1840" s="4">
        <v>83379</v>
      </c>
      <c r="I1840" s="4">
        <v>73200</v>
      </c>
    </row>
    <row r="1841" spans="1:9" x14ac:dyDescent="0.3">
      <c r="A1841" s="2" t="s">
        <v>1873</v>
      </c>
      <c r="B1841" s="3">
        <v>45923</v>
      </c>
      <c r="C1841" s="2" t="s">
        <v>16</v>
      </c>
      <c r="D1841" s="2" t="s">
        <v>11</v>
      </c>
      <c r="E1841" s="2" t="s">
        <v>17</v>
      </c>
      <c r="F1841" s="2" t="s">
        <v>18</v>
      </c>
      <c r="G1841" s="2" t="s">
        <v>19</v>
      </c>
      <c r="H1841" s="4">
        <v>52380</v>
      </c>
      <c r="I1841" s="4">
        <v>53600</v>
      </c>
    </row>
    <row r="1842" spans="1:9" x14ac:dyDescent="0.3">
      <c r="A1842" s="2" t="s">
        <v>1874</v>
      </c>
      <c r="B1842" s="3">
        <v>45923</v>
      </c>
      <c r="C1842" s="2" t="s">
        <v>16</v>
      </c>
      <c r="D1842" s="2" t="s">
        <v>11</v>
      </c>
      <c r="E1842" s="2" t="s">
        <v>17</v>
      </c>
      <c r="F1842" s="2" t="s">
        <v>23</v>
      </c>
      <c r="G1842" s="2" t="s">
        <v>14</v>
      </c>
      <c r="H1842" s="4">
        <v>88145</v>
      </c>
      <c r="I1842" s="4">
        <v>83100</v>
      </c>
    </row>
    <row r="1843" spans="1:9" x14ac:dyDescent="0.3">
      <c r="A1843" s="2" t="s">
        <v>1875</v>
      </c>
      <c r="B1843" s="3">
        <v>45923</v>
      </c>
      <c r="C1843" s="2" t="s">
        <v>16</v>
      </c>
      <c r="D1843" s="2" t="s">
        <v>11</v>
      </c>
      <c r="E1843" s="2" t="s">
        <v>17</v>
      </c>
      <c r="F1843" s="2" t="s">
        <v>59</v>
      </c>
      <c r="G1843" s="2" t="s">
        <v>14</v>
      </c>
      <c r="H1843" s="4">
        <v>54158</v>
      </c>
      <c r="I1843" s="4">
        <v>52600</v>
      </c>
    </row>
    <row r="1844" spans="1:9" x14ac:dyDescent="0.3">
      <c r="A1844" s="2" t="s">
        <v>1876</v>
      </c>
      <c r="B1844" s="3">
        <v>45923</v>
      </c>
      <c r="C1844" s="2" t="s">
        <v>25</v>
      </c>
      <c r="D1844" s="2" t="s">
        <v>11</v>
      </c>
      <c r="E1844" s="2" t="s">
        <v>22</v>
      </c>
      <c r="F1844" s="2" t="s">
        <v>33</v>
      </c>
      <c r="G1844" s="2" t="s">
        <v>19</v>
      </c>
      <c r="H1844" s="4">
        <v>23789</v>
      </c>
      <c r="I1844" s="4">
        <v>26400</v>
      </c>
    </row>
    <row r="1845" spans="1:9" x14ac:dyDescent="0.3">
      <c r="A1845" s="2" t="s">
        <v>1877</v>
      </c>
      <c r="B1845" s="3">
        <v>45923</v>
      </c>
      <c r="C1845" s="2" t="s">
        <v>31</v>
      </c>
      <c r="D1845" s="2" t="s">
        <v>11</v>
      </c>
      <c r="E1845" s="2" t="s">
        <v>17</v>
      </c>
      <c r="F1845" s="2" t="s">
        <v>12</v>
      </c>
      <c r="G1845" s="2" t="s">
        <v>14</v>
      </c>
      <c r="H1845" s="4">
        <v>94411</v>
      </c>
      <c r="I1845" s="4">
        <v>91200</v>
      </c>
    </row>
    <row r="1846" spans="1:9" x14ac:dyDescent="0.3">
      <c r="A1846" s="2" t="s">
        <v>1878</v>
      </c>
      <c r="B1846" s="3">
        <v>45924</v>
      </c>
      <c r="C1846" s="2" t="s">
        <v>62</v>
      </c>
      <c r="D1846" s="2" t="s">
        <v>11</v>
      </c>
      <c r="E1846" s="2" t="s">
        <v>22</v>
      </c>
      <c r="F1846" s="2" t="s">
        <v>39</v>
      </c>
      <c r="G1846" s="2" t="s">
        <v>19</v>
      </c>
      <c r="H1846" s="4">
        <v>48658</v>
      </c>
      <c r="I1846" s="4">
        <v>54300</v>
      </c>
    </row>
    <row r="1847" spans="1:9" x14ac:dyDescent="0.3">
      <c r="A1847" s="2" t="s">
        <v>1879</v>
      </c>
      <c r="B1847" s="3">
        <v>45924</v>
      </c>
      <c r="C1847" s="2" t="s">
        <v>10</v>
      </c>
      <c r="D1847" s="2" t="s">
        <v>11</v>
      </c>
      <c r="E1847" s="2" t="s">
        <v>12</v>
      </c>
      <c r="F1847" s="2" t="s">
        <v>26</v>
      </c>
      <c r="G1847" s="2" t="s">
        <v>14</v>
      </c>
      <c r="H1847" s="4">
        <v>39350</v>
      </c>
      <c r="I1847" s="4">
        <v>37900</v>
      </c>
    </row>
    <row r="1848" spans="1:9" x14ac:dyDescent="0.3">
      <c r="A1848" s="2" t="s">
        <v>1880</v>
      </c>
      <c r="B1848" s="3">
        <v>45924</v>
      </c>
      <c r="C1848" s="2" t="s">
        <v>10</v>
      </c>
      <c r="D1848" s="2" t="s">
        <v>11</v>
      </c>
      <c r="E1848" s="2" t="s">
        <v>12</v>
      </c>
      <c r="F1848" s="2" t="s">
        <v>37</v>
      </c>
      <c r="G1848" s="2" t="s">
        <v>14</v>
      </c>
      <c r="H1848" s="4">
        <v>233005</v>
      </c>
      <c r="I1848" s="4">
        <v>260200</v>
      </c>
    </row>
    <row r="1849" spans="1:9" x14ac:dyDescent="0.3">
      <c r="A1849" s="2" t="s">
        <v>1881</v>
      </c>
      <c r="B1849" s="3">
        <v>45924</v>
      </c>
      <c r="C1849" s="2" t="s">
        <v>16</v>
      </c>
      <c r="D1849" s="2" t="s">
        <v>11</v>
      </c>
      <c r="E1849" s="2" t="s">
        <v>17</v>
      </c>
      <c r="F1849" s="2" t="s">
        <v>33</v>
      </c>
      <c r="G1849" s="2" t="s">
        <v>19</v>
      </c>
      <c r="H1849" s="4">
        <v>89809</v>
      </c>
      <c r="I1849" s="4">
        <v>89100</v>
      </c>
    </row>
    <row r="1850" spans="1:9" x14ac:dyDescent="0.3">
      <c r="A1850" s="2" t="s">
        <v>1882</v>
      </c>
      <c r="B1850" s="3">
        <v>45924</v>
      </c>
      <c r="C1850" s="2" t="s">
        <v>31</v>
      </c>
      <c r="D1850" s="2" t="s">
        <v>11</v>
      </c>
      <c r="E1850" s="2" t="s">
        <v>17</v>
      </c>
      <c r="F1850" s="2" t="s">
        <v>23</v>
      </c>
      <c r="G1850" s="2" t="s">
        <v>14</v>
      </c>
      <c r="H1850" s="4">
        <v>41943</v>
      </c>
      <c r="I1850" s="4">
        <v>47800</v>
      </c>
    </row>
    <row r="1851" spans="1:9" x14ac:dyDescent="0.3">
      <c r="A1851" s="2" t="s">
        <v>1883</v>
      </c>
      <c r="B1851" s="3">
        <v>45924</v>
      </c>
      <c r="C1851" s="2" t="s">
        <v>55</v>
      </c>
      <c r="D1851" s="2" t="s">
        <v>11</v>
      </c>
      <c r="E1851" s="2" t="s">
        <v>37</v>
      </c>
      <c r="F1851" s="2" t="s">
        <v>12</v>
      </c>
      <c r="G1851" s="2" t="s">
        <v>14</v>
      </c>
      <c r="H1851" s="4">
        <v>75471</v>
      </c>
      <c r="I1851" s="4">
        <v>83300</v>
      </c>
    </row>
    <row r="1852" spans="1:9" x14ac:dyDescent="0.3">
      <c r="A1852" s="2" t="s">
        <v>1884</v>
      </c>
      <c r="B1852" s="3">
        <v>45924</v>
      </c>
      <c r="C1852" s="2" t="s">
        <v>55</v>
      </c>
      <c r="D1852" s="2" t="s">
        <v>11</v>
      </c>
      <c r="E1852" s="2" t="s">
        <v>37</v>
      </c>
      <c r="F1852" s="2" t="s">
        <v>13</v>
      </c>
      <c r="G1852" s="2" t="s">
        <v>14</v>
      </c>
      <c r="H1852" s="4">
        <v>68882</v>
      </c>
      <c r="I1852" s="4">
        <v>69200</v>
      </c>
    </row>
    <row r="1853" spans="1:9" x14ac:dyDescent="0.3">
      <c r="A1853" s="2" t="s">
        <v>1885</v>
      </c>
      <c r="B1853" s="3">
        <v>45925</v>
      </c>
      <c r="C1853" s="2" t="s">
        <v>62</v>
      </c>
      <c r="D1853" s="2" t="s">
        <v>11</v>
      </c>
      <c r="E1853" s="2" t="s">
        <v>22</v>
      </c>
      <c r="F1853" s="2" t="s">
        <v>18</v>
      </c>
      <c r="G1853" s="2" t="s">
        <v>19</v>
      </c>
      <c r="H1853" s="4">
        <v>114210</v>
      </c>
      <c r="I1853" s="4">
        <v>111600</v>
      </c>
    </row>
    <row r="1854" spans="1:9" x14ac:dyDescent="0.3">
      <c r="A1854" s="2" t="s">
        <v>1886</v>
      </c>
      <c r="B1854" s="3">
        <v>45925</v>
      </c>
      <c r="C1854" s="2" t="s">
        <v>62</v>
      </c>
      <c r="D1854" s="2" t="s">
        <v>11</v>
      </c>
      <c r="E1854" s="2" t="s">
        <v>22</v>
      </c>
      <c r="F1854" s="2" t="s">
        <v>23</v>
      </c>
      <c r="G1854" s="2" t="s">
        <v>14</v>
      </c>
      <c r="H1854" s="4">
        <v>201521</v>
      </c>
      <c r="I1854" s="4">
        <v>217300</v>
      </c>
    </row>
    <row r="1855" spans="1:9" x14ac:dyDescent="0.3">
      <c r="A1855" s="2" t="s">
        <v>1887</v>
      </c>
      <c r="B1855" s="3">
        <v>45925</v>
      </c>
      <c r="C1855" s="2" t="s">
        <v>25</v>
      </c>
      <c r="D1855" s="2" t="s">
        <v>11</v>
      </c>
      <c r="E1855" s="2" t="s">
        <v>22</v>
      </c>
      <c r="F1855" s="2" t="s">
        <v>46</v>
      </c>
      <c r="G1855" s="2" t="s">
        <v>19</v>
      </c>
      <c r="H1855" s="4">
        <v>73750</v>
      </c>
      <c r="I1855" s="4">
        <v>80200</v>
      </c>
    </row>
    <row r="1856" spans="1:9" x14ac:dyDescent="0.3">
      <c r="A1856" s="2" t="s">
        <v>1888</v>
      </c>
      <c r="B1856" s="3">
        <v>45925</v>
      </c>
      <c r="C1856" s="2" t="s">
        <v>55</v>
      </c>
      <c r="D1856" s="2" t="s">
        <v>11</v>
      </c>
      <c r="E1856" s="2" t="s">
        <v>37</v>
      </c>
      <c r="F1856" s="2" t="s">
        <v>18</v>
      </c>
      <c r="G1856" s="2" t="s">
        <v>19</v>
      </c>
      <c r="H1856" s="4">
        <v>117260</v>
      </c>
      <c r="I1856" s="4">
        <v>121300</v>
      </c>
    </row>
    <row r="1857" spans="1:9" x14ac:dyDescent="0.3">
      <c r="A1857" s="2" t="s">
        <v>1889</v>
      </c>
      <c r="B1857" s="3">
        <v>45925</v>
      </c>
      <c r="C1857" s="2" t="s">
        <v>55</v>
      </c>
      <c r="D1857" s="2" t="s">
        <v>11</v>
      </c>
      <c r="E1857" s="2" t="s">
        <v>37</v>
      </c>
      <c r="F1857" s="2" t="s">
        <v>56</v>
      </c>
      <c r="G1857" s="2" t="s">
        <v>19</v>
      </c>
      <c r="H1857" s="4">
        <v>49819</v>
      </c>
      <c r="I1857" s="4">
        <v>57100</v>
      </c>
    </row>
    <row r="1858" spans="1:9" x14ac:dyDescent="0.3">
      <c r="A1858" s="2" t="s">
        <v>1890</v>
      </c>
      <c r="B1858" s="3">
        <v>45925</v>
      </c>
      <c r="C1858" s="2" t="s">
        <v>55</v>
      </c>
      <c r="D1858" s="2" t="s">
        <v>11</v>
      </c>
      <c r="E1858" s="2" t="s">
        <v>37</v>
      </c>
      <c r="F1858" s="2" t="s">
        <v>23</v>
      </c>
      <c r="G1858" s="2" t="s">
        <v>14</v>
      </c>
      <c r="H1858" s="4">
        <v>53262</v>
      </c>
      <c r="I1858" s="4">
        <v>52800</v>
      </c>
    </row>
    <row r="1859" spans="1:9" x14ac:dyDescent="0.3">
      <c r="A1859" s="2" t="s">
        <v>1891</v>
      </c>
      <c r="B1859" s="3">
        <v>45926</v>
      </c>
      <c r="C1859" s="2" t="s">
        <v>21</v>
      </c>
      <c r="D1859" s="2" t="s">
        <v>11</v>
      </c>
      <c r="E1859" s="2" t="s">
        <v>22</v>
      </c>
      <c r="F1859" s="2" t="s">
        <v>59</v>
      </c>
      <c r="G1859" s="2" t="s">
        <v>14</v>
      </c>
      <c r="H1859" s="4">
        <v>66789</v>
      </c>
      <c r="I1859" s="4">
        <v>77600</v>
      </c>
    </row>
    <row r="1860" spans="1:9" x14ac:dyDescent="0.3">
      <c r="A1860" s="2" t="s">
        <v>1892</v>
      </c>
      <c r="B1860" s="3">
        <v>45926</v>
      </c>
      <c r="C1860" s="2" t="s">
        <v>31</v>
      </c>
      <c r="D1860" s="2" t="s">
        <v>11</v>
      </c>
      <c r="E1860" s="2" t="s">
        <v>17</v>
      </c>
      <c r="F1860" s="2" t="s">
        <v>59</v>
      </c>
      <c r="G1860" s="2" t="s">
        <v>14</v>
      </c>
      <c r="H1860" s="4">
        <v>82535</v>
      </c>
      <c r="I1860" s="4">
        <v>79700</v>
      </c>
    </row>
    <row r="1861" spans="1:9" x14ac:dyDescent="0.3">
      <c r="A1861" s="2" t="s">
        <v>1893</v>
      </c>
      <c r="B1861" s="3">
        <v>45927</v>
      </c>
      <c r="C1861" s="2" t="s">
        <v>10</v>
      </c>
      <c r="D1861" s="2" t="s">
        <v>11</v>
      </c>
      <c r="E1861" s="2" t="s">
        <v>12</v>
      </c>
      <c r="F1861" s="2" t="s">
        <v>39</v>
      </c>
      <c r="G1861" s="2" t="s">
        <v>19</v>
      </c>
      <c r="H1861" s="4">
        <v>77475</v>
      </c>
      <c r="I1861" s="4">
        <v>72800</v>
      </c>
    </row>
    <row r="1862" spans="1:9" x14ac:dyDescent="0.3">
      <c r="A1862" s="2" t="s">
        <v>1894</v>
      </c>
      <c r="B1862" s="3">
        <v>45927</v>
      </c>
      <c r="C1862" s="2" t="s">
        <v>16</v>
      </c>
      <c r="D1862" s="2" t="s">
        <v>11</v>
      </c>
      <c r="E1862" s="2" t="s">
        <v>17</v>
      </c>
      <c r="F1862" s="2" t="s">
        <v>39</v>
      </c>
      <c r="G1862" s="2" t="s">
        <v>19</v>
      </c>
      <c r="H1862" s="4">
        <v>26999</v>
      </c>
      <c r="I1862" s="4">
        <v>26500</v>
      </c>
    </row>
    <row r="1863" spans="1:9" x14ac:dyDescent="0.3">
      <c r="A1863" s="2" t="s">
        <v>1895</v>
      </c>
      <c r="B1863" s="3">
        <v>45927</v>
      </c>
      <c r="C1863" s="2" t="s">
        <v>16</v>
      </c>
      <c r="D1863" s="2" t="s">
        <v>11</v>
      </c>
      <c r="E1863" s="2" t="s">
        <v>17</v>
      </c>
      <c r="F1863" s="2" t="s">
        <v>23</v>
      </c>
      <c r="G1863" s="2" t="s">
        <v>14</v>
      </c>
      <c r="H1863" s="4">
        <v>119962</v>
      </c>
      <c r="I1863" s="4">
        <v>114600</v>
      </c>
    </row>
    <row r="1864" spans="1:9" x14ac:dyDescent="0.3">
      <c r="A1864" s="2" t="s">
        <v>1896</v>
      </c>
      <c r="B1864" s="3">
        <v>45927</v>
      </c>
      <c r="C1864" s="2" t="s">
        <v>36</v>
      </c>
      <c r="D1864" s="2" t="s">
        <v>11</v>
      </c>
      <c r="E1864" s="2" t="s">
        <v>37</v>
      </c>
      <c r="F1864" s="2" t="s">
        <v>56</v>
      </c>
      <c r="G1864" s="2" t="s">
        <v>19</v>
      </c>
      <c r="H1864" s="4">
        <v>37919</v>
      </c>
      <c r="I1864" s="4">
        <v>43100</v>
      </c>
    </row>
    <row r="1865" spans="1:9" x14ac:dyDescent="0.3">
      <c r="A1865" s="2" t="s">
        <v>1897</v>
      </c>
      <c r="B1865" s="3">
        <v>45927</v>
      </c>
      <c r="C1865" s="2" t="s">
        <v>36</v>
      </c>
      <c r="D1865" s="2" t="s">
        <v>11</v>
      </c>
      <c r="E1865" s="2" t="s">
        <v>37</v>
      </c>
      <c r="F1865" s="2" t="s">
        <v>37</v>
      </c>
      <c r="G1865" s="2" t="s">
        <v>14</v>
      </c>
      <c r="H1865" s="4">
        <v>212741</v>
      </c>
      <c r="I1865" s="4">
        <v>209700</v>
      </c>
    </row>
    <row r="1866" spans="1:9" x14ac:dyDescent="0.3">
      <c r="A1866" s="2" t="s">
        <v>1898</v>
      </c>
      <c r="B1866" s="3">
        <v>45927</v>
      </c>
      <c r="C1866" s="2" t="s">
        <v>21</v>
      </c>
      <c r="D1866" s="2" t="s">
        <v>11</v>
      </c>
      <c r="E1866" s="2" t="s">
        <v>22</v>
      </c>
      <c r="F1866" s="2" t="s">
        <v>42</v>
      </c>
      <c r="G1866" s="2" t="s">
        <v>19</v>
      </c>
      <c r="H1866" s="4">
        <v>111225</v>
      </c>
      <c r="I1866" s="4">
        <v>106500</v>
      </c>
    </row>
    <row r="1867" spans="1:9" x14ac:dyDescent="0.3">
      <c r="A1867" s="2" t="s">
        <v>1899</v>
      </c>
      <c r="B1867" s="3">
        <v>45927</v>
      </c>
      <c r="C1867" s="2" t="s">
        <v>31</v>
      </c>
      <c r="D1867" s="2" t="s">
        <v>11</v>
      </c>
      <c r="E1867" s="2" t="s">
        <v>17</v>
      </c>
      <c r="F1867" s="2" t="s">
        <v>26</v>
      </c>
      <c r="G1867" s="2" t="s">
        <v>14</v>
      </c>
      <c r="H1867" s="4">
        <v>55548</v>
      </c>
      <c r="I1867" s="4">
        <v>51400</v>
      </c>
    </row>
    <row r="1868" spans="1:9" x14ac:dyDescent="0.3">
      <c r="A1868" s="2" t="s">
        <v>1900</v>
      </c>
      <c r="B1868" s="3">
        <v>45927</v>
      </c>
      <c r="C1868" s="2" t="s">
        <v>55</v>
      </c>
      <c r="D1868" s="2" t="s">
        <v>11</v>
      </c>
      <c r="E1868" s="2" t="s">
        <v>37</v>
      </c>
      <c r="F1868" s="2" t="s">
        <v>56</v>
      </c>
      <c r="G1868" s="2" t="s">
        <v>19</v>
      </c>
      <c r="H1868" s="4">
        <v>34340</v>
      </c>
      <c r="I1868" s="4">
        <v>33400</v>
      </c>
    </row>
    <row r="1869" spans="1:9" x14ac:dyDescent="0.3">
      <c r="A1869" s="2" t="s">
        <v>1901</v>
      </c>
      <c r="B1869" s="3">
        <v>45928</v>
      </c>
      <c r="C1869" s="2" t="s">
        <v>62</v>
      </c>
      <c r="D1869" s="2" t="s">
        <v>11</v>
      </c>
      <c r="E1869" s="2" t="s">
        <v>22</v>
      </c>
      <c r="F1869" s="2" t="s">
        <v>18</v>
      </c>
      <c r="G1869" s="2" t="s">
        <v>19</v>
      </c>
      <c r="H1869" s="4">
        <v>31099</v>
      </c>
      <c r="I1869" s="4">
        <v>33800</v>
      </c>
    </row>
    <row r="1870" spans="1:9" x14ac:dyDescent="0.3">
      <c r="A1870" s="2" t="s">
        <v>1902</v>
      </c>
      <c r="B1870" s="3">
        <v>45928</v>
      </c>
      <c r="C1870" s="2" t="s">
        <v>62</v>
      </c>
      <c r="D1870" s="2" t="s">
        <v>11</v>
      </c>
      <c r="E1870" s="2" t="s">
        <v>22</v>
      </c>
      <c r="F1870" s="2" t="s">
        <v>59</v>
      </c>
      <c r="G1870" s="2" t="s">
        <v>14</v>
      </c>
      <c r="H1870" s="4">
        <v>38694</v>
      </c>
      <c r="I1870" s="4">
        <v>41600</v>
      </c>
    </row>
    <row r="1871" spans="1:9" x14ac:dyDescent="0.3">
      <c r="A1871" s="2" t="s">
        <v>1903</v>
      </c>
      <c r="B1871" s="3">
        <v>45928</v>
      </c>
      <c r="C1871" s="2" t="s">
        <v>10</v>
      </c>
      <c r="D1871" s="2" t="s">
        <v>11</v>
      </c>
      <c r="E1871" s="2" t="s">
        <v>12</v>
      </c>
      <c r="F1871" s="2" t="s">
        <v>56</v>
      </c>
      <c r="G1871" s="2" t="s">
        <v>19</v>
      </c>
      <c r="H1871" s="4">
        <v>40472</v>
      </c>
      <c r="I1871" s="4">
        <v>40300</v>
      </c>
    </row>
    <row r="1872" spans="1:9" x14ac:dyDescent="0.3">
      <c r="A1872" s="2" t="s">
        <v>1904</v>
      </c>
      <c r="B1872" s="3">
        <v>45928</v>
      </c>
      <c r="C1872" s="2" t="s">
        <v>10</v>
      </c>
      <c r="D1872" s="2" t="s">
        <v>11</v>
      </c>
      <c r="E1872" s="2" t="s">
        <v>12</v>
      </c>
      <c r="F1872" s="2" t="s">
        <v>59</v>
      </c>
      <c r="G1872" s="2" t="s">
        <v>14</v>
      </c>
      <c r="H1872" s="4">
        <v>100490</v>
      </c>
      <c r="I1872" s="4">
        <v>98500</v>
      </c>
    </row>
    <row r="1873" spans="1:9" x14ac:dyDescent="0.3">
      <c r="A1873" s="2" t="s">
        <v>1905</v>
      </c>
      <c r="B1873" s="3">
        <v>45928</v>
      </c>
      <c r="C1873" s="2" t="s">
        <v>36</v>
      </c>
      <c r="D1873" s="2" t="s">
        <v>11</v>
      </c>
      <c r="E1873" s="2" t="s">
        <v>37</v>
      </c>
      <c r="F1873" s="2" t="s">
        <v>39</v>
      </c>
      <c r="G1873" s="2" t="s">
        <v>19</v>
      </c>
      <c r="H1873" s="4">
        <v>54463</v>
      </c>
      <c r="I1873" s="4">
        <v>58900</v>
      </c>
    </row>
    <row r="1874" spans="1:9" x14ac:dyDescent="0.3">
      <c r="A1874" s="2" t="s">
        <v>1906</v>
      </c>
      <c r="B1874" s="3">
        <v>45928</v>
      </c>
      <c r="C1874" s="2" t="s">
        <v>25</v>
      </c>
      <c r="D1874" s="2" t="s">
        <v>11</v>
      </c>
      <c r="E1874" s="2" t="s">
        <v>22</v>
      </c>
      <c r="F1874" s="2" t="s">
        <v>18</v>
      </c>
      <c r="G1874" s="2" t="s">
        <v>19</v>
      </c>
      <c r="H1874" s="4">
        <v>87824</v>
      </c>
      <c r="I1874" s="4">
        <v>86500</v>
      </c>
    </row>
    <row r="1875" spans="1:9" x14ac:dyDescent="0.3">
      <c r="A1875" s="2" t="s">
        <v>1907</v>
      </c>
      <c r="B1875" s="3">
        <v>45928</v>
      </c>
      <c r="C1875" s="2" t="s">
        <v>55</v>
      </c>
      <c r="D1875" s="2" t="s">
        <v>11</v>
      </c>
      <c r="E1875" s="2" t="s">
        <v>37</v>
      </c>
      <c r="F1875" s="2" t="s">
        <v>42</v>
      </c>
      <c r="G1875" s="2" t="s">
        <v>19</v>
      </c>
      <c r="H1875" s="4">
        <v>35034</v>
      </c>
      <c r="I1875" s="4">
        <v>35100</v>
      </c>
    </row>
    <row r="1876" spans="1:9" x14ac:dyDescent="0.3">
      <c r="A1876" s="2" t="s">
        <v>1908</v>
      </c>
      <c r="B1876" s="3">
        <v>45929</v>
      </c>
      <c r="C1876" s="2" t="s">
        <v>62</v>
      </c>
      <c r="D1876" s="2" t="s">
        <v>11</v>
      </c>
      <c r="E1876" s="2" t="s">
        <v>22</v>
      </c>
      <c r="F1876" s="2" t="s">
        <v>42</v>
      </c>
      <c r="G1876" s="2" t="s">
        <v>19</v>
      </c>
      <c r="H1876" s="4">
        <v>101736</v>
      </c>
      <c r="I1876" s="4">
        <v>89700</v>
      </c>
    </row>
    <row r="1877" spans="1:9" x14ac:dyDescent="0.3">
      <c r="A1877" s="2" t="s">
        <v>1909</v>
      </c>
      <c r="B1877" s="3">
        <v>45929</v>
      </c>
      <c r="C1877" s="2" t="s">
        <v>62</v>
      </c>
      <c r="D1877" s="2" t="s">
        <v>11</v>
      </c>
      <c r="E1877" s="2" t="s">
        <v>22</v>
      </c>
      <c r="F1877" s="2" t="s">
        <v>23</v>
      </c>
      <c r="G1877" s="2" t="s">
        <v>14</v>
      </c>
      <c r="H1877" s="4">
        <v>226378</v>
      </c>
      <c r="I1877" s="4">
        <v>239700</v>
      </c>
    </row>
    <row r="1878" spans="1:9" x14ac:dyDescent="0.3">
      <c r="A1878" s="2" t="s">
        <v>1910</v>
      </c>
      <c r="B1878" s="3">
        <v>45929</v>
      </c>
      <c r="C1878" s="2" t="s">
        <v>10</v>
      </c>
      <c r="D1878" s="2" t="s">
        <v>11</v>
      </c>
      <c r="E1878" s="2" t="s">
        <v>12</v>
      </c>
      <c r="F1878" s="2" t="s">
        <v>56</v>
      </c>
      <c r="G1878" s="2" t="s">
        <v>19</v>
      </c>
      <c r="H1878" s="4">
        <v>16385</v>
      </c>
      <c r="I1878" s="4">
        <v>17100</v>
      </c>
    </row>
    <row r="1879" spans="1:9" x14ac:dyDescent="0.3">
      <c r="A1879" s="2" t="s">
        <v>1911</v>
      </c>
      <c r="B1879" s="3">
        <v>45929</v>
      </c>
      <c r="C1879" s="2" t="s">
        <v>16</v>
      </c>
      <c r="D1879" s="2" t="s">
        <v>11</v>
      </c>
      <c r="E1879" s="2" t="s">
        <v>17</v>
      </c>
      <c r="F1879" s="2" t="s">
        <v>42</v>
      </c>
      <c r="G1879" s="2" t="s">
        <v>19</v>
      </c>
      <c r="H1879" s="4">
        <v>60916</v>
      </c>
      <c r="I1879" s="4">
        <v>60700</v>
      </c>
    </row>
    <row r="1880" spans="1:9" x14ac:dyDescent="0.3">
      <c r="A1880" s="2" t="s">
        <v>1912</v>
      </c>
      <c r="B1880" s="3">
        <v>45929</v>
      </c>
      <c r="C1880" s="2" t="s">
        <v>21</v>
      </c>
      <c r="D1880" s="2" t="s">
        <v>11</v>
      </c>
      <c r="E1880" s="2" t="s">
        <v>22</v>
      </c>
      <c r="F1880" s="2" t="s">
        <v>23</v>
      </c>
      <c r="G1880" s="2" t="s">
        <v>14</v>
      </c>
      <c r="H1880" s="4">
        <v>55362</v>
      </c>
      <c r="I1880" s="4">
        <v>58800</v>
      </c>
    </row>
    <row r="1881" spans="1:9" x14ac:dyDescent="0.3">
      <c r="A1881" s="2" t="s">
        <v>1913</v>
      </c>
      <c r="B1881" s="3">
        <v>45929</v>
      </c>
      <c r="C1881" s="2" t="s">
        <v>55</v>
      </c>
      <c r="D1881" s="2" t="s">
        <v>11</v>
      </c>
      <c r="E1881" s="2" t="s">
        <v>37</v>
      </c>
      <c r="F1881" s="2" t="s">
        <v>13</v>
      </c>
      <c r="G1881" s="2" t="s">
        <v>14</v>
      </c>
      <c r="H1881" s="4">
        <v>89851</v>
      </c>
      <c r="I1881" s="4">
        <v>97300</v>
      </c>
    </row>
    <row r="1882" spans="1:9" x14ac:dyDescent="0.3">
      <c r="A1882" s="2" t="s">
        <v>1914</v>
      </c>
      <c r="B1882" s="3">
        <v>45930</v>
      </c>
      <c r="C1882" s="2" t="s">
        <v>10</v>
      </c>
      <c r="D1882" s="2" t="s">
        <v>11</v>
      </c>
      <c r="E1882" s="2" t="s">
        <v>12</v>
      </c>
      <c r="F1882" s="2" t="s">
        <v>59</v>
      </c>
      <c r="G1882" s="2" t="s">
        <v>14</v>
      </c>
      <c r="H1882" s="4">
        <v>30844</v>
      </c>
      <c r="I1882" s="4">
        <v>34000</v>
      </c>
    </row>
    <row r="1883" spans="1:9" x14ac:dyDescent="0.3">
      <c r="A1883" s="2" t="s">
        <v>1915</v>
      </c>
      <c r="B1883" s="3">
        <v>45930</v>
      </c>
      <c r="C1883" s="2" t="s">
        <v>10</v>
      </c>
      <c r="D1883" s="2" t="s">
        <v>11</v>
      </c>
      <c r="E1883" s="2" t="s">
        <v>12</v>
      </c>
      <c r="F1883" s="2" t="s">
        <v>12</v>
      </c>
      <c r="G1883" s="2" t="s">
        <v>14</v>
      </c>
      <c r="H1883" s="4">
        <v>39270</v>
      </c>
      <c r="I1883" s="4">
        <v>43000</v>
      </c>
    </row>
    <row r="1884" spans="1:9" x14ac:dyDescent="0.3">
      <c r="A1884" s="2" t="s">
        <v>1916</v>
      </c>
      <c r="B1884" s="3">
        <v>45930</v>
      </c>
      <c r="C1884" s="2" t="s">
        <v>16</v>
      </c>
      <c r="D1884" s="2" t="s">
        <v>11</v>
      </c>
      <c r="E1884" s="2" t="s">
        <v>17</v>
      </c>
      <c r="F1884" s="2" t="s">
        <v>46</v>
      </c>
      <c r="G1884" s="2" t="s">
        <v>19</v>
      </c>
      <c r="H1884" s="4">
        <v>104408</v>
      </c>
      <c r="I1884" s="4">
        <v>111300</v>
      </c>
    </row>
    <row r="1885" spans="1:9" x14ac:dyDescent="0.3">
      <c r="A1885" s="2" t="s">
        <v>1917</v>
      </c>
      <c r="B1885" s="3">
        <v>45930</v>
      </c>
      <c r="C1885" s="2" t="s">
        <v>16</v>
      </c>
      <c r="D1885" s="2" t="s">
        <v>11</v>
      </c>
      <c r="E1885" s="2" t="s">
        <v>17</v>
      </c>
      <c r="F1885" s="2" t="s">
        <v>13</v>
      </c>
      <c r="G1885" s="2" t="s">
        <v>14</v>
      </c>
      <c r="H1885" s="4">
        <v>164889</v>
      </c>
      <c r="I1885" s="4">
        <v>150700</v>
      </c>
    </row>
    <row r="1886" spans="1:9" x14ac:dyDescent="0.3">
      <c r="A1886" s="2" t="s">
        <v>1918</v>
      </c>
      <c r="B1886" s="3">
        <v>45930</v>
      </c>
      <c r="C1886" s="2" t="s">
        <v>36</v>
      </c>
      <c r="D1886" s="2" t="s">
        <v>11</v>
      </c>
      <c r="E1886" s="2" t="s">
        <v>37</v>
      </c>
      <c r="F1886" s="2" t="s">
        <v>56</v>
      </c>
      <c r="G1886" s="2" t="s">
        <v>19</v>
      </c>
      <c r="H1886" s="4">
        <v>57844</v>
      </c>
      <c r="I1886" s="4">
        <v>50500</v>
      </c>
    </row>
    <row r="1887" spans="1:9" x14ac:dyDescent="0.3">
      <c r="A1887" s="2" t="s">
        <v>1919</v>
      </c>
      <c r="B1887" s="3">
        <v>45930</v>
      </c>
      <c r="C1887" s="2" t="s">
        <v>36</v>
      </c>
      <c r="D1887" s="2" t="s">
        <v>11</v>
      </c>
      <c r="E1887" s="2" t="s">
        <v>37</v>
      </c>
      <c r="F1887" s="2" t="s">
        <v>23</v>
      </c>
      <c r="G1887" s="2" t="s">
        <v>14</v>
      </c>
      <c r="H1887" s="4">
        <v>158276</v>
      </c>
      <c r="I1887" s="4">
        <v>169600</v>
      </c>
    </row>
    <row r="1888" spans="1:9" x14ac:dyDescent="0.3">
      <c r="A1888" s="2" t="s">
        <v>1920</v>
      </c>
      <c r="B1888" s="3">
        <v>45930</v>
      </c>
      <c r="C1888" s="2" t="s">
        <v>21</v>
      </c>
      <c r="D1888" s="2" t="s">
        <v>11</v>
      </c>
      <c r="E1888" s="2" t="s">
        <v>22</v>
      </c>
      <c r="F1888" s="2" t="s">
        <v>37</v>
      </c>
      <c r="G1888" s="2" t="s">
        <v>14</v>
      </c>
      <c r="H1888" s="4">
        <v>154602</v>
      </c>
      <c r="I1888" s="4">
        <v>173300</v>
      </c>
    </row>
    <row r="1889" spans="1:9" x14ac:dyDescent="0.3">
      <c r="A1889" s="2" t="s">
        <v>1921</v>
      </c>
      <c r="B1889" s="3">
        <v>45930</v>
      </c>
      <c r="C1889" s="2" t="s">
        <v>31</v>
      </c>
      <c r="D1889" s="2" t="s">
        <v>11</v>
      </c>
      <c r="E1889" s="2" t="s">
        <v>17</v>
      </c>
      <c r="F1889" s="2" t="s">
        <v>18</v>
      </c>
      <c r="G1889" s="2" t="s">
        <v>19</v>
      </c>
      <c r="H1889" s="4">
        <v>24993</v>
      </c>
      <c r="I1889" s="4">
        <v>25100</v>
      </c>
    </row>
    <row r="1890" spans="1:9" x14ac:dyDescent="0.3">
      <c r="A1890" s="2" t="s">
        <v>1922</v>
      </c>
      <c r="B1890" s="3">
        <v>45930</v>
      </c>
      <c r="C1890" s="2" t="s">
        <v>31</v>
      </c>
      <c r="D1890" s="2" t="s">
        <v>11</v>
      </c>
      <c r="E1890" s="2" t="s">
        <v>17</v>
      </c>
      <c r="F1890" s="2" t="s">
        <v>56</v>
      </c>
      <c r="G1890" s="2" t="s">
        <v>19</v>
      </c>
      <c r="H1890" s="4">
        <v>18795</v>
      </c>
      <c r="I1890" s="4">
        <v>17500</v>
      </c>
    </row>
    <row r="1891" spans="1:9" x14ac:dyDescent="0.3">
      <c r="A1891" s="2" t="s">
        <v>1923</v>
      </c>
      <c r="B1891" s="3">
        <v>45930</v>
      </c>
      <c r="C1891" s="2" t="s">
        <v>31</v>
      </c>
      <c r="D1891" s="2" t="s">
        <v>11</v>
      </c>
      <c r="E1891" s="2" t="s">
        <v>17</v>
      </c>
      <c r="F1891" s="2" t="s">
        <v>12</v>
      </c>
      <c r="G1891" s="2" t="s">
        <v>14</v>
      </c>
      <c r="H1891" s="4">
        <v>194995</v>
      </c>
      <c r="I1891" s="4">
        <v>187000</v>
      </c>
    </row>
    <row r="1892" spans="1:9" x14ac:dyDescent="0.3">
      <c r="A1892" s="2" t="s">
        <v>1924</v>
      </c>
      <c r="B1892" s="3">
        <v>45930</v>
      </c>
      <c r="C1892" s="2" t="s">
        <v>55</v>
      </c>
      <c r="D1892" s="2" t="s">
        <v>11</v>
      </c>
      <c r="E1892" s="2" t="s">
        <v>37</v>
      </c>
      <c r="F1892" s="2" t="s">
        <v>33</v>
      </c>
      <c r="G1892" s="2" t="s">
        <v>19</v>
      </c>
      <c r="H1892" s="4">
        <v>110441</v>
      </c>
      <c r="I1892" s="4">
        <v>95300</v>
      </c>
    </row>
    <row r="1893" spans="1:9" x14ac:dyDescent="0.3">
      <c r="A1893" s="2" t="s">
        <v>1925</v>
      </c>
      <c r="B1893" s="3">
        <v>45930</v>
      </c>
      <c r="C1893" s="2" t="s">
        <v>55</v>
      </c>
      <c r="D1893" s="2" t="s">
        <v>11</v>
      </c>
      <c r="E1893" s="2" t="s">
        <v>37</v>
      </c>
      <c r="F1893" s="2" t="s">
        <v>23</v>
      </c>
      <c r="G1893" s="2" t="s">
        <v>14</v>
      </c>
      <c r="H1893" s="4">
        <v>214358</v>
      </c>
      <c r="I1893" s="4">
        <v>215200</v>
      </c>
    </row>
    <row r="1894" spans="1:9" x14ac:dyDescent="0.3">
      <c r="A1894" s="2" t="s">
        <v>1926</v>
      </c>
      <c r="B1894" s="3">
        <v>45931</v>
      </c>
      <c r="C1894" s="2" t="s">
        <v>62</v>
      </c>
      <c r="D1894" s="2" t="s">
        <v>11</v>
      </c>
      <c r="E1894" s="2" t="s">
        <v>22</v>
      </c>
      <c r="F1894" s="2" t="s">
        <v>42</v>
      </c>
      <c r="G1894" s="2" t="s">
        <v>19</v>
      </c>
      <c r="H1894" s="4">
        <v>102523</v>
      </c>
      <c r="I1894" s="4">
        <v>83900</v>
      </c>
    </row>
    <row r="1895" spans="1:9" x14ac:dyDescent="0.3">
      <c r="A1895" s="2" t="s">
        <v>1927</v>
      </c>
      <c r="B1895" s="3">
        <v>45931</v>
      </c>
      <c r="C1895" s="2" t="s">
        <v>16</v>
      </c>
      <c r="D1895" s="2" t="s">
        <v>11</v>
      </c>
      <c r="E1895" s="2" t="s">
        <v>17</v>
      </c>
      <c r="F1895" s="2" t="s">
        <v>12</v>
      </c>
      <c r="G1895" s="2" t="s">
        <v>14</v>
      </c>
      <c r="H1895" s="4">
        <v>218071</v>
      </c>
      <c r="I1895" s="4">
        <v>245800</v>
      </c>
    </row>
    <row r="1896" spans="1:9" x14ac:dyDescent="0.3">
      <c r="A1896" s="2" t="s">
        <v>1928</v>
      </c>
      <c r="B1896" s="3">
        <v>45931</v>
      </c>
      <c r="C1896" s="2" t="s">
        <v>21</v>
      </c>
      <c r="D1896" s="2" t="s">
        <v>11</v>
      </c>
      <c r="E1896" s="2" t="s">
        <v>22</v>
      </c>
      <c r="F1896" s="2" t="s">
        <v>12</v>
      </c>
      <c r="G1896" s="2" t="s">
        <v>14</v>
      </c>
      <c r="H1896" s="4">
        <v>234510</v>
      </c>
      <c r="I1896" s="4">
        <v>234600</v>
      </c>
    </row>
    <row r="1897" spans="1:9" x14ac:dyDescent="0.3">
      <c r="A1897" s="2" t="s">
        <v>1929</v>
      </c>
      <c r="B1897" s="3">
        <v>45931</v>
      </c>
      <c r="C1897" s="2" t="s">
        <v>55</v>
      </c>
      <c r="D1897" s="2" t="s">
        <v>11</v>
      </c>
      <c r="E1897" s="2" t="s">
        <v>37</v>
      </c>
      <c r="F1897" s="2" t="s">
        <v>23</v>
      </c>
      <c r="G1897" s="2" t="s">
        <v>14</v>
      </c>
      <c r="H1897" s="4">
        <v>57261</v>
      </c>
      <c r="I1897" s="4">
        <v>55200</v>
      </c>
    </row>
    <row r="1898" spans="1:9" x14ac:dyDescent="0.3">
      <c r="A1898" s="2" t="s">
        <v>1930</v>
      </c>
      <c r="B1898" s="3">
        <v>45932</v>
      </c>
      <c r="C1898" s="2" t="s">
        <v>16</v>
      </c>
      <c r="D1898" s="2" t="s">
        <v>11</v>
      </c>
      <c r="E1898" s="2" t="s">
        <v>17</v>
      </c>
      <c r="F1898" s="2" t="s">
        <v>18</v>
      </c>
      <c r="G1898" s="2" t="s">
        <v>19</v>
      </c>
      <c r="H1898" s="4">
        <v>22166</v>
      </c>
      <c r="I1898" s="4">
        <v>18600</v>
      </c>
    </row>
    <row r="1899" spans="1:9" x14ac:dyDescent="0.3">
      <c r="A1899" s="2" t="s">
        <v>1931</v>
      </c>
      <c r="B1899" s="3">
        <v>45932</v>
      </c>
      <c r="C1899" s="2" t="s">
        <v>16</v>
      </c>
      <c r="D1899" s="2" t="s">
        <v>11</v>
      </c>
      <c r="E1899" s="2" t="s">
        <v>17</v>
      </c>
      <c r="F1899" s="2" t="s">
        <v>59</v>
      </c>
      <c r="G1899" s="2" t="s">
        <v>14</v>
      </c>
      <c r="H1899" s="4">
        <v>42023</v>
      </c>
      <c r="I1899" s="4">
        <v>44300</v>
      </c>
    </row>
    <row r="1900" spans="1:9" x14ac:dyDescent="0.3">
      <c r="A1900" s="2" t="s">
        <v>1932</v>
      </c>
      <c r="B1900" s="3">
        <v>45932</v>
      </c>
      <c r="C1900" s="2" t="s">
        <v>36</v>
      </c>
      <c r="D1900" s="2" t="s">
        <v>11</v>
      </c>
      <c r="E1900" s="2" t="s">
        <v>37</v>
      </c>
      <c r="F1900" s="2" t="s">
        <v>39</v>
      </c>
      <c r="G1900" s="2" t="s">
        <v>19</v>
      </c>
      <c r="H1900" s="4">
        <v>83758</v>
      </c>
      <c r="I1900" s="4">
        <v>83800</v>
      </c>
    </row>
    <row r="1901" spans="1:9" x14ac:dyDescent="0.3">
      <c r="A1901" s="2" t="s">
        <v>1933</v>
      </c>
      <c r="B1901" s="3">
        <v>45932</v>
      </c>
      <c r="C1901" s="2" t="s">
        <v>36</v>
      </c>
      <c r="D1901" s="2" t="s">
        <v>11</v>
      </c>
      <c r="E1901" s="2" t="s">
        <v>37</v>
      </c>
      <c r="F1901" s="2" t="s">
        <v>23</v>
      </c>
      <c r="G1901" s="2" t="s">
        <v>14</v>
      </c>
      <c r="H1901" s="4">
        <v>190449</v>
      </c>
      <c r="I1901" s="4">
        <v>206000</v>
      </c>
    </row>
    <row r="1902" spans="1:9" x14ac:dyDescent="0.3">
      <c r="A1902" s="2" t="s">
        <v>1934</v>
      </c>
      <c r="B1902" s="3">
        <v>45932</v>
      </c>
      <c r="C1902" s="2" t="s">
        <v>21</v>
      </c>
      <c r="D1902" s="2" t="s">
        <v>11</v>
      </c>
      <c r="E1902" s="2" t="s">
        <v>22</v>
      </c>
      <c r="F1902" s="2" t="s">
        <v>46</v>
      </c>
      <c r="G1902" s="2" t="s">
        <v>19</v>
      </c>
      <c r="H1902" s="4">
        <v>88486</v>
      </c>
      <c r="I1902" s="4">
        <v>82300</v>
      </c>
    </row>
    <row r="1903" spans="1:9" x14ac:dyDescent="0.3">
      <c r="A1903" s="2" t="s">
        <v>1935</v>
      </c>
      <c r="B1903" s="3">
        <v>45932</v>
      </c>
      <c r="C1903" s="2" t="s">
        <v>25</v>
      </c>
      <c r="D1903" s="2" t="s">
        <v>11</v>
      </c>
      <c r="E1903" s="2" t="s">
        <v>22</v>
      </c>
      <c r="F1903" s="2" t="s">
        <v>26</v>
      </c>
      <c r="G1903" s="2" t="s">
        <v>14</v>
      </c>
      <c r="H1903" s="4">
        <v>171980</v>
      </c>
      <c r="I1903" s="4">
        <v>176800</v>
      </c>
    </row>
    <row r="1904" spans="1:9" x14ac:dyDescent="0.3">
      <c r="A1904" s="2" t="s">
        <v>1936</v>
      </c>
      <c r="B1904" s="3">
        <v>45932</v>
      </c>
      <c r="C1904" s="2" t="s">
        <v>31</v>
      </c>
      <c r="D1904" s="2" t="s">
        <v>11</v>
      </c>
      <c r="E1904" s="2" t="s">
        <v>17</v>
      </c>
      <c r="F1904" s="2" t="s">
        <v>23</v>
      </c>
      <c r="G1904" s="2" t="s">
        <v>14</v>
      </c>
      <c r="H1904" s="4">
        <v>203341</v>
      </c>
      <c r="I1904" s="4">
        <v>176500</v>
      </c>
    </row>
    <row r="1905" spans="1:9" x14ac:dyDescent="0.3">
      <c r="A1905" s="2" t="s">
        <v>1937</v>
      </c>
      <c r="B1905" s="3">
        <v>45932</v>
      </c>
      <c r="C1905" s="2" t="s">
        <v>55</v>
      </c>
      <c r="D1905" s="2" t="s">
        <v>11</v>
      </c>
      <c r="E1905" s="2" t="s">
        <v>37</v>
      </c>
      <c r="F1905" s="2" t="s">
        <v>13</v>
      </c>
      <c r="G1905" s="2" t="s">
        <v>14</v>
      </c>
      <c r="H1905" s="4">
        <v>157278</v>
      </c>
      <c r="I1905" s="4">
        <v>157400</v>
      </c>
    </row>
    <row r="1906" spans="1:9" x14ac:dyDescent="0.3">
      <c r="A1906" s="2" t="s">
        <v>1938</v>
      </c>
      <c r="B1906" s="3">
        <v>45933</v>
      </c>
      <c r="C1906" s="2" t="s">
        <v>62</v>
      </c>
      <c r="D1906" s="2" t="s">
        <v>11</v>
      </c>
      <c r="E1906" s="2" t="s">
        <v>22</v>
      </c>
      <c r="F1906" s="2" t="s">
        <v>18</v>
      </c>
      <c r="G1906" s="2" t="s">
        <v>19</v>
      </c>
      <c r="H1906" s="4">
        <v>52974</v>
      </c>
      <c r="I1906" s="4">
        <v>51900</v>
      </c>
    </row>
    <row r="1907" spans="1:9" x14ac:dyDescent="0.3">
      <c r="A1907" s="2" t="s">
        <v>1939</v>
      </c>
      <c r="B1907" s="3">
        <v>45933</v>
      </c>
      <c r="C1907" s="2" t="s">
        <v>62</v>
      </c>
      <c r="D1907" s="2" t="s">
        <v>11</v>
      </c>
      <c r="E1907" s="2" t="s">
        <v>22</v>
      </c>
      <c r="F1907" s="2" t="s">
        <v>12</v>
      </c>
      <c r="G1907" s="2" t="s">
        <v>14</v>
      </c>
      <c r="H1907" s="4">
        <v>99999</v>
      </c>
      <c r="I1907" s="4">
        <v>97700</v>
      </c>
    </row>
    <row r="1908" spans="1:9" x14ac:dyDescent="0.3">
      <c r="A1908" s="2" t="s">
        <v>1940</v>
      </c>
      <c r="B1908" s="3">
        <v>45933</v>
      </c>
      <c r="C1908" s="2" t="s">
        <v>10</v>
      </c>
      <c r="D1908" s="2" t="s">
        <v>11</v>
      </c>
      <c r="E1908" s="2" t="s">
        <v>12</v>
      </c>
      <c r="F1908" s="2" t="s">
        <v>33</v>
      </c>
      <c r="G1908" s="2" t="s">
        <v>19</v>
      </c>
      <c r="H1908" s="4">
        <v>73977</v>
      </c>
      <c r="I1908" s="4">
        <v>74000</v>
      </c>
    </row>
    <row r="1909" spans="1:9" x14ac:dyDescent="0.3">
      <c r="A1909" s="2" t="s">
        <v>1941</v>
      </c>
      <c r="B1909" s="3">
        <v>45933</v>
      </c>
      <c r="C1909" s="2" t="s">
        <v>10</v>
      </c>
      <c r="D1909" s="2" t="s">
        <v>11</v>
      </c>
      <c r="E1909" s="2" t="s">
        <v>12</v>
      </c>
      <c r="F1909" s="2" t="s">
        <v>39</v>
      </c>
      <c r="G1909" s="2" t="s">
        <v>19</v>
      </c>
      <c r="H1909" s="4">
        <v>72721</v>
      </c>
      <c r="I1909" s="4">
        <v>69700</v>
      </c>
    </row>
    <row r="1910" spans="1:9" x14ac:dyDescent="0.3">
      <c r="A1910" s="2" t="s">
        <v>1942</v>
      </c>
      <c r="B1910" s="3">
        <v>45933</v>
      </c>
      <c r="C1910" s="2" t="s">
        <v>25</v>
      </c>
      <c r="D1910" s="2" t="s">
        <v>11</v>
      </c>
      <c r="E1910" s="2" t="s">
        <v>22</v>
      </c>
      <c r="F1910" s="2" t="s">
        <v>18</v>
      </c>
      <c r="G1910" s="2" t="s">
        <v>19</v>
      </c>
      <c r="H1910" s="4">
        <v>89293</v>
      </c>
      <c r="I1910" s="4">
        <v>70400</v>
      </c>
    </row>
    <row r="1911" spans="1:9" x14ac:dyDescent="0.3">
      <c r="A1911" s="2" t="s">
        <v>1943</v>
      </c>
      <c r="B1911" s="3">
        <v>45933</v>
      </c>
      <c r="C1911" s="2" t="s">
        <v>55</v>
      </c>
      <c r="D1911" s="2" t="s">
        <v>11</v>
      </c>
      <c r="E1911" s="2" t="s">
        <v>37</v>
      </c>
      <c r="F1911" s="2" t="s">
        <v>37</v>
      </c>
      <c r="G1911" s="2" t="s">
        <v>14</v>
      </c>
      <c r="H1911" s="4">
        <v>178912</v>
      </c>
      <c r="I1911" s="4">
        <v>150100</v>
      </c>
    </row>
    <row r="1912" spans="1:9" x14ac:dyDescent="0.3">
      <c r="A1912" s="2" t="s">
        <v>1944</v>
      </c>
      <c r="B1912" s="3">
        <v>45934</v>
      </c>
      <c r="C1912" s="2" t="s">
        <v>62</v>
      </c>
      <c r="D1912" s="2" t="s">
        <v>11</v>
      </c>
      <c r="E1912" s="2" t="s">
        <v>22</v>
      </c>
      <c r="F1912" s="2" t="s">
        <v>46</v>
      </c>
      <c r="G1912" s="2" t="s">
        <v>19</v>
      </c>
      <c r="H1912" s="4">
        <v>110748</v>
      </c>
      <c r="I1912" s="4">
        <v>103900</v>
      </c>
    </row>
    <row r="1913" spans="1:9" x14ac:dyDescent="0.3">
      <c r="A1913" s="2" t="s">
        <v>1945</v>
      </c>
      <c r="B1913" s="3">
        <v>45934</v>
      </c>
      <c r="C1913" s="2" t="s">
        <v>62</v>
      </c>
      <c r="D1913" s="2" t="s">
        <v>11</v>
      </c>
      <c r="E1913" s="2" t="s">
        <v>22</v>
      </c>
      <c r="F1913" s="2" t="s">
        <v>37</v>
      </c>
      <c r="G1913" s="2" t="s">
        <v>14</v>
      </c>
      <c r="H1913" s="4">
        <v>100001</v>
      </c>
      <c r="I1913" s="4">
        <v>107800</v>
      </c>
    </row>
    <row r="1914" spans="1:9" x14ac:dyDescent="0.3">
      <c r="A1914" s="2" t="s">
        <v>1946</v>
      </c>
      <c r="B1914" s="3">
        <v>45934</v>
      </c>
      <c r="C1914" s="2" t="s">
        <v>16</v>
      </c>
      <c r="D1914" s="2" t="s">
        <v>11</v>
      </c>
      <c r="E1914" s="2" t="s">
        <v>17</v>
      </c>
      <c r="F1914" s="2" t="s">
        <v>37</v>
      </c>
      <c r="G1914" s="2" t="s">
        <v>14</v>
      </c>
      <c r="H1914" s="4">
        <v>176570</v>
      </c>
      <c r="I1914" s="4">
        <v>175500</v>
      </c>
    </row>
    <row r="1915" spans="1:9" x14ac:dyDescent="0.3">
      <c r="A1915" s="2" t="s">
        <v>1947</v>
      </c>
      <c r="B1915" s="3">
        <v>45934</v>
      </c>
      <c r="C1915" s="2" t="s">
        <v>36</v>
      </c>
      <c r="D1915" s="2" t="s">
        <v>11</v>
      </c>
      <c r="E1915" s="2" t="s">
        <v>37</v>
      </c>
      <c r="F1915" s="2" t="s">
        <v>18</v>
      </c>
      <c r="G1915" s="2" t="s">
        <v>19</v>
      </c>
      <c r="H1915" s="4">
        <v>51230</v>
      </c>
      <c r="I1915" s="4">
        <v>54300</v>
      </c>
    </row>
    <row r="1916" spans="1:9" x14ac:dyDescent="0.3">
      <c r="A1916" s="2" t="s">
        <v>1948</v>
      </c>
      <c r="B1916" s="3">
        <v>45934</v>
      </c>
      <c r="C1916" s="2" t="s">
        <v>36</v>
      </c>
      <c r="D1916" s="2" t="s">
        <v>11</v>
      </c>
      <c r="E1916" s="2" t="s">
        <v>37</v>
      </c>
      <c r="F1916" s="2" t="s">
        <v>12</v>
      </c>
      <c r="G1916" s="2" t="s">
        <v>14</v>
      </c>
      <c r="H1916" s="4">
        <v>167272</v>
      </c>
      <c r="I1916" s="4">
        <v>165800</v>
      </c>
    </row>
    <row r="1917" spans="1:9" x14ac:dyDescent="0.3">
      <c r="A1917" s="2" t="s">
        <v>1949</v>
      </c>
      <c r="B1917" s="3">
        <v>45934</v>
      </c>
      <c r="C1917" s="2" t="s">
        <v>36</v>
      </c>
      <c r="D1917" s="2" t="s">
        <v>11</v>
      </c>
      <c r="E1917" s="2" t="s">
        <v>37</v>
      </c>
      <c r="F1917" s="2" t="s">
        <v>13</v>
      </c>
      <c r="G1917" s="2" t="s">
        <v>14</v>
      </c>
      <c r="H1917" s="4">
        <v>127702</v>
      </c>
      <c r="I1917" s="4">
        <v>132700</v>
      </c>
    </row>
    <row r="1918" spans="1:9" x14ac:dyDescent="0.3">
      <c r="A1918" s="2" t="s">
        <v>1950</v>
      </c>
      <c r="B1918" s="3">
        <v>45934</v>
      </c>
      <c r="C1918" s="2" t="s">
        <v>36</v>
      </c>
      <c r="D1918" s="2" t="s">
        <v>11</v>
      </c>
      <c r="E1918" s="2" t="s">
        <v>37</v>
      </c>
      <c r="F1918" s="2" t="s">
        <v>26</v>
      </c>
      <c r="G1918" s="2" t="s">
        <v>14</v>
      </c>
      <c r="H1918" s="4">
        <v>83782</v>
      </c>
      <c r="I1918" s="4">
        <v>88900</v>
      </c>
    </row>
    <row r="1919" spans="1:9" x14ac:dyDescent="0.3">
      <c r="A1919" s="2" t="s">
        <v>1951</v>
      </c>
      <c r="B1919" s="3">
        <v>45934</v>
      </c>
      <c r="C1919" s="2" t="s">
        <v>21</v>
      </c>
      <c r="D1919" s="2" t="s">
        <v>11</v>
      </c>
      <c r="E1919" s="2" t="s">
        <v>22</v>
      </c>
      <c r="F1919" s="2" t="s">
        <v>59</v>
      </c>
      <c r="G1919" s="2" t="s">
        <v>14</v>
      </c>
      <c r="H1919" s="4">
        <v>58361</v>
      </c>
      <c r="I1919" s="4">
        <v>65000</v>
      </c>
    </row>
    <row r="1920" spans="1:9" x14ac:dyDescent="0.3">
      <c r="A1920" s="2" t="s">
        <v>1952</v>
      </c>
      <c r="B1920" s="3">
        <v>45934</v>
      </c>
      <c r="C1920" s="2" t="s">
        <v>21</v>
      </c>
      <c r="D1920" s="2" t="s">
        <v>11</v>
      </c>
      <c r="E1920" s="2" t="s">
        <v>22</v>
      </c>
      <c r="F1920" s="2" t="s">
        <v>59</v>
      </c>
      <c r="G1920" s="2" t="s">
        <v>14</v>
      </c>
      <c r="H1920" s="4">
        <v>178011</v>
      </c>
      <c r="I1920" s="4">
        <v>170600</v>
      </c>
    </row>
    <row r="1921" spans="1:9" x14ac:dyDescent="0.3">
      <c r="A1921" s="2" t="s">
        <v>1953</v>
      </c>
      <c r="B1921" s="3">
        <v>45934</v>
      </c>
      <c r="C1921" s="2" t="s">
        <v>25</v>
      </c>
      <c r="D1921" s="2" t="s">
        <v>11</v>
      </c>
      <c r="E1921" s="2" t="s">
        <v>22</v>
      </c>
      <c r="F1921" s="2" t="s">
        <v>18</v>
      </c>
      <c r="G1921" s="2" t="s">
        <v>19</v>
      </c>
      <c r="H1921" s="4">
        <v>84984</v>
      </c>
      <c r="I1921" s="4">
        <v>100100</v>
      </c>
    </row>
    <row r="1922" spans="1:9" x14ac:dyDescent="0.3">
      <c r="A1922" s="2" t="s">
        <v>1954</v>
      </c>
      <c r="B1922" s="3">
        <v>45934</v>
      </c>
      <c r="C1922" s="2" t="s">
        <v>31</v>
      </c>
      <c r="D1922" s="2" t="s">
        <v>11</v>
      </c>
      <c r="E1922" s="2" t="s">
        <v>17</v>
      </c>
      <c r="F1922" s="2" t="s">
        <v>12</v>
      </c>
      <c r="G1922" s="2" t="s">
        <v>14</v>
      </c>
      <c r="H1922" s="4">
        <v>54532</v>
      </c>
      <c r="I1922" s="4">
        <v>49600</v>
      </c>
    </row>
    <row r="1923" spans="1:9" x14ac:dyDescent="0.3">
      <c r="A1923" s="2" t="s">
        <v>1955</v>
      </c>
      <c r="B1923" s="3">
        <v>45935</v>
      </c>
      <c r="C1923" s="2" t="s">
        <v>62</v>
      </c>
      <c r="D1923" s="2" t="s">
        <v>11</v>
      </c>
      <c r="E1923" s="2" t="s">
        <v>22</v>
      </c>
      <c r="F1923" s="2" t="s">
        <v>12</v>
      </c>
      <c r="G1923" s="2" t="s">
        <v>14</v>
      </c>
      <c r="H1923" s="4">
        <v>29944</v>
      </c>
      <c r="I1923" s="4">
        <v>29700</v>
      </c>
    </row>
    <row r="1924" spans="1:9" x14ac:dyDescent="0.3">
      <c r="A1924" s="2" t="s">
        <v>1956</v>
      </c>
      <c r="B1924" s="3">
        <v>45935</v>
      </c>
      <c r="C1924" s="2" t="s">
        <v>62</v>
      </c>
      <c r="D1924" s="2" t="s">
        <v>11</v>
      </c>
      <c r="E1924" s="2" t="s">
        <v>22</v>
      </c>
      <c r="F1924" s="2" t="s">
        <v>37</v>
      </c>
      <c r="G1924" s="2" t="s">
        <v>14</v>
      </c>
      <c r="H1924" s="4">
        <v>190469</v>
      </c>
      <c r="I1924" s="4">
        <v>209800</v>
      </c>
    </row>
    <row r="1925" spans="1:9" x14ac:dyDescent="0.3">
      <c r="A1925" s="2" t="s">
        <v>1957</v>
      </c>
      <c r="B1925" s="3">
        <v>45935</v>
      </c>
      <c r="C1925" s="2" t="s">
        <v>10</v>
      </c>
      <c r="D1925" s="2" t="s">
        <v>11</v>
      </c>
      <c r="E1925" s="2" t="s">
        <v>12</v>
      </c>
      <c r="F1925" s="2" t="s">
        <v>46</v>
      </c>
      <c r="G1925" s="2" t="s">
        <v>19</v>
      </c>
      <c r="H1925" s="4">
        <v>47420</v>
      </c>
      <c r="I1925" s="4">
        <v>53300</v>
      </c>
    </row>
    <row r="1926" spans="1:9" x14ac:dyDescent="0.3">
      <c r="A1926" s="2" t="s">
        <v>1958</v>
      </c>
      <c r="B1926" s="3">
        <v>45935</v>
      </c>
      <c r="C1926" s="2" t="s">
        <v>16</v>
      </c>
      <c r="D1926" s="2" t="s">
        <v>11</v>
      </c>
      <c r="E1926" s="2" t="s">
        <v>17</v>
      </c>
      <c r="F1926" s="2" t="s">
        <v>42</v>
      </c>
      <c r="G1926" s="2" t="s">
        <v>19</v>
      </c>
      <c r="H1926" s="4">
        <v>28170</v>
      </c>
      <c r="I1926" s="4">
        <v>28800</v>
      </c>
    </row>
    <row r="1927" spans="1:9" x14ac:dyDescent="0.3">
      <c r="A1927" s="2" t="s">
        <v>1959</v>
      </c>
      <c r="B1927" s="3">
        <v>45935</v>
      </c>
      <c r="C1927" s="2" t="s">
        <v>16</v>
      </c>
      <c r="D1927" s="2" t="s">
        <v>11</v>
      </c>
      <c r="E1927" s="2" t="s">
        <v>17</v>
      </c>
      <c r="F1927" s="2" t="s">
        <v>12</v>
      </c>
      <c r="G1927" s="2" t="s">
        <v>14</v>
      </c>
      <c r="H1927" s="4">
        <v>230871</v>
      </c>
      <c r="I1927" s="4">
        <v>245400</v>
      </c>
    </row>
    <row r="1928" spans="1:9" x14ac:dyDescent="0.3">
      <c r="A1928" s="2" t="s">
        <v>1960</v>
      </c>
      <c r="B1928" s="3">
        <v>45935</v>
      </c>
      <c r="C1928" s="2" t="s">
        <v>36</v>
      </c>
      <c r="D1928" s="2" t="s">
        <v>11</v>
      </c>
      <c r="E1928" s="2" t="s">
        <v>37</v>
      </c>
      <c r="F1928" s="2" t="s">
        <v>59</v>
      </c>
      <c r="G1928" s="2" t="s">
        <v>14</v>
      </c>
      <c r="H1928" s="4">
        <v>119366</v>
      </c>
      <c r="I1928" s="4">
        <v>124100</v>
      </c>
    </row>
    <row r="1929" spans="1:9" x14ac:dyDescent="0.3">
      <c r="A1929" s="2" t="s">
        <v>1961</v>
      </c>
      <c r="B1929" s="3">
        <v>45935</v>
      </c>
      <c r="C1929" s="2" t="s">
        <v>21</v>
      </c>
      <c r="D1929" s="2" t="s">
        <v>11</v>
      </c>
      <c r="E1929" s="2" t="s">
        <v>22</v>
      </c>
      <c r="F1929" s="2" t="s">
        <v>33</v>
      </c>
      <c r="G1929" s="2" t="s">
        <v>19</v>
      </c>
      <c r="H1929" s="4">
        <v>90378</v>
      </c>
      <c r="I1929" s="4">
        <v>102700</v>
      </c>
    </row>
    <row r="1930" spans="1:9" x14ac:dyDescent="0.3">
      <c r="A1930" s="2" t="s">
        <v>1962</v>
      </c>
      <c r="B1930" s="3">
        <v>45935</v>
      </c>
      <c r="C1930" s="2" t="s">
        <v>31</v>
      </c>
      <c r="D1930" s="2" t="s">
        <v>11</v>
      </c>
      <c r="E1930" s="2" t="s">
        <v>17</v>
      </c>
      <c r="F1930" s="2" t="s">
        <v>37</v>
      </c>
      <c r="G1930" s="2" t="s">
        <v>14</v>
      </c>
      <c r="H1930" s="4">
        <v>53332</v>
      </c>
      <c r="I1930" s="4">
        <v>52300</v>
      </c>
    </row>
    <row r="1931" spans="1:9" x14ac:dyDescent="0.3">
      <c r="A1931" s="2" t="s">
        <v>1963</v>
      </c>
      <c r="B1931" s="3">
        <v>45935</v>
      </c>
      <c r="C1931" s="2" t="s">
        <v>31</v>
      </c>
      <c r="D1931" s="2" t="s">
        <v>11</v>
      </c>
      <c r="E1931" s="2" t="s">
        <v>17</v>
      </c>
      <c r="F1931" s="2" t="s">
        <v>37</v>
      </c>
      <c r="G1931" s="2" t="s">
        <v>14</v>
      </c>
      <c r="H1931" s="4">
        <v>177783</v>
      </c>
      <c r="I1931" s="4">
        <v>165500</v>
      </c>
    </row>
    <row r="1932" spans="1:9" x14ac:dyDescent="0.3">
      <c r="A1932" s="2" t="s">
        <v>1964</v>
      </c>
      <c r="B1932" s="3">
        <v>45935</v>
      </c>
      <c r="C1932" s="2" t="s">
        <v>55</v>
      </c>
      <c r="D1932" s="2" t="s">
        <v>11</v>
      </c>
      <c r="E1932" s="2" t="s">
        <v>37</v>
      </c>
      <c r="F1932" s="2" t="s">
        <v>33</v>
      </c>
      <c r="G1932" s="2" t="s">
        <v>19</v>
      </c>
      <c r="H1932" s="4">
        <v>115832</v>
      </c>
      <c r="I1932" s="4">
        <v>115200</v>
      </c>
    </row>
    <row r="1933" spans="1:9" x14ac:dyDescent="0.3">
      <c r="A1933" s="2" t="s">
        <v>1965</v>
      </c>
      <c r="B1933" s="3">
        <v>45936</v>
      </c>
      <c r="C1933" s="2" t="s">
        <v>62</v>
      </c>
      <c r="D1933" s="2" t="s">
        <v>11</v>
      </c>
      <c r="E1933" s="2" t="s">
        <v>22</v>
      </c>
      <c r="F1933" s="2" t="s">
        <v>39</v>
      </c>
      <c r="G1933" s="2" t="s">
        <v>19</v>
      </c>
      <c r="H1933" s="4">
        <v>33017</v>
      </c>
      <c r="I1933" s="4">
        <v>33400</v>
      </c>
    </row>
    <row r="1934" spans="1:9" x14ac:dyDescent="0.3">
      <c r="A1934" s="2" t="s">
        <v>1966</v>
      </c>
      <c r="B1934" s="3">
        <v>45936</v>
      </c>
      <c r="C1934" s="2" t="s">
        <v>62</v>
      </c>
      <c r="D1934" s="2" t="s">
        <v>11</v>
      </c>
      <c r="E1934" s="2" t="s">
        <v>22</v>
      </c>
      <c r="F1934" s="2" t="s">
        <v>59</v>
      </c>
      <c r="G1934" s="2" t="s">
        <v>14</v>
      </c>
      <c r="H1934" s="4">
        <v>177297</v>
      </c>
      <c r="I1934" s="4">
        <v>173400</v>
      </c>
    </row>
    <row r="1935" spans="1:9" x14ac:dyDescent="0.3">
      <c r="A1935" s="2" t="s">
        <v>1967</v>
      </c>
      <c r="B1935" s="3">
        <v>45936</v>
      </c>
      <c r="C1935" s="2" t="s">
        <v>10</v>
      </c>
      <c r="D1935" s="2" t="s">
        <v>11</v>
      </c>
      <c r="E1935" s="2" t="s">
        <v>12</v>
      </c>
      <c r="F1935" s="2" t="s">
        <v>56</v>
      </c>
      <c r="G1935" s="2" t="s">
        <v>19</v>
      </c>
      <c r="H1935" s="4">
        <v>12344</v>
      </c>
      <c r="I1935" s="4">
        <v>11200</v>
      </c>
    </row>
    <row r="1936" spans="1:9" x14ac:dyDescent="0.3">
      <c r="A1936" s="2" t="s">
        <v>1968</v>
      </c>
      <c r="B1936" s="3">
        <v>45936</v>
      </c>
      <c r="C1936" s="2" t="s">
        <v>10</v>
      </c>
      <c r="D1936" s="2" t="s">
        <v>11</v>
      </c>
      <c r="E1936" s="2" t="s">
        <v>12</v>
      </c>
      <c r="F1936" s="2" t="s">
        <v>23</v>
      </c>
      <c r="G1936" s="2" t="s">
        <v>14</v>
      </c>
      <c r="H1936" s="4">
        <v>123353</v>
      </c>
      <c r="I1936" s="4">
        <v>119100</v>
      </c>
    </row>
    <row r="1937" spans="1:9" x14ac:dyDescent="0.3">
      <c r="A1937" s="2" t="s">
        <v>1969</v>
      </c>
      <c r="B1937" s="3">
        <v>45936</v>
      </c>
      <c r="C1937" s="2" t="s">
        <v>16</v>
      </c>
      <c r="D1937" s="2" t="s">
        <v>11</v>
      </c>
      <c r="E1937" s="2" t="s">
        <v>17</v>
      </c>
      <c r="F1937" s="2" t="s">
        <v>23</v>
      </c>
      <c r="G1937" s="2" t="s">
        <v>14</v>
      </c>
      <c r="H1937" s="4">
        <v>166278</v>
      </c>
      <c r="I1937" s="4">
        <v>176600</v>
      </c>
    </row>
    <row r="1938" spans="1:9" x14ac:dyDescent="0.3">
      <c r="A1938" s="2" t="s">
        <v>1970</v>
      </c>
      <c r="B1938" s="3">
        <v>45936</v>
      </c>
      <c r="C1938" s="2" t="s">
        <v>36</v>
      </c>
      <c r="D1938" s="2" t="s">
        <v>11</v>
      </c>
      <c r="E1938" s="2" t="s">
        <v>37</v>
      </c>
      <c r="F1938" s="2" t="s">
        <v>46</v>
      </c>
      <c r="G1938" s="2" t="s">
        <v>19</v>
      </c>
      <c r="H1938" s="4">
        <v>35326</v>
      </c>
      <c r="I1938" s="4">
        <v>35100</v>
      </c>
    </row>
    <row r="1939" spans="1:9" x14ac:dyDescent="0.3">
      <c r="A1939" s="2" t="s">
        <v>1971</v>
      </c>
      <c r="B1939" s="3">
        <v>45936</v>
      </c>
      <c r="C1939" s="2" t="s">
        <v>36</v>
      </c>
      <c r="D1939" s="2" t="s">
        <v>11</v>
      </c>
      <c r="E1939" s="2" t="s">
        <v>37</v>
      </c>
      <c r="F1939" s="2" t="s">
        <v>12</v>
      </c>
      <c r="G1939" s="2" t="s">
        <v>14</v>
      </c>
      <c r="H1939" s="4">
        <v>217888</v>
      </c>
      <c r="I1939" s="4">
        <v>236200</v>
      </c>
    </row>
    <row r="1940" spans="1:9" x14ac:dyDescent="0.3">
      <c r="A1940" s="2" t="s">
        <v>1972</v>
      </c>
      <c r="B1940" s="3">
        <v>45936</v>
      </c>
      <c r="C1940" s="2" t="s">
        <v>25</v>
      </c>
      <c r="D1940" s="2" t="s">
        <v>11</v>
      </c>
      <c r="E1940" s="2" t="s">
        <v>22</v>
      </c>
      <c r="F1940" s="2" t="s">
        <v>26</v>
      </c>
      <c r="G1940" s="2" t="s">
        <v>14</v>
      </c>
      <c r="H1940" s="4">
        <v>204515</v>
      </c>
      <c r="I1940" s="4">
        <v>174300</v>
      </c>
    </row>
    <row r="1941" spans="1:9" x14ac:dyDescent="0.3">
      <c r="A1941" s="2" t="s">
        <v>1973</v>
      </c>
      <c r="B1941" s="3">
        <v>45936</v>
      </c>
      <c r="C1941" s="2" t="s">
        <v>31</v>
      </c>
      <c r="D1941" s="2" t="s">
        <v>11</v>
      </c>
      <c r="E1941" s="2" t="s">
        <v>17</v>
      </c>
      <c r="F1941" s="2" t="s">
        <v>18</v>
      </c>
      <c r="G1941" s="2" t="s">
        <v>19</v>
      </c>
      <c r="H1941" s="4">
        <v>44475</v>
      </c>
      <c r="I1941" s="4">
        <v>41600</v>
      </c>
    </row>
    <row r="1942" spans="1:9" x14ac:dyDescent="0.3">
      <c r="A1942" s="2" t="s">
        <v>1974</v>
      </c>
      <c r="B1942" s="3">
        <v>45937</v>
      </c>
      <c r="C1942" s="2" t="s">
        <v>62</v>
      </c>
      <c r="D1942" s="2" t="s">
        <v>11</v>
      </c>
      <c r="E1942" s="2" t="s">
        <v>22</v>
      </c>
      <c r="F1942" s="2" t="s">
        <v>13</v>
      </c>
      <c r="G1942" s="2" t="s">
        <v>14</v>
      </c>
      <c r="H1942" s="4">
        <v>156415</v>
      </c>
      <c r="I1942" s="4">
        <v>148900</v>
      </c>
    </row>
    <row r="1943" spans="1:9" x14ac:dyDescent="0.3">
      <c r="A1943" s="2" t="s">
        <v>1975</v>
      </c>
      <c r="B1943" s="3">
        <v>45937</v>
      </c>
      <c r="C1943" s="2" t="s">
        <v>36</v>
      </c>
      <c r="D1943" s="2" t="s">
        <v>11</v>
      </c>
      <c r="E1943" s="2" t="s">
        <v>37</v>
      </c>
      <c r="F1943" s="2" t="s">
        <v>42</v>
      </c>
      <c r="G1943" s="2" t="s">
        <v>19</v>
      </c>
      <c r="H1943" s="4">
        <v>102749</v>
      </c>
      <c r="I1943" s="4">
        <v>120000</v>
      </c>
    </row>
    <row r="1944" spans="1:9" x14ac:dyDescent="0.3">
      <c r="A1944" s="2" t="s">
        <v>1976</v>
      </c>
      <c r="B1944" s="3">
        <v>45937</v>
      </c>
      <c r="C1944" s="2" t="s">
        <v>36</v>
      </c>
      <c r="D1944" s="2" t="s">
        <v>11</v>
      </c>
      <c r="E1944" s="2" t="s">
        <v>37</v>
      </c>
      <c r="F1944" s="2" t="s">
        <v>23</v>
      </c>
      <c r="G1944" s="2" t="s">
        <v>14</v>
      </c>
      <c r="H1944" s="4">
        <v>229942</v>
      </c>
      <c r="I1944" s="4">
        <v>279800</v>
      </c>
    </row>
    <row r="1945" spans="1:9" x14ac:dyDescent="0.3">
      <c r="A1945" s="2" t="s">
        <v>1977</v>
      </c>
      <c r="B1945" s="3">
        <v>45937</v>
      </c>
      <c r="C1945" s="2" t="s">
        <v>36</v>
      </c>
      <c r="D1945" s="2" t="s">
        <v>11</v>
      </c>
      <c r="E1945" s="2" t="s">
        <v>37</v>
      </c>
      <c r="F1945" s="2" t="s">
        <v>26</v>
      </c>
      <c r="G1945" s="2" t="s">
        <v>14</v>
      </c>
      <c r="H1945" s="4">
        <v>102645</v>
      </c>
      <c r="I1945" s="4">
        <v>99300</v>
      </c>
    </row>
    <row r="1946" spans="1:9" x14ac:dyDescent="0.3">
      <c r="A1946" s="2" t="s">
        <v>1978</v>
      </c>
      <c r="B1946" s="3">
        <v>45937</v>
      </c>
      <c r="C1946" s="2" t="s">
        <v>31</v>
      </c>
      <c r="D1946" s="2" t="s">
        <v>11</v>
      </c>
      <c r="E1946" s="2" t="s">
        <v>17</v>
      </c>
      <c r="F1946" s="2" t="s">
        <v>33</v>
      </c>
      <c r="G1946" s="2" t="s">
        <v>19</v>
      </c>
      <c r="H1946" s="4">
        <v>23412</v>
      </c>
      <c r="I1946" s="4">
        <v>26600</v>
      </c>
    </row>
    <row r="1947" spans="1:9" x14ac:dyDescent="0.3">
      <c r="A1947" s="2" t="s">
        <v>1979</v>
      </c>
      <c r="B1947" s="3">
        <v>45938</v>
      </c>
      <c r="C1947" s="2" t="s">
        <v>10</v>
      </c>
      <c r="D1947" s="2" t="s">
        <v>11</v>
      </c>
      <c r="E1947" s="2" t="s">
        <v>12</v>
      </c>
      <c r="F1947" s="2" t="s">
        <v>39</v>
      </c>
      <c r="G1947" s="2" t="s">
        <v>19</v>
      </c>
      <c r="H1947" s="4">
        <v>67359</v>
      </c>
      <c r="I1947" s="4">
        <v>71300</v>
      </c>
    </row>
    <row r="1948" spans="1:9" x14ac:dyDescent="0.3">
      <c r="A1948" s="2" t="s">
        <v>1980</v>
      </c>
      <c r="B1948" s="3">
        <v>45938</v>
      </c>
      <c r="C1948" s="2" t="s">
        <v>16</v>
      </c>
      <c r="D1948" s="2" t="s">
        <v>11</v>
      </c>
      <c r="E1948" s="2" t="s">
        <v>17</v>
      </c>
      <c r="F1948" s="2" t="s">
        <v>18</v>
      </c>
      <c r="G1948" s="2" t="s">
        <v>19</v>
      </c>
      <c r="H1948" s="4">
        <v>52082</v>
      </c>
      <c r="I1948" s="4">
        <v>55400</v>
      </c>
    </row>
    <row r="1949" spans="1:9" x14ac:dyDescent="0.3">
      <c r="A1949" s="2" t="s">
        <v>1981</v>
      </c>
      <c r="B1949" s="3">
        <v>45938</v>
      </c>
      <c r="C1949" s="2" t="s">
        <v>31</v>
      </c>
      <c r="D1949" s="2" t="s">
        <v>11</v>
      </c>
      <c r="E1949" s="2" t="s">
        <v>17</v>
      </c>
      <c r="F1949" s="2" t="s">
        <v>39</v>
      </c>
      <c r="G1949" s="2" t="s">
        <v>19</v>
      </c>
      <c r="H1949" s="4">
        <v>35219</v>
      </c>
      <c r="I1949" s="4">
        <v>37200</v>
      </c>
    </row>
    <row r="1950" spans="1:9" x14ac:dyDescent="0.3">
      <c r="A1950" s="2" t="s">
        <v>1982</v>
      </c>
      <c r="B1950" s="3">
        <v>45939</v>
      </c>
      <c r="C1950" s="2" t="s">
        <v>62</v>
      </c>
      <c r="D1950" s="2" t="s">
        <v>11</v>
      </c>
      <c r="E1950" s="2" t="s">
        <v>22</v>
      </c>
      <c r="F1950" s="2" t="s">
        <v>18</v>
      </c>
      <c r="G1950" s="2" t="s">
        <v>19</v>
      </c>
      <c r="H1950" s="4">
        <v>81601</v>
      </c>
      <c r="I1950" s="4">
        <v>93800</v>
      </c>
    </row>
    <row r="1951" spans="1:9" x14ac:dyDescent="0.3">
      <c r="A1951" s="2" t="s">
        <v>1983</v>
      </c>
      <c r="B1951" s="3">
        <v>45939</v>
      </c>
      <c r="C1951" s="2" t="s">
        <v>16</v>
      </c>
      <c r="D1951" s="2" t="s">
        <v>11</v>
      </c>
      <c r="E1951" s="2" t="s">
        <v>17</v>
      </c>
      <c r="F1951" s="2" t="s">
        <v>26</v>
      </c>
      <c r="G1951" s="2" t="s">
        <v>14</v>
      </c>
      <c r="H1951" s="4">
        <v>235509</v>
      </c>
      <c r="I1951" s="4">
        <v>219500</v>
      </c>
    </row>
    <row r="1952" spans="1:9" x14ac:dyDescent="0.3">
      <c r="A1952" s="2" t="s">
        <v>1984</v>
      </c>
      <c r="B1952" s="3">
        <v>45939</v>
      </c>
      <c r="C1952" s="2" t="s">
        <v>36</v>
      </c>
      <c r="D1952" s="2" t="s">
        <v>11</v>
      </c>
      <c r="E1952" s="2" t="s">
        <v>37</v>
      </c>
      <c r="F1952" s="2" t="s">
        <v>46</v>
      </c>
      <c r="G1952" s="2" t="s">
        <v>19</v>
      </c>
      <c r="H1952" s="4">
        <v>41283</v>
      </c>
      <c r="I1952" s="4">
        <v>42700</v>
      </c>
    </row>
    <row r="1953" spans="1:9" x14ac:dyDescent="0.3">
      <c r="A1953" s="2" t="s">
        <v>1985</v>
      </c>
      <c r="B1953" s="3">
        <v>45939</v>
      </c>
      <c r="C1953" s="2" t="s">
        <v>36</v>
      </c>
      <c r="D1953" s="2" t="s">
        <v>11</v>
      </c>
      <c r="E1953" s="2" t="s">
        <v>37</v>
      </c>
      <c r="F1953" s="2" t="s">
        <v>13</v>
      </c>
      <c r="G1953" s="2" t="s">
        <v>14</v>
      </c>
      <c r="H1953" s="4">
        <v>26147</v>
      </c>
      <c r="I1953" s="4">
        <v>27500</v>
      </c>
    </row>
    <row r="1954" spans="1:9" x14ac:dyDescent="0.3">
      <c r="A1954" s="2" t="s">
        <v>1986</v>
      </c>
      <c r="B1954" s="3">
        <v>45940</v>
      </c>
      <c r="C1954" s="2" t="s">
        <v>62</v>
      </c>
      <c r="D1954" s="2" t="s">
        <v>11</v>
      </c>
      <c r="E1954" s="2" t="s">
        <v>22</v>
      </c>
      <c r="F1954" s="2" t="s">
        <v>39</v>
      </c>
      <c r="G1954" s="2" t="s">
        <v>19</v>
      </c>
      <c r="H1954" s="4">
        <v>56848</v>
      </c>
      <c r="I1954" s="4">
        <v>61800</v>
      </c>
    </row>
    <row r="1955" spans="1:9" x14ac:dyDescent="0.3">
      <c r="A1955" s="2" t="s">
        <v>1987</v>
      </c>
      <c r="B1955" s="3">
        <v>45940</v>
      </c>
      <c r="C1955" s="2" t="s">
        <v>16</v>
      </c>
      <c r="D1955" s="2" t="s">
        <v>11</v>
      </c>
      <c r="E1955" s="2" t="s">
        <v>17</v>
      </c>
      <c r="F1955" s="2" t="s">
        <v>39</v>
      </c>
      <c r="G1955" s="2" t="s">
        <v>19</v>
      </c>
      <c r="H1955" s="4">
        <v>87857</v>
      </c>
      <c r="I1955" s="4">
        <v>92500</v>
      </c>
    </row>
    <row r="1956" spans="1:9" x14ac:dyDescent="0.3">
      <c r="A1956" s="2" t="s">
        <v>1988</v>
      </c>
      <c r="B1956" s="3">
        <v>45940</v>
      </c>
      <c r="C1956" s="2" t="s">
        <v>21</v>
      </c>
      <c r="D1956" s="2" t="s">
        <v>11</v>
      </c>
      <c r="E1956" s="2" t="s">
        <v>22</v>
      </c>
      <c r="F1956" s="2" t="s">
        <v>46</v>
      </c>
      <c r="G1956" s="2" t="s">
        <v>19</v>
      </c>
      <c r="H1956" s="4">
        <v>111849</v>
      </c>
      <c r="I1956" s="4">
        <v>114300</v>
      </c>
    </row>
    <row r="1957" spans="1:9" x14ac:dyDescent="0.3">
      <c r="A1957" s="2" t="s">
        <v>1989</v>
      </c>
      <c r="B1957" s="3">
        <v>45940</v>
      </c>
      <c r="C1957" s="2" t="s">
        <v>25</v>
      </c>
      <c r="D1957" s="2" t="s">
        <v>11</v>
      </c>
      <c r="E1957" s="2" t="s">
        <v>22</v>
      </c>
      <c r="F1957" s="2" t="s">
        <v>46</v>
      </c>
      <c r="G1957" s="2" t="s">
        <v>19</v>
      </c>
      <c r="H1957" s="4">
        <v>14501</v>
      </c>
      <c r="I1957" s="4">
        <v>14200</v>
      </c>
    </row>
    <row r="1958" spans="1:9" x14ac:dyDescent="0.3">
      <c r="A1958" s="2" t="s">
        <v>1990</v>
      </c>
      <c r="B1958" s="3">
        <v>45940</v>
      </c>
      <c r="C1958" s="2" t="s">
        <v>31</v>
      </c>
      <c r="D1958" s="2" t="s">
        <v>11</v>
      </c>
      <c r="E1958" s="2" t="s">
        <v>17</v>
      </c>
      <c r="F1958" s="2" t="s">
        <v>37</v>
      </c>
      <c r="G1958" s="2" t="s">
        <v>14</v>
      </c>
      <c r="H1958" s="4">
        <v>153742</v>
      </c>
      <c r="I1958" s="4">
        <v>155100</v>
      </c>
    </row>
    <row r="1959" spans="1:9" x14ac:dyDescent="0.3">
      <c r="A1959" s="2" t="s">
        <v>1991</v>
      </c>
      <c r="B1959" s="3">
        <v>45940</v>
      </c>
      <c r="C1959" s="2" t="s">
        <v>55</v>
      </c>
      <c r="D1959" s="2" t="s">
        <v>11</v>
      </c>
      <c r="E1959" s="2" t="s">
        <v>37</v>
      </c>
      <c r="F1959" s="2" t="s">
        <v>46</v>
      </c>
      <c r="G1959" s="2" t="s">
        <v>19</v>
      </c>
      <c r="H1959" s="4">
        <v>104715</v>
      </c>
      <c r="I1959" s="4">
        <v>95400</v>
      </c>
    </row>
    <row r="1960" spans="1:9" x14ac:dyDescent="0.3">
      <c r="A1960" s="2" t="s">
        <v>1992</v>
      </c>
      <c r="B1960" s="3">
        <v>45940</v>
      </c>
      <c r="C1960" s="2" t="s">
        <v>55</v>
      </c>
      <c r="D1960" s="2" t="s">
        <v>11</v>
      </c>
      <c r="E1960" s="2" t="s">
        <v>37</v>
      </c>
      <c r="F1960" s="2" t="s">
        <v>23</v>
      </c>
      <c r="G1960" s="2" t="s">
        <v>14</v>
      </c>
      <c r="H1960" s="4">
        <v>167906</v>
      </c>
      <c r="I1960" s="4">
        <v>176900</v>
      </c>
    </row>
    <row r="1961" spans="1:9" x14ac:dyDescent="0.3">
      <c r="A1961" s="2" t="s">
        <v>1993</v>
      </c>
      <c r="B1961" s="3">
        <v>45941</v>
      </c>
      <c r="C1961" s="2" t="s">
        <v>62</v>
      </c>
      <c r="D1961" s="2" t="s">
        <v>11</v>
      </c>
      <c r="E1961" s="2" t="s">
        <v>22</v>
      </c>
      <c r="F1961" s="2" t="s">
        <v>56</v>
      </c>
      <c r="G1961" s="2" t="s">
        <v>19</v>
      </c>
      <c r="H1961" s="4">
        <v>78306</v>
      </c>
      <c r="I1961" s="4">
        <v>74300</v>
      </c>
    </row>
    <row r="1962" spans="1:9" x14ac:dyDescent="0.3">
      <c r="A1962" s="2" t="s">
        <v>1994</v>
      </c>
      <c r="B1962" s="3">
        <v>45941</v>
      </c>
      <c r="C1962" s="2" t="s">
        <v>16</v>
      </c>
      <c r="D1962" s="2" t="s">
        <v>11</v>
      </c>
      <c r="E1962" s="2" t="s">
        <v>17</v>
      </c>
      <c r="F1962" s="2" t="s">
        <v>23</v>
      </c>
      <c r="G1962" s="2" t="s">
        <v>14</v>
      </c>
      <c r="H1962" s="4">
        <v>217215</v>
      </c>
      <c r="I1962" s="4">
        <v>209800</v>
      </c>
    </row>
    <row r="1963" spans="1:9" x14ac:dyDescent="0.3">
      <c r="A1963" s="2" t="s">
        <v>1995</v>
      </c>
      <c r="B1963" s="3">
        <v>45941</v>
      </c>
      <c r="C1963" s="2" t="s">
        <v>25</v>
      </c>
      <c r="D1963" s="2" t="s">
        <v>11</v>
      </c>
      <c r="E1963" s="2" t="s">
        <v>22</v>
      </c>
      <c r="F1963" s="2" t="s">
        <v>33</v>
      </c>
      <c r="G1963" s="2" t="s">
        <v>19</v>
      </c>
      <c r="H1963" s="4">
        <v>85627</v>
      </c>
      <c r="I1963" s="4">
        <v>90500</v>
      </c>
    </row>
    <row r="1964" spans="1:9" x14ac:dyDescent="0.3">
      <c r="A1964" s="2" t="s">
        <v>1996</v>
      </c>
      <c r="B1964" s="3">
        <v>45941</v>
      </c>
      <c r="C1964" s="2" t="s">
        <v>25</v>
      </c>
      <c r="D1964" s="2" t="s">
        <v>11</v>
      </c>
      <c r="E1964" s="2" t="s">
        <v>22</v>
      </c>
      <c r="F1964" s="2" t="s">
        <v>12</v>
      </c>
      <c r="G1964" s="2" t="s">
        <v>14</v>
      </c>
      <c r="H1964" s="4">
        <v>198204</v>
      </c>
      <c r="I1964" s="4">
        <v>174600</v>
      </c>
    </row>
    <row r="1965" spans="1:9" x14ac:dyDescent="0.3">
      <c r="A1965" s="2" t="s">
        <v>1997</v>
      </c>
      <c r="B1965" s="3">
        <v>45942</v>
      </c>
      <c r="C1965" s="2" t="s">
        <v>16</v>
      </c>
      <c r="D1965" s="2" t="s">
        <v>11</v>
      </c>
      <c r="E1965" s="2" t="s">
        <v>17</v>
      </c>
      <c r="F1965" s="2" t="s">
        <v>33</v>
      </c>
      <c r="G1965" s="2" t="s">
        <v>19</v>
      </c>
      <c r="H1965" s="4">
        <v>59642</v>
      </c>
      <c r="I1965" s="4">
        <v>62500</v>
      </c>
    </row>
    <row r="1966" spans="1:9" x14ac:dyDescent="0.3">
      <c r="A1966" s="2" t="s">
        <v>1998</v>
      </c>
      <c r="B1966" s="3">
        <v>45942</v>
      </c>
      <c r="C1966" s="2" t="s">
        <v>36</v>
      </c>
      <c r="D1966" s="2" t="s">
        <v>11</v>
      </c>
      <c r="E1966" s="2" t="s">
        <v>37</v>
      </c>
      <c r="F1966" s="2" t="s">
        <v>39</v>
      </c>
      <c r="G1966" s="2" t="s">
        <v>19</v>
      </c>
      <c r="H1966" s="4">
        <v>64507</v>
      </c>
      <c r="I1966" s="4">
        <v>71200</v>
      </c>
    </row>
    <row r="1967" spans="1:9" x14ac:dyDescent="0.3">
      <c r="A1967" s="2" t="s">
        <v>1999</v>
      </c>
      <c r="B1967" s="3">
        <v>45942</v>
      </c>
      <c r="C1967" s="2" t="s">
        <v>21</v>
      </c>
      <c r="D1967" s="2" t="s">
        <v>11</v>
      </c>
      <c r="E1967" s="2" t="s">
        <v>22</v>
      </c>
      <c r="F1967" s="2" t="s">
        <v>23</v>
      </c>
      <c r="G1967" s="2" t="s">
        <v>14</v>
      </c>
      <c r="H1967" s="4">
        <v>153726</v>
      </c>
      <c r="I1967" s="4">
        <v>166100</v>
      </c>
    </row>
    <row r="1968" spans="1:9" x14ac:dyDescent="0.3">
      <c r="A1968" s="2" t="s">
        <v>2000</v>
      </c>
      <c r="B1968" s="3">
        <v>45942</v>
      </c>
      <c r="C1968" s="2" t="s">
        <v>31</v>
      </c>
      <c r="D1968" s="2" t="s">
        <v>11</v>
      </c>
      <c r="E1968" s="2" t="s">
        <v>17</v>
      </c>
      <c r="F1968" s="2" t="s">
        <v>39</v>
      </c>
      <c r="G1968" s="2" t="s">
        <v>19</v>
      </c>
      <c r="H1968" s="4">
        <v>111622</v>
      </c>
      <c r="I1968" s="4">
        <v>114800</v>
      </c>
    </row>
    <row r="1969" spans="1:9" x14ac:dyDescent="0.3">
      <c r="A1969" s="2" t="s">
        <v>2001</v>
      </c>
      <c r="B1969" s="3">
        <v>45942</v>
      </c>
      <c r="C1969" s="2" t="s">
        <v>55</v>
      </c>
      <c r="D1969" s="2" t="s">
        <v>11</v>
      </c>
      <c r="E1969" s="2" t="s">
        <v>37</v>
      </c>
      <c r="F1969" s="2" t="s">
        <v>42</v>
      </c>
      <c r="G1969" s="2" t="s">
        <v>19</v>
      </c>
      <c r="H1969" s="4">
        <v>15334</v>
      </c>
      <c r="I1969" s="4">
        <v>14700</v>
      </c>
    </row>
    <row r="1970" spans="1:9" x14ac:dyDescent="0.3">
      <c r="A1970" s="2" t="s">
        <v>2002</v>
      </c>
      <c r="B1970" s="3">
        <v>45943</v>
      </c>
      <c r="C1970" s="2" t="s">
        <v>62</v>
      </c>
      <c r="D1970" s="2" t="s">
        <v>11</v>
      </c>
      <c r="E1970" s="2" t="s">
        <v>22</v>
      </c>
      <c r="F1970" s="2" t="s">
        <v>12</v>
      </c>
      <c r="G1970" s="2" t="s">
        <v>14</v>
      </c>
      <c r="H1970" s="4">
        <v>139189</v>
      </c>
      <c r="I1970" s="4">
        <v>95000</v>
      </c>
    </row>
    <row r="1971" spans="1:9" x14ac:dyDescent="0.3">
      <c r="A1971" s="2" t="s">
        <v>2003</v>
      </c>
      <c r="B1971" s="3">
        <v>45943</v>
      </c>
      <c r="C1971" s="2" t="s">
        <v>62</v>
      </c>
      <c r="D1971" s="2" t="s">
        <v>11</v>
      </c>
      <c r="E1971" s="2" t="s">
        <v>22</v>
      </c>
      <c r="F1971" s="2" t="s">
        <v>37</v>
      </c>
      <c r="G1971" s="2" t="s">
        <v>14</v>
      </c>
      <c r="H1971" s="4">
        <v>42761</v>
      </c>
      <c r="I1971" s="4">
        <v>40800</v>
      </c>
    </row>
    <row r="1972" spans="1:9" x14ac:dyDescent="0.3">
      <c r="A1972" s="2" t="s">
        <v>2004</v>
      </c>
      <c r="B1972" s="3">
        <v>45943</v>
      </c>
      <c r="C1972" s="2" t="s">
        <v>16</v>
      </c>
      <c r="D1972" s="2" t="s">
        <v>11</v>
      </c>
      <c r="E1972" s="2" t="s">
        <v>17</v>
      </c>
      <c r="F1972" s="2" t="s">
        <v>42</v>
      </c>
      <c r="G1972" s="2" t="s">
        <v>19</v>
      </c>
      <c r="H1972" s="4">
        <v>93939</v>
      </c>
      <c r="I1972" s="4">
        <v>95200</v>
      </c>
    </row>
    <row r="1973" spans="1:9" x14ac:dyDescent="0.3">
      <c r="A1973" s="2" t="s">
        <v>2005</v>
      </c>
      <c r="B1973" s="3">
        <v>45943</v>
      </c>
      <c r="C1973" s="2" t="s">
        <v>16</v>
      </c>
      <c r="D1973" s="2" t="s">
        <v>11</v>
      </c>
      <c r="E1973" s="2" t="s">
        <v>17</v>
      </c>
      <c r="F1973" s="2" t="s">
        <v>37</v>
      </c>
      <c r="G1973" s="2" t="s">
        <v>14</v>
      </c>
      <c r="H1973" s="4">
        <v>183188</v>
      </c>
      <c r="I1973" s="4">
        <v>209900</v>
      </c>
    </row>
    <row r="1974" spans="1:9" x14ac:dyDescent="0.3">
      <c r="A1974" s="2" t="s">
        <v>2006</v>
      </c>
      <c r="B1974" s="3">
        <v>45943</v>
      </c>
      <c r="C1974" s="2" t="s">
        <v>36</v>
      </c>
      <c r="D1974" s="2" t="s">
        <v>11</v>
      </c>
      <c r="E1974" s="2" t="s">
        <v>37</v>
      </c>
      <c r="F1974" s="2" t="s">
        <v>39</v>
      </c>
      <c r="G1974" s="2" t="s">
        <v>19</v>
      </c>
      <c r="H1974" s="4">
        <v>74941</v>
      </c>
      <c r="I1974" s="4">
        <v>86800</v>
      </c>
    </row>
    <row r="1975" spans="1:9" x14ac:dyDescent="0.3">
      <c r="A1975" s="2" t="s">
        <v>2007</v>
      </c>
      <c r="B1975" s="3">
        <v>45943</v>
      </c>
      <c r="C1975" s="2" t="s">
        <v>55</v>
      </c>
      <c r="D1975" s="2" t="s">
        <v>11</v>
      </c>
      <c r="E1975" s="2" t="s">
        <v>37</v>
      </c>
      <c r="F1975" s="2" t="s">
        <v>18</v>
      </c>
      <c r="G1975" s="2" t="s">
        <v>19</v>
      </c>
      <c r="H1975" s="4">
        <v>74364</v>
      </c>
      <c r="I1975" s="4">
        <v>80000</v>
      </c>
    </row>
    <row r="1976" spans="1:9" x14ac:dyDescent="0.3">
      <c r="A1976" s="2" t="s">
        <v>2008</v>
      </c>
      <c r="B1976" s="3">
        <v>45944</v>
      </c>
      <c r="C1976" s="2" t="s">
        <v>10</v>
      </c>
      <c r="D1976" s="2" t="s">
        <v>11</v>
      </c>
      <c r="E1976" s="2" t="s">
        <v>12</v>
      </c>
      <c r="F1976" s="2" t="s">
        <v>56</v>
      </c>
      <c r="G1976" s="2" t="s">
        <v>19</v>
      </c>
      <c r="H1976" s="4">
        <v>87019</v>
      </c>
      <c r="I1976" s="4">
        <v>95300</v>
      </c>
    </row>
    <row r="1977" spans="1:9" x14ac:dyDescent="0.3">
      <c r="A1977" s="2" t="s">
        <v>2009</v>
      </c>
      <c r="B1977" s="3">
        <v>45944</v>
      </c>
      <c r="C1977" s="2" t="s">
        <v>10</v>
      </c>
      <c r="D1977" s="2" t="s">
        <v>11</v>
      </c>
      <c r="E1977" s="2" t="s">
        <v>12</v>
      </c>
      <c r="F1977" s="2" t="s">
        <v>13</v>
      </c>
      <c r="G1977" s="2" t="s">
        <v>14</v>
      </c>
      <c r="H1977" s="4">
        <v>151080</v>
      </c>
      <c r="I1977" s="4">
        <v>149600</v>
      </c>
    </row>
    <row r="1978" spans="1:9" x14ac:dyDescent="0.3">
      <c r="A1978" s="2" t="s">
        <v>2010</v>
      </c>
      <c r="B1978" s="3">
        <v>45944</v>
      </c>
      <c r="C1978" s="2" t="s">
        <v>16</v>
      </c>
      <c r="D1978" s="2" t="s">
        <v>11</v>
      </c>
      <c r="E1978" s="2" t="s">
        <v>17</v>
      </c>
      <c r="F1978" s="2" t="s">
        <v>26</v>
      </c>
      <c r="G1978" s="2" t="s">
        <v>14</v>
      </c>
      <c r="H1978" s="4">
        <v>51522</v>
      </c>
      <c r="I1978" s="4">
        <v>44100</v>
      </c>
    </row>
    <row r="1979" spans="1:9" x14ac:dyDescent="0.3">
      <c r="A1979" s="2" t="s">
        <v>2011</v>
      </c>
      <c r="B1979" s="3">
        <v>45944</v>
      </c>
      <c r="C1979" s="2" t="s">
        <v>16</v>
      </c>
      <c r="D1979" s="2" t="s">
        <v>11</v>
      </c>
      <c r="E1979" s="2" t="s">
        <v>17</v>
      </c>
      <c r="F1979" s="2" t="s">
        <v>37</v>
      </c>
      <c r="G1979" s="2" t="s">
        <v>14</v>
      </c>
      <c r="H1979" s="4">
        <v>131197</v>
      </c>
      <c r="I1979" s="4">
        <v>131300</v>
      </c>
    </row>
    <row r="1980" spans="1:9" x14ac:dyDescent="0.3">
      <c r="A1980" s="2" t="s">
        <v>2012</v>
      </c>
      <c r="B1980" s="3">
        <v>45944</v>
      </c>
      <c r="C1980" s="2" t="s">
        <v>36</v>
      </c>
      <c r="D1980" s="2" t="s">
        <v>11</v>
      </c>
      <c r="E1980" s="2" t="s">
        <v>37</v>
      </c>
      <c r="F1980" s="2" t="s">
        <v>18</v>
      </c>
      <c r="G1980" s="2" t="s">
        <v>19</v>
      </c>
      <c r="H1980" s="4">
        <v>84785</v>
      </c>
      <c r="I1980" s="4">
        <v>85600</v>
      </c>
    </row>
    <row r="1981" spans="1:9" x14ac:dyDescent="0.3">
      <c r="A1981" s="2" t="s">
        <v>2013</v>
      </c>
      <c r="B1981" s="3">
        <v>45944</v>
      </c>
      <c r="C1981" s="2" t="s">
        <v>25</v>
      </c>
      <c r="D1981" s="2" t="s">
        <v>11</v>
      </c>
      <c r="E1981" s="2" t="s">
        <v>22</v>
      </c>
      <c r="F1981" s="2" t="s">
        <v>23</v>
      </c>
      <c r="G1981" s="2" t="s">
        <v>14</v>
      </c>
      <c r="H1981" s="4">
        <v>63183</v>
      </c>
      <c r="I1981" s="4">
        <v>62800</v>
      </c>
    </row>
    <row r="1982" spans="1:9" x14ac:dyDescent="0.3">
      <c r="A1982" s="2" t="s">
        <v>2014</v>
      </c>
      <c r="B1982" s="3">
        <v>45945</v>
      </c>
      <c r="C1982" s="2" t="s">
        <v>10</v>
      </c>
      <c r="D1982" s="2" t="s">
        <v>11</v>
      </c>
      <c r="E1982" s="2" t="s">
        <v>12</v>
      </c>
      <c r="F1982" s="2" t="s">
        <v>42</v>
      </c>
      <c r="G1982" s="2" t="s">
        <v>19</v>
      </c>
      <c r="H1982" s="4">
        <v>84564</v>
      </c>
      <c r="I1982" s="4">
        <v>87600</v>
      </c>
    </row>
    <row r="1983" spans="1:9" x14ac:dyDescent="0.3">
      <c r="A1983" s="2" t="s">
        <v>2015</v>
      </c>
      <c r="B1983" s="3">
        <v>45945</v>
      </c>
      <c r="C1983" s="2" t="s">
        <v>10</v>
      </c>
      <c r="D1983" s="2" t="s">
        <v>11</v>
      </c>
      <c r="E1983" s="2" t="s">
        <v>12</v>
      </c>
      <c r="F1983" s="2" t="s">
        <v>13</v>
      </c>
      <c r="G1983" s="2" t="s">
        <v>14</v>
      </c>
      <c r="H1983" s="4">
        <v>222151</v>
      </c>
      <c r="I1983" s="4">
        <v>206700</v>
      </c>
    </row>
    <row r="1984" spans="1:9" x14ac:dyDescent="0.3">
      <c r="A1984" s="2" t="s">
        <v>2016</v>
      </c>
      <c r="B1984" s="3">
        <v>45945</v>
      </c>
      <c r="C1984" s="2" t="s">
        <v>10</v>
      </c>
      <c r="D1984" s="2" t="s">
        <v>11</v>
      </c>
      <c r="E1984" s="2" t="s">
        <v>12</v>
      </c>
      <c r="F1984" s="2" t="s">
        <v>13</v>
      </c>
      <c r="G1984" s="2" t="s">
        <v>14</v>
      </c>
      <c r="H1984" s="4">
        <v>217785</v>
      </c>
      <c r="I1984" s="4">
        <v>191200</v>
      </c>
    </row>
    <row r="1985" spans="1:9" x14ac:dyDescent="0.3">
      <c r="A1985" s="2" t="s">
        <v>2017</v>
      </c>
      <c r="B1985" s="3">
        <v>45945</v>
      </c>
      <c r="C1985" s="2" t="s">
        <v>21</v>
      </c>
      <c r="D1985" s="2" t="s">
        <v>11</v>
      </c>
      <c r="E1985" s="2" t="s">
        <v>22</v>
      </c>
      <c r="F1985" s="2" t="s">
        <v>46</v>
      </c>
      <c r="G1985" s="2" t="s">
        <v>19</v>
      </c>
      <c r="H1985" s="4">
        <v>17548</v>
      </c>
      <c r="I1985" s="4">
        <v>20800</v>
      </c>
    </row>
    <row r="1986" spans="1:9" x14ac:dyDescent="0.3">
      <c r="A1986" s="2" t="s">
        <v>2018</v>
      </c>
      <c r="B1986" s="3">
        <v>45945</v>
      </c>
      <c r="C1986" s="2" t="s">
        <v>21</v>
      </c>
      <c r="D1986" s="2" t="s">
        <v>11</v>
      </c>
      <c r="E1986" s="2" t="s">
        <v>22</v>
      </c>
      <c r="F1986" s="2" t="s">
        <v>46</v>
      </c>
      <c r="G1986" s="2" t="s">
        <v>19</v>
      </c>
      <c r="H1986" s="4">
        <v>42884</v>
      </c>
      <c r="I1986" s="4">
        <v>44100</v>
      </c>
    </row>
    <row r="1987" spans="1:9" x14ac:dyDescent="0.3">
      <c r="A1987" s="2" t="s">
        <v>2019</v>
      </c>
      <c r="B1987" s="3">
        <v>45945</v>
      </c>
      <c r="C1987" s="2" t="s">
        <v>21</v>
      </c>
      <c r="D1987" s="2" t="s">
        <v>11</v>
      </c>
      <c r="E1987" s="2" t="s">
        <v>22</v>
      </c>
      <c r="F1987" s="2" t="s">
        <v>18</v>
      </c>
      <c r="G1987" s="2" t="s">
        <v>19</v>
      </c>
      <c r="H1987" s="4">
        <v>114810</v>
      </c>
      <c r="I1987" s="4">
        <v>102200</v>
      </c>
    </row>
    <row r="1988" spans="1:9" x14ac:dyDescent="0.3">
      <c r="A1988" s="2" t="s">
        <v>2020</v>
      </c>
      <c r="B1988" s="3">
        <v>45945</v>
      </c>
      <c r="C1988" s="2" t="s">
        <v>25</v>
      </c>
      <c r="D1988" s="2" t="s">
        <v>11</v>
      </c>
      <c r="E1988" s="2" t="s">
        <v>22</v>
      </c>
      <c r="F1988" s="2" t="s">
        <v>33</v>
      </c>
      <c r="G1988" s="2" t="s">
        <v>19</v>
      </c>
      <c r="H1988" s="4">
        <v>33735</v>
      </c>
      <c r="I1988" s="4">
        <v>35300</v>
      </c>
    </row>
    <row r="1989" spans="1:9" x14ac:dyDescent="0.3">
      <c r="A1989" s="2" t="s">
        <v>2021</v>
      </c>
      <c r="B1989" s="3">
        <v>45945</v>
      </c>
      <c r="C1989" s="2" t="s">
        <v>25</v>
      </c>
      <c r="D1989" s="2" t="s">
        <v>11</v>
      </c>
      <c r="E1989" s="2" t="s">
        <v>22</v>
      </c>
      <c r="F1989" s="2" t="s">
        <v>42</v>
      </c>
      <c r="G1989" s="2" t="s">
        <v>19</v>
      </c>
      <c r="H1989" s="4">
        <v>56595</v>
      </c>
      <c r="I1989" s="4">
        <v>53400</v>
      </c>
    </row>
    <row r="1990" spans="1:9" x14ac:dyDescent="0.3">
      <c r="A1990" s="2" t="s">
        <v>2022</v>
      </c>
      <c r="B1990" s="3">
        <v>45945</v>
      </c>
      <c r="C1990" s="2" t="s">
        <v>31</v>
      </c>
      <c r="D1990" s="2" t="s">
        <v>11</v>
      </c>
      <c r="E1990" s="2" t="s">
        <v>17</v>
      </c>
      <c r="F1990" s="2" t="s">
        <v>23</v>
      </c>
      <c r="G1990" s="2" t="s">
        <v>14</v>
      </c>
      <c r="H1990" s="4">
        <v>114330</v>
      </c>
      <c r="I1990" s="4">
        <v>128900</v>
      </c>
    </row>
    <row r="1991" spans="1:9" x14ac:dyDescent="0.3">
      <c r="A1991" s="2" t="s">
        <v>2023</v>
      </c>
      <c r="B1991" s="3">
        <v>45946</v>
      </c>
      <c r="C1991" s="2" t="s">
        <v>62</v>
      </c>
      <c r="D1991" s="2" t="s">
        <v>11</v>
      </c>
      <c r="E1991" s="2" t="s">
        <v>22</v>
      </c>
      <c r="F1991" s="2" t="s">
        <v>18</v>
      </c>
      <c r="G1991" s="2" t="s">
        <v>19</v>
      </c>
      <c r="H1991" s="4">
        <v>65323</v>
      </c>
      <c r="I1991" s="4">
        <v>62000</v>
      </c>
    </row>
    <row r="1992" spans="1:9" x14ac:dyDescent="0.3">
      <c r="A1992" s="2" t="s">
        <v>2024</v>
      </c>
      <c r="B1992" s="3">
        <v>45946</v>
      </c>
      <c r="C1992" s="2" t="s">
        <v>62</v>
      </c>
      <c r="D1992" s="2" t="s">
        <v>11</v>
      </c>
      <c r="E1992" s="2" t="s">
        <v>22</v>
      </c>
      <c r="F1992" s="2" t="s">
        <v>12</v>
      </c>
      <c r="G1992" s="2" t="s">
        <v>14</v>
      </c>
      <c r="H1992" s="4">
        <v>175255</v>
      </c>
      <c r="I1992" s="4">
        <v>191600</v>
      </c>
    </row>
    <row r="1993" spans="1:9" x14ac:dyDescent="0.3">
      <c r="A1993" s="2" t="s">
        <v>2025</v>
      </c>
      <c r="B1993" s="3">
        <v>45946</v>
      </c>
      <c r="C1993" s="2" t="s">
        <v>62</v>
      </c>
      <c r="D1993" s="2" t="s">
        <v>11</v>
      </c>
      <c r="E1993" s="2" t="s">
        <v>22</v>
      </c>
      <c r="F1993" s="2" t="s">
        <v>26</v>
      </c>
      <c r="G1993" s="2" t="s">
        <v>14</v>
      </c>
      <c r="H1993" s="4">
        <v>53650</v>
      </c>
      <c r="I1993" s="4">
        <v>64400</v>
      </c>
    </row>
    <row r="1994" spans="1:9" x14ac:dyDescent="0.3">
      <c r="A1994" s="2" t="s">
        <v>2026</v>
      </c>
      <c r="B1994" s="3">
        <v>45946</v>
      </c>
      <c r="C1994" s="2" t="s">
        <v>10</v>
      </c>
      <c r="D1994" s="2" t="s">
        <v>11</v>
      </c>
      <c r="E1994" s="2" t="s">
        <v>12</v>
      </c>
      <c r="F1994" s="2" t="s">
        <v>56</v>
      </c>
      <c r="G1994" s="2" t="s">
        <v>19</v>
      </c>
      <c r="H1994" s="4">
        <v>72607</v>
      </c>
      <c r="I1994" s="4">
        <v>78800</v>
      </c>
    </row>
    <row r="1995" spans="1:9" x14ac:dyDescent="0.3">
      <c r="A1995" s="2" t="s">
        <v>2027</v>
      </c>
      <c r="B1995" s="3">
        <v>45946</v>
      </c>
      <c r="C1995" s="2" t="s">
        <v>16</v>
      </c>
      <c r="D1995" s="2" t="s">
        <v>11</v>
      </c>
      <c r="E1995" s="2" t="s">
        <v>17</v>
      </c>
      <c r="F1995" s="2" t="s">
        <v>26</v>
      </c>
      <c r="G1995" s="2" t="s">
        <v>14</v>
      </c>
      <c r="H1995" s="4">
        <v>172492</v>
      </c>
      <c r="I1995" s="4">
        <v>177000</v>
      </c>
    </row>
    <row r="1996" spans="1:9" x14ac:dyDescent="0.3">
      <c r="A1996" s="2" t="s">
        <v>2028</v>
      </c>
      <c r="B1996" s="3">
        <v>45946</v>
      </c>
      <c r="C1996" s="2" t="s">
        <v>21</v>
      </c>
      <c r="D1996" s="2" t="s">
        <v>11</v>
      </c>
      <c r="E1996" s="2" t="s">
        <v>22</v>
      </c>
      <c r="F1996" s="2" t="s">
        <v>39</v>
      </c>
      <c r="G1996" s="2" t="s">
        <v>19</v>
      </c>
      <c r="H1996" s="4">
        <v>107603</v>
      </c>
      <c r="I1996" s="4">
        <v>111900</v>
      </c>
    </row>
    <row r="1997" spans="1:9" x14ac:dyDescent="0.3">
      <c r="A1997" s="2" t="s">
        <v>2029</v>
      </c>
      <c r="B1997" s="3">
        <v>45946</v>
      </c>
      <c r="C1997" s="2" t="s">
        <v>31</v>
      </c>
      <c r="D1997" s="2" t="s">
        <v>11</v>
      </c>
      <c r="E1997" s="2" t="s">
        <v>17</v>
      </c>
      <c r="F1997" s="2" t="s">
        <v>23</v>
      </c>
      <c r="G1997" s="2" t="s">
        <v>14</v>
      </c>
      <c r="H1997" s="4">
        <v>197738</v>
      </c>
      <c r="I1997" s="4">
        <v>216800</v>
      </c>
    </row>
    <row r="1998" spans="1:9" x14ac:dyDescent="0.3">
      <c r="A1998" s="2" t="s">
        <v>2030</v>
      </c>
      <c r="B1998" s="3">
        <v>45946</v>
      </c>
      <c r="C1998" s="2" t="s">
        <v>55</v>
      </c>
      <c r="D1998" s="2" t="s">
        <v>11</v>
      </c>
      <c r="E1998" s="2" t="s">
        <v>37</v>
      </c>
      <c r="F1998" s="2" t="s">
        <v>33</v>
      </c>
      <c r="G1998" s="2" t="s">
        <v>19</v>
      </c>
      <c r="H1998" s="4">
        <v>75844</v>
      </c>
      <c r="I1998" s="4">
        <v>80800</v>
      </c>
    </row>
    <row r="1999" spans="1:9" x14ac:dyDescent="0.3">
      <c r="A1999" s="2" t="s">
        <v>2031</v>
      </c>
      <c r="B1999" s="3">
        <v>45946</v>
      </c>
      <c r="C1999" s="2" t="s">
        <v>55</v>
      </c>
      <c r="D1999" s="2" t="s">
        <v>11</v>
      </c>
      <c r="E1999" s="2" t="s">
        <v>37</v>
      </c>
      <c r="F1999" s="2" t="s">
        <v>26</v>
      </c>
      <c r="G1999" s="2" t="s">
        <v>14</v>
      </c>
      <c r="H1999" s="4">
        <v>91126</v>
      </c>
      <c r="I1999" s="4">
        <v>92400</v>
      </c>
    </row>
    <row r="2000" spans="1:9" x14ac:dyDescent="0.3">
      <c r="A2000" s="2" t="s">
        <v>2032</v>
      </c>
      <c r="B2000" s="3">
        <v>45947</v>
      </c>
      <c r="C2000" s="2" t="s">
        <v>36</v>
      </c>
      <c r="D2000" s="2" t="s">
        <v>11</v>
      </c>
      <c r="E2000" s="2" t="s">
        <v>37</v>
      </c>
      <c r="F2000" s="2" t="s">
        <v>56</v>
      </c>
      <c r="G2000" s="2" t="s">
        <v>19</v>
      </c>
      <c r="H2000" s="4">
        <v>71555</v>
      </c>
      <c r="I2000" s="4">
        <v>74600</v>
      </c>
    </row>
    <row r="2001" spans="1:9" x14ac:dyDescent="0.3">
      <c r="A2001" s="2" t="s">
        <v>2033</v>
      </c>
      <c r="B2001" s="3">
        <v>45947</v>
      </c>
      <c r="C2001" s="2" t="s">
        <v>36</v>
      </c>
      <c r="D2001" s="2" t="s">
        <v>11</v>
      </c>
      <c r="E2001" s="2" t="s">
        <v>37</v>
      </c>
      <c r="F2001" s="2" t="s">
        <v>13</v>
      </c>
      <c r="G2001" s="2" t="s">
        <v>14</v>
      </c>
      <c r="H2001" s="4">
        <v>195337</v>
      </c>
      <c r="I2001" s="4">
        <v>193300</v>
      </c>
    </row>
    <row r="2002" spans="1:9" x14ac:dyDescent="0.3">
      <c r="A2002" s="2" t="s">
        <v>2034</v>
      </c>
      <c r="B2002" s="3">
        <v>45947</v>
      </c>
      <c r="C2002" s="2" t="s">
        <v>25</v>
      </c>
      <c r="D2002" s="2" t="s">
        <v>11</v>
      </c>
      <c r="E2002" s="2" t="s">
        <v>22</v>
      </c>
      <c r="F2002" s="2" t="s">
        <v>39</v>
      </c>
      <c r="G2002" s="2" t="s">
        <v>19</v>
      </c>
      <c r="H2002" s="4">
        <v>66397</v>
      </c>
      <c r="I2002" s="4">
        <v>64400</v>
      </c>
    </row>
    <row r="2003" spans="1:9" x14ac:dyDescent="0.3">
      <c r="A2003" s="2" t="s">
        <v>2035</v>
      </c>
      <c r="B2003" s="3">
        <v>45947</v>
      </c>
      <c r="C2003" s="2" t="s">
        <v>25</v>
      </c>
      <c r="D2003" s="2" t="s">
        <v>11</v>
      </c>
      <c r="E2003" s="2" t="s">
        <v>22</v>
      </c>
      <c r="F2003" s="2" t="s">
        <v>59</v>
      </c>
      <c r="G2003" s="2" t="s">
        <v>14</v>
      </c>
      <c r="H2003" s="4">
        <v>106359</v>
      </c>
      <c r="I2003" s="4">
        <v>99900</v>
      </c>
    </row>
    <row r="2004" spans="1:9" x14ac:dyDescent="0.3">
      <c r="A2004" s="2" t="s">
        <v>2036</v>
      </c>
      <c r="B2004" s="3">
        <v>45947</v>
      </c>
      <c r="C2004" s="2" t="s">
        <v>31</v>
      </c>
      <c r="D2004" s="2" t="s">
        <v>11</v>
      </c>
      <c r="E2004" s="2" t="s">
        <v>17</v>
      </c>
      <c r="F2004" s="2" t="s">
        <v>23</v>
      </c>
      <c r="G2004" s="2" t="s">
        <v>14</v>
      </c>
      <c r="H2004" s="4">
        <v>201632</v>
      </c>
      <c r="I2004" s="4">
        <v>185800</v>
      </c>
    </row>
    <row r="2005" spans="1:9" x14ac:dyDescent="0.3">
      <c r="A2005" s="2" t="s">
        <v>2037</v>
      </c>
      <c r="B2005" s="3">
        <v>45947</v>
      </c>
      <c r="C2005" s="2" t="s">
        <v>55</v>
      </c>
      <c r="D2005" s="2" t="s">
        <v>11</v>
      </c>
      <c r="E2005" s="2" t="s">
        <v>37</v>
      </c>
      <c r="F2005" s="2" t="s">
        <v>39</v>
      </c>
      <c r="G2005" s="2" t="s">
        <v>19</v>
      </c>
      <c r="H2005" s="4">
        <v>99451</v>
      </c>
      <c r="I2005" s="4">
        <v>111800</v>
      </c>
    </row>
    <row r="2006" spans="1:9" x14ac:dyDescent="0.3">
      <c r="A2006" s="2" t="s">
        <v>2038</v>
      </c>
      <c r="B2006" s="3">
        <v>45948</v>
      </c>
      <c r="C2006" s="2" t="s">
        <v>16</v>
      </c>
      <c r="D2006" s="2" t="s">
        <v>11</v>
      </c>
      <c r="E2006" s="2" t="s">
        <v>17</v>
      </c>
      <c r="F2006" s="2" t="s">
        <v>37</v>
      </c>
      <c r="G2006" s="2" t="s">
        <v>14</v>
      </c>
      <c r="H2006" s="4">
        <v>160404</v>
      </c>
      <c r="I2006" s="4">
        <v>190400</v>
      </c>
    </row>
    <row r="2007" spans="1:9" x14ac:dyDescent="0.3">
      <c r="A2007" s="2" t="s">
        <v>2039</v>
      </c>
      <c r="B2007" s="3">
        <v>45948</v>
      </c>
      <c r="C2007" s="2" t="s">
        <v>36</v>
      </c>
      <c r="D2007" s="2" t="s">
        <v>11</v>
      </c>
      <c r="E2007" s="2" t="s">
        <v>37</v>
      </c>
      <c r="F2007" s="2" t="s">
        <v>59</v>
      </c>
      <c r="G2007" s="2" t="s">
        <v>14</v>
      </c>
      <c r="H2007" s="4">
        <v>76901</v>
      </c>
      <c r="I2007" s="4">
        <v>81600</v>
      </c>
    </row>
    <row r="2008" spans="1:9" x14ac:dyDescent="0.3">
      <c r="A2008" s="2" t="s">
        <v>2040</v>
      </c>
      <c r="B2008" s="3">
        <v>45948</v>
      </c>
      <c r="C2008" s="2" t="s">
        <v>25</v>
      </c>
      <c r="D2008" s="2" t="s">
        <v>11</v>
      </c>
      <c r="E2008" s="2" t="s">
        <v>22</v>
      </c>
      <c r="F2008" s="2" t="s">
        <v>23</v>
      </c>
      <c r="G2008" s="2" t="s">
        <v>14</v>
      </c>
      <c r="H2008" s="4">
        <v>201616</v>
      </c>
      <c r="I2008" s="4">
        <v>202100</v>
      </c>
    </row>
    <row r="2009" spans="1:9" x14ac:dyDescent="0.3">
      <c r="A2009" s="2" t="s">
        <v>2041</v>
      </c>
      <c r="B2009" s="3">
        <v>45948</v>
      </c>
      <c r="C2009" s="2" t="s">
        <v>55</v>
      </c>
      <c r="D2009" s="2" t="s">
        <v>11</v>
      </c>
      <c r="E2009" s="2" t="s">
        <v>37</v>
      </c>
      <c r="F2009" s="2" t="s">
        <v>33</v>
      </c>
      <c r="G2009" s="2" t="s">
        <v>19</v>
      </c>
      <c r="H2009" s="4">
        <v>79716</v>
      </c>
      <c r="I2009" s="4">
        <v>88400</v>
      </c>
    </row>
    <row r="2010" spans="1:9" x14ac:dyDescent="0.3">
      <c r="A2010" s="2" t="s">
        <v>2042</v>
      </c>
      <c r="B2010" s="3">
        <v>45949</v>
      </c>
      <c r="C2010" s="2" t="s">
        <v>62</v>
      </c>
      <c r="D2010" s="2" t="s">
        <v>11</v>
      </c>
      <c r="E2010" s="2" t="s">
        <v>22</v>
      </c>
      <c r="F2010" s="2" t="s">
        <v>33</v>
      </c>
      <c r="G2010" s="2" t="s">
        <v>19</v>
      </c>
      <c r="H2010" s="4">
        <v>27724</v>
      </c>
      <c r="I2010" s="4">
        <v>31200</v>
      </c>
    </row>
    <row r="2011" spans="1:9" x14ac:dyDescent="0.3">
      <c r="A2011" s="2" t="s">
        <v>2043</v>
      </c>
      <c r="B2011" s="3">
        <v>45949</v>
      </c>
      <c r="C2011" s="2" t="s">
        <v>10</v>
      </c>
      <c r="D2011" s="2" t="s">
        <v>11</v>
      </c>
      <c r="E2011" s="2" t="s">
        <v>12</v>
      </c>
      <c r="F2011" s="2" t="s">
        <v>39</v>
      </c>
      <c r="G2011" s="2" t="s">
        <v>19</v>
      </c>
      <c r="H2011" s="4">
        <v>110172</v>
      </c>
      <c r="I2011" s="4">
        <v>105600</v>
      </c>
    </row>
    <row r="2012" spans="1:9" x14ac:dyDescent="0.3">
      <c r="A2012" s="2" t="s">
        <v>2044</v>
      </c>
      <c r="B2012" s="3">
        <v>45949</v>
      </c>
      <c r="C2012" s="2" t="s">
        <v>10</v>
      </c>
      <c r="D2012" s="2" t="s">
        <v>11</v>
      </c>
      <c r="E2012" s="2" t="s">
        <v>12</v>
      </c>
      <c r="F2012" s="2" t="s">
        <v>39</v>
      </c>
      <c r="G2012" s="2" t="s">
        <v>19</v>
      </c>
      <c r="H2012" s="4">
        <v>56699</v>
      </c>
      <c r="I2012" s="4">
        <v>57800</v>
      </c>
    </row>
    <row r="2013" spans="1:9" x14ac:dyDescent="0.3">
      <c r="A2013" s="2" t="s">
        <v>2045</v>
      </c>
      <c r="B2013" s="3">
        <v>45949</v>
      </c>
      <c r="C2013" s="2" t="s">
        <v>16</v>
      </c>
      <c r="D2013" s="2" t="s">
        <v>11</v>
      </c>
      <c r="E2013" s="2" t="s">
        <v>17</v>
      </c>
      <c r="F2013" s="2" t="s">
        <v>33</v>
      </c>
      <c r="G2013" s="2" t="s">
        <v>19</v>
      </c>
      <c r="H2013" s="4">
        <v>22003</v>
      </c>
      <c r="I2013" s="4">
        <v>20800</v>
      </c>
    </row>
    <row r="2014" spans="1:9" x14ac:dyDescent="0.3">
      <c r="A2014" s="2" t="s">
        <v>2046</v>
      </c>
      <c r="B2014" s="3">
        <v>45949</v>
      </c>
      <c r="C2014" s="2" t="s">
        <v>25</v>
      </c>
      <c r="D2014" s="2" t="s">
        <v>11</v>
      </c>
      <c r="E2014" s="2" t="s">
        <v>22</v>
      </c>
      <c r="F2014" s="2" t="s">
        <v>39</v>
      </c>
      <c r="G2014" s="2" t="s">
        <v>19</v>
      </c>
      <c r="H2014" s="4">
        <v>53580</v>
      </c>
      <c r="I2014" s="4">
        <v>56100</v>
      </c>
    </row>
    <row r="2015" spans="1:9" x14ac:dyDescent="0.3">
      <c r="A2015" s="2" t="s">
        <v>2047</v>
      </c>
      <c r="B2015" s="3">
        <v>45949</v>
      </c>
      <c r="C2015" s="2" t="s">
        <v>25</v>
      </c>
      <c r="D2015" s="2" t="s">
        <v>11</v>
      </c>
      <c r="E2015" s="2" t="s">
        <v>22</v>
      </c>
      <c r="F2015" s="2" t="s">
        <v>39</v>
      </c>
      <c r="G2015" s="2" t="s">
        <v>19</v>
      </c>
      <c r="H2015" s="4">
        <v>27326</v>
      </c>
      <c r="I2015" s="4">
        <v>31800</v>
      </c>
    </row>
    <row r="2016" spans="1:9" x14ac:dyDescent="0.3">
      <c r="A2016" s="2" t="s">
        <v>2048</v>
      </c>
      <c r="B2016" s="3">
        <v>45949</v>
      </c>
      <c r="C2016" s="2" t="s">
        <v>25</v>
      </c>
      <c r="D2016" s="2" t="s">
        <v>11</v>
      </c>
      <c r="E2016" s="2" t="s">
        <v>22</v>
      </c>
      <c r="F2016" s="2" t="s">
        <v>59</v>
      </c>
      <c r="G2016" s="2" t="s">
        <v>14</v>
      </c>
      <c r="H2016" s="4">
        <v>149390</v>
      </c>
      <c r="I2016" s="4">
        <v>143900</v>
      </c>
    </row>
    <row r="2017" spans="1:9" x14ac:dyDescent="0.3">
      <c r="A2017" s="2" t="s">
        <v>2049</v>
      </c>
      <c r="B2017" s="3">
        <v>45949</v>
      </c>
      <c r="C2017" s="2" t="s">
        <v>31</v>
      </c>
      <c r="D2017" s="2" t="s">
        <v>11</v>
      </c>
      <c r="E2017" s="2" t="s">
        <v>17</v>
      </c>
      <c r="F2017" s="2" t="s">
        <v>56</v>
      </c>
      <c r="G2017" s="2" t="s">
        <v>19</v>
      </c>
      <c r="H2017" s="4">
        <v>43747</v>
      </c>
      <c r="I2017" s="4">
        <v>40900</v>
      </c>
    </row>
    <row r="2018" spans="1:9" x14ac:dyDescent="0.3">
      <c r="A2018" s="2" t="s">
        <v>2050</v>
      </c>
      <c r="B2018" s="3">
        <v>45949</v>
      </c>
      <c r="C2018" s="2" t="s">
        <v>31</v>
      </c>
      <c r="D2018" s="2" t="s">
        <v>11</v>
      </c>
      <c r="E2018" s="2" t="s">
        <v>17</v>
      </c>
      <c r="F2018" s="2" t="s">
        <v>56</v>
      </c>
      <c r="G2018" s="2" t="s">
        <v>19</v>
      </c>
      <c r="H2018" s="4">
        <v>111940</v>
      </c>
      <c r="I2018" s="4">
        <v>117300</v>
      </c>
    </row>
    <row r="2019" spans="1:9" x14ac:dyDescent="0.3">
      <c r="A2019" s="2" t="s">
        <v>2051</v>
      </c>
      <c r="B2019" s="3">
        <v>45949</v>
      </c>
      <c r="C2019" s="2" t="s">
        <v>31</v>
      </c>
      <c r="D2019" s="2" t="s">
        <v>11</v>
      </c>
      <c r="E2019" s="2" t="s">
        <v>17</v>
      </c>
      <c r="F2019" s="2" t="s">
        <v>12</v>
      </c>
      <c r="G2019" s="2" t="s">
        <v>14</v>
      </c>
      <c r="H2019" s="4">
        <v>234579</v>
      </c>
      <c r="I2019" s="4">
        <v>232900</v>
      </c>
    </row>
    <row r="2020" spans="1:9" x14ac:dyDescent="0.3">
      <c r="A2020" s="2" t="s">
        <v>2052</v>
      </c>
      <c r="B2020" s="3">
        <v>45949</v>
      </c>
      <c r="C2020" s="2" t="s">
        <v>55</v>
      </c>
      <c r="D2020" s="2" t="s">
        <v>11</v>
      </c>
      <c r="E2020" s="2" t="s">
        <v>37</v>
      </c>
      <c r="F2020" s="2" t="s">
        <v>59</v>
      </c>
      <c r="G2020" s="2" t="s">
        <v>14</v>
      </c>
      <c r="H2020" s="4">
        <v>77724</v>
      </c>
      <c r="I2020" s="4">
        <v>63400</v>
      </c>
    </row>
    <row r="2021" spans="1:9" x14ac:dyDescent="0.3">
      <c r="A2021" s="2" t="s">
        <v>2053</v>
      </c>
      <c r="B2021" s="3">
        <v>45949</v>
      </c>
      <c r="C2021" s="2" t="s">
        <v>55</v>
      </c>
      <c r="D2021" s="2" t="s">
        <v>11</v>
      </c>
      <c r="E2021" s="2" t="s">
        <v>37</v>
      </c>
      <c r="F2021" s="2" t="s">
        <v>59</v>
      </c>
      <c r="G2021" s="2" t="s">
        <v>14</v>
      </c>
      <c r="H2021" s="4">
        <v>106255</v>
      </c>
      <c r="I2021" s="4">
        <v>118600</v>
      </c>
    </row>
    <row r="2022" spans="1:9" x14ac:dyDescent="0.3">
      <c r="A2022" s="2" t="s">
        <v>2054</v>
      </c>
      <c r="B2022" s="3">
        <v>45950</v>
      </c>
      <c r="C2022" s="2" t="s">
        <v>62</v>
      </c>
      <c r="D2022" s="2" t="s">
        <v>11</v>
      </c>
      <c r="E2022" s="2" t="s">
        <v>22</v>
      </c>
      <c r="F2022" s="2" t="s">
        <v>46</v>
      </c>
      <c r="G2022" s="2" t="s">
        <v>19</v>
      </c>
      <c r="H2022" s="4">
        <v>45470</v>
      </c>
      <c r="I2022" s="4">
        <v>38800</v>
      </c>
    </row>
    <row r="2023" spans="1:9" x14ac:dyDescent="0.3">
      <c r="A2023" s="2" t="s">
        <v>2055</v>
      </c>
      <c r="B2023" s="3">
        <v>45950</v>
      </c>
      <c r="C2023" s="2" t="s">
        <v>62</v>
      </c>
      <c r="D2023" s="2" t="s">
        <v>11</v>
      </c>
      <c r="E2023" s="2" t="s">
        <v>22</v>
      </c>
      <c r="F2023" s="2" t="s">
        <v>59</v>
      </c>
      <c r="G2023" s="2" t="s">
        <v>14</v>
      </c>
      <c r="H2023" s="4">
        <v>106433</v>
      </c>
      <c r="I2023" s="4">
        <v>108000</v>
      </c>
    </row>
    <row r="2024" spans="1:9" x14ac:dyDescent="0.3">
      <c r="A2024" s="2" t="s">
        <v>2056</v>
      </c>
      <c r="B2024" s="3">
        <v>45950</v>
      </c>
      <c r="C2024" s="2" t="s">
        <v>10</v>
      </c>
      <c r="D2024" s="2" t="s">
        <v>11</v>
      </c>
      <c r="E2024" s="2" t="s">
        <v>12</v>
      </c>
      <c r="F2024" s="2" t="s">
        <v>18</v>
      </c>
      <c r="G2024" s="2" t="s">
        <v>19</v>
      </c>
      <c r="H2024" s="4">
        <v>12838</v>
      </c>
      <c r="I2024" s="4">
        <v>15000</v>
      </c>
    </row>
    <row r="2025" spans="1:9" x14ac:dyDescent="0.3">
      <c r="A2025" s="2" t="s">
        <v>2057</v>
      </c>
      <c r="B2025" s="3">
        <v>45950</v>
      </c>
      <c r="C2025" s="2" t="s">
        <v>10</v>
      </c>
      <c r="D2025" s="2" t="s">
        <v>11</v>
      </c>
      <c r="E2025" s="2" t="s">
        <v>12</v>
      </c>
      <c r="F2025" s="2" t="s">
        <v>42</v>
      </c>
      <c r="G2025" s="2" t="s">
        <v>19</v>
      </c>
      <c r="H2025" s="4">
        <v>29283</v>
      </c>
      <c r="I2025" s="4">
        <v>27600</v>
      </c>
    </row>
    <row r="2026" spans="1:9" x14ac:dyDescent="0.3">
      <c r="A2026" s="2" t="s">
        <v>2058</v>
      </c>
      <c r="B2026" s="3">
        <v>45950</v>
      </c>
      <c r="C2026" s="2" t="s">
        <v>16</v>
      </c>
      <c r="D2026" s="2" t="s">
        <v>11</v>
      </c>
      <c r="E2026" s="2" t="s">
        <v>17</v>
      </c>
      <c r="F2026" s="2" t="s">
        <v>13</v>
      </c>
      <c r="G2026" s="2" t="s">
        <v>14</v>
      </c>
      <c r="H2026" s="4">
        <v>234107</v>
      </c>
      <c r="I2026" s="4">
        <v>255200</v>
      </c>
    </row>
    <row r="2027" spans="1:9" x14ac:dyDescent="0.3">
      <c r="A2027" s="2" t="s">
        <v>2059</v>
      </c>
      <c r="B2027" s="3">
        <v>45950</v>
      </c>
      <c r="C2027" s="2" t="s">
        <v>36</v>
      </c>
      <c r="D2027" s="2" t="s">
        <v>11</v>
      </c>
      <c r="E2027" s="2" t="s">
        <v>37</v>
      </c>
      <c r="F2027" s="2" t="s">
        <v>37</v>
      </c>
      <c r="G2027" s="2" t="s">
        <v>14</v>
      </c>
      <c r="H2027" s="4">
        <v>249307</v>
      </c>
      <c r="I2027" s="4">
        <v>253600</v>
      </c>
    </row>
    <row r="2028" spans="1:9" x14ac:dyDescent="0.3">
      <c r="A2028" s="2" t="s">
        <v>2060</v>
      </c>
      <c r="B2028" s="3">
        <v>45950</v>
      </c>
      <c r="C2028" s="2" t="s">
        <v>25</v>
      </c>
      <c r="D2028" s="2" t="s">
        <v>11</v>
      </c>
      <c r="E2028" s="2" t="s">
        <v>22</v>
      </c>
      <c r="F2028" s="2" t="s">
        <v>56</v>
      </c>
      <c r="G2028" s="2" t="s">
        <v>19</v>
      </c>
      <c r="H2028" s="4">
        <v>113370</v>
      </c>
      <c r="I2028" s="4">
        <v>140900</v>
      </c>
    </row>
    <row r="2029" spans="1:9" x14ac:dyDescent="0.3">
      <c r="A2029" s="2" t="s">
        <v>2061</v>
      </c>
      <c r="B2029" s="3">
        <v>45950</v>
      </c>
      <c r="C2029" s="2" t="s">
        <v>25</v>
      </c>
      <c r="D2029" s="2" t="s">
        <v>11</v>
      </c>
      <c r="E2029" s="2" t="s">
        <v>22</v>
      </c>
      <c r="F2029" s="2" t="s">
        <v>26</v>
      </c>
      <c r="G2029" s="2" t="s">
        <v>14</v>
      </c>
      <c r="H2029" s="4">
        <v>172426</v>
      </c>
      <c r="I2029" s="4">
        <v>191100</v>
      </c>
    </row>
    <row r="2030" spans="1:9" x14ac:dyDescent="0.3">
      <c r="A2030" s="2" t="s">
        <v>2062</v>
      </c>
      <c r="B2030" s="3">
        <v>45950</v>
      </c>
      <c r="C2030" s="2" t="s">
        <v>55</v>
      </c>
      <c r="D2030" s="2" t="s">
        <v>11</v>
      </c>
      <c r="E2030" s="2" t="s">
        <v>37</v>
      </c>
      <c r="F2030" s="2" t="s">
        <v>56</v>
      </c>
      <c r="G2030" s="2" t="s">
        <v>19</v>
      </c>
      <c r="H2030" s="4">
        <v>28874</v>
      </c>
      <c r="I2030" s="4">
        <v>26900</v>
      </c>
    </row>
    <row r="2031" spans="1:9" x14ac:dyDescent="0.3">
      <c r="A2031" s="2" t="s">
        <v>2063</v>
      </c>
      <c r="B2031" s="3">
        <v>45950</v>
      </c>
      <c r="C2031" s="2" t="s">
        <v>55</v>
      </c>
      <c r="D2031" s="2" t="s">
        <v>11</v>
      </c>
      <c r="E2031" s="2" t="s">
        <v>37</v>
      </c>
      <c r="F2031" s="2" t="s">
        <v>33</v>
      </c>
      <c r="G2031" s="2" t="s">
        <v>19</v>
      </c>
      <c r="H2031" s="4">
        <v>19896</v>
      </c>
      <c r="I2031" s="4">
        <v>20100</v>
      </c>
    </row>
    <row r="2032" spans="1:9" x14ac:dyDescent="0.3">
      <c r="A2032" s="2" t="s">
        <v>2064</v>
      </c>
      <c r="B2032" s="3">
        <v>45950</v>
      </c>
      <c r="C2032" s="2" t="s">
        <v>55</v>
      </c>
      <c r="D2032" s="2" t="s">
        <v>11</v>
      </c>
      <c r="E2032" s="2" t="s">
        <v>37</v>
      </c>
      <c r="F2032" s="2" t="s">
        <v>46</v>
      </c>
      <c r="G2032" s="2" t="s">
        <v>19</v>
      </c>
      <c r="H2032" s="4">
        <v>18061</v>
      </c>
      <c r="I2032" s="4">
        <v>18100</v>
      </c>
    </row>
    <row r="2033" spans="1:9" x14ac:dyDescent="0.3">
      <c r="A2033" s="2" t="s">
        <v>2065</v>
      </c>
      <c r="B2033" s="3">
        <v>45951</v>
      </c>
      <c r="C2033" s="2" t="s">
        <v>62</v>
      </c>
      <c r="D2033" s="2" t="s">
        <v>11</v>
      </c>
      <c r="E2033" s="2" t="s">
        <v>22</v>
      </c>
      <c r="F2033" s="2" t="s">
        <v>23</v>
      </c>
      <c r="G2033" s="2" t="s">
        <v>14</v>
      </c>
      <c r="H2033" s="4">
        <v>145842</v>
      </c>
      <c r="I2033" s="4">
        <v>172100</v>
      </c>
    </row>
    <row r="2034" spans="1:9" x14ac:dyDescent="0.3">
      <c r="A2034" s="2" t="s">
        <v>2066</v>
      </c>
      <c r="B2034" s="3">
        <v>45951</v>
      </c>
      <c r="C2034" s="2" t="s">
        <v>16</v>
      </c>
      <c r="D2034" s="2" t="s">
        <v>11</v>
      </c>
      <c r="E2034" s="2" t="s">
        <v>17</v>
      </c>
      <c r="F2034" s="2" t="s">
        <v>37</v>
      </c>
      <c r="G2034" s="2" t="s">
        <v>14</v>
      </c>
      <c r="H2034" s="4">
        <v>70111</v>
      </c>
      <c r="I2034" s="4">
        <v>70200</v>
      </c>
    </row>
    <row r="2035" spans="1:9" x14ac:dyDescent="0.3">
      <c r="A2035" s="2" t="s">
        <v>2067</v>
      </c>
      <c r="B2035" s="3">
        <v>45951</v>
      </c>
      <c r="C2035" s="2" t="s">
        <v>21</v>
      </c>
      <c r="D2035" s="2" t="s">
        <v>11</v>
      </c>
      <c r="E2035" s="2" t="s">
        <v>22</v>
      </c>
      <c r="F2035" s="2" t="s">
        <v>56</v>
      </c>
      <c r="G2035" s="2" t="s">
        <v>19</v>
      </c>
      <c r="H2035" s="4">
        <v>68653</v>
      </c>
      <c r="I2035" s="4">
        <v>66000</v>
      </c>
    </row>
    <row r="2036" spans="1:9" x14ac:dyDescent="0.3">
      <c r="A2036" s="2" t="s">
        <v>2068</v>
      </c>
      <c r="B2036" s="3">
        <v>45951</v>
      </c>
      <c r="C2036" s="2" t="s">
        <v>25</v>
      </c>
      <c r="D2036" s="2" t="s">
        <v>11</v>
      </c>
      <c r="E2036" s="2" t="s">
        <v>22</v>
      </c>
      <c r="F2036" s="2" t="s">
        <v>33</v>
      </c>
      <c r="G2036" s="2" t="s">
        <v>19</v>
      </c>
      <c r="H2036" s="4">
        <v>27099</v>
      </c>
      <c r="I2036" s="4">
        <v>26300</v>
      </c>
    </row>
    <row r="2037" spans="1:9" x14ac:dyDescent="0.3">
      <c r="A2037" s="2" t="s">
        <v>2069</v>
      </c>
      <c r="B2037" s="3">
        <v>45951</v>
      </c>
      <c r="C2037" s="2" t="s">
        <v>31</v>
      </c>
      <c r="D2037" s="2" t="s">
        <v>11</v>
      </c>
      <c r="E2037" s="2" t="s">
        <v>17</v>
      </c>
      <c r="F2037" s="2" t="s">
        <v>39</v>
      </c>
      <c r="G2037" s="2" t="s">
        <v>19</v>
      </c>
      <c r="H2037" s="4">
        <v>90972</v>
      </c>
      <c r="I2037" s="4">
        <v>83400</v>
      </c>
    </row>
    <row r="2038" spans="1:9" x14ac:dyDescent="0.3">
      <c r="A2038" s="2" t="s">
        <v>2070</v>
      </c>
      <c r="B2038" s="3">
        <v>45952</v>
      </c>
      <c r="C2038" s="2" t="s">
        <v>62</v>
      </c>
      <c r="D2038" s="2" t="s">
        <v>11</v>
      </c>
      <c r="E2038" s="2" t="s">
        <v>22</v>
      </c>
      <c r="F2038" s="2" t="s">
        <v>18</v>
      </c>
      <c r="G2038" s="2" t="s">
        <v>19</v>
      </c>
      <c r="H2038" s="4">
        <v>44381</v>
      </c>
      <c r="I2038" s="4">
        <v>42500</v>
      </c>
    </row>
    <row r="2039" spans="1:9" x14ac:dyDescent="0.3">
      <c r="A2039" s="2" t="s">
        <v>2071</v>
      </c>
      <c r="B2039" s="3">
        <v>45952</v>
      </c>
      <c r="C2039" s="2" t="s">
        <v>62</v>
      </c>
      <c r="D2039" s="2" t="s">
        <v>11</v>
      </c>
      <c r="E2039" s="2" t="s">
        <v>22</v>
      </c>
      <c r="F2039" s="2" t="s">
        <v>42</v>
      </c>
      <c r="G2039" s="2" t="s">
        <v>19</v>
      </c>
      <c r="H2039" s="4">
        <v>67316</v>
      </c>
      <c r="I2039" s="4">
        <v>65300</v>
      </c>
    </row>
    <row r="2040" spans="1:9" x14ac:dyDescent="0.3">
      <c r="A2040" s="2" t="s">
        <v>2072</v>
      </c>
      <c r="B2040" s="3">
        <v>45952</v>
      </c>
      <c r="C2040" s="2" t="s">
        <v>10</v>
      </c>
      <c r="D2040" s="2" t="s">
        <v>11</v>
      </c>
      <c r="E2040" s="2" t="s">
        <v>12</v>
      </c>
      <c r="F2040" s="2" t="s">
        <v>33</v>
      </c>
      <c r="G2040" s="2" t="s">
        <v>19</v>
      </c>
      <c r="H2040" s="4">
        <v>33727</v>
      </c>
      <c r="I2040" s="4">
        <v>33200</v>
      </c>
    </row>
    <row r="2041" spans="1:9" x14ac:dyDescent="0.3">
      <c r="A2041" s="2" t="s">
        <v>2073</v>
      </c>
      <c r="B2041" s="3">
        <v>45952</v>
      </c>
      <c r="C2041" s="2" t="s">
        <v>10</v>
      </c>
      <c r="D2041" s="2" t="s">
        <v>11</v>
      </c>
      <c r="E2041" s="2" t="s">
        <v>12</v>
      </c>
      <c r="F2041" s="2" t="s">
        <v>39</v>
      </c>
      <c r="G2041" s="2" t="s">
        <v>19</v>
      </c>
      <c r="H2041" s="4">
        <v>22311</v>
      </c>
      <c r="I2041" s="4">
        <v>26300</v>
      </c>
    </row>
    <row r="2042" spans="1:9" x14ac:dyDescent="0.3">
      <c r="A2042" s="2" t="s">
        <v>2074</v>
      </c>
      <c r="B2042" s="3">
        <v>45952</v>
      </c>
      <c r="C2042" s="2" t="s">
        <v>16</v>
      </c>
      <c r="D2042" s="2" t="s">
        <v>11</v>
      </c>
      <c r="E2042" s="2" t="s">
        <v>17</v>
      </c>
      <c r="F2042" s="2" t="s">
        <v>56</v>
      </c>
      <c r="G2042" s="2" t="s">
        <v>19</v>
      </c>
      <c r="H2042" s="4">
        <v>15865</v>
      </c>
      <c r="I2042" s="4">
        <v>16900</v>
      </c>
    </row>
    <row r="2043" spans="1:9" x14ac:dyDescent="0.3">
      <c r="A2043" s="2" t="s">
        <v>2075</v>
      </c>
      <c r="B2043" s="3">
        <v>45952</v>
      </c>
      <c r="C2043" s="2" t="s">
        <v>16</v>
      </c>
      <c r="D2043" s="2" t="s">
        <v>11</v>
      </c>
      <c r="E2043" s="2" t="s">
        <v>17</v>
      </c>
      <c r="F2043" s="2" t="s">
        <v>18</v>
      </c>
      <c r="G2043" s="2" t="s">
        <v>19</v>
      </c>
      <c r="H2043" s="4">
        <v>68134</v>
      </c>
      <c r="I2043" s="4">
        <v>70300</v>
      </c>
    </row>
    <row r="2044" spans="1:9" x14ac:dyDescent="0.3">
      <c r="A2044" s="2" t="s">
        <v>2076</v>
      </c>
      <c r="B2044" s="3">
        <v>45952</v>
      </c>
      <c r="C2044" s="2" t="s">
        <v>16</v>
      </c>
      <c r="D2044" s="2" t="s">
        <v>11</v>
      </c>
      <c r="E2044" s="2" t="s">
        <v>17</v>
      </c>
      <c r="F2044" s="2" t="s">
        <v>26</v>
      </c>
      <c r="G2044" s="2" t="s">
        <v>14</v>
      </c>
      <c r="H2044" s="4">
        <v>218615</v>
      </c>
      <c r="I2044" s="4">
        <v>209600</v>
      </c>
    </row>
    <row r="2045" spans="1:9" x14ac:dyDescent="0.3">
      <c r="A2045" s="2" t="s">
        <v>2077</v>
      </c>
      <c r="B2045" s="3">
        <v>45952</v>
      </c>
      <c r="C2045" s="2" t="s">
        <v>16</v>
      </c>
      <c r="D2045" s="2" t="s">
        <v>11</v>
      </c>
      <c r="E2045" s="2" t="s">
        <v>17</v>
      </c>
      <c r="F2045" s="2" t="s">
        <v>59</v>
      </c>
      <c r="G2045" s="2" t="s">
        <v>14</v>
      </c>
      <c r="H2045" s="4">
        <v>221091</v>
      </c>
      <c r="I2045" s="4">
        <v>198600</v>
      </c>
    </row>
    <row r="2046" spans="1:9" x14ac:dyDescent="0.3">
      <c r="A2046" s="2" t="s">
        <v>2078</v>
      </c>
      <c r="B2046" s="3">
        <v>45952</v>
      </c>
      <c r="C2046" s="2" t="s">
        <v>36</v>
      </c>
      <c r="D2046" s="2" t="s">
        <v>11</v>
      </c>
      <c r="E2046" s="2" t="s">
        <v>37</v>
      </c>
      <c r="F2046" s="2" t="s">
        <v>12</v>
      </c>
      <c r="G2046" s="2" t="s">
        <v>14</v>
      </c>
      <c r="H2046" s="4">
        <v>219284</v>
      </c>
      <c r="I2046" s="4">
        <v>175000</v>
      </c>
    </row>
    <row r="2047" spans="1:9" x14ac:dyDescent="0.3">
      <c r="A2047" s="2" t="s">
        <v>2079</v>
      </c>
      <c r="B2047" s="3">
        <v>45952</v>
      </c>
      <c r="C2047" s="2" t="s">
        <v>21</v>
      </c>
      <c r="D2047" s="2" t="s">
        <v>11</v>
      </c>
      <c r="E2047" s="2" t="s">
        <v>22</v>
      </c>
      <c r="F2047" s="2" t="s">
        <v>39</v>
      </c>
      <c r="G2047" s="2" t="s">
        <v>19</v>
      </c>
      <c r="H2047" s="4">
        <v>26855</v>
      </c>
      <c r="I2047" s="4">
        <v>30800</v>
      </c>
    </row>
    <row r="2048" spans="1:9" x14ac:dyDescent="0.3">
      <c r="A2048" s="2" t="s">
        <v>2080</v>
      </c>
      <c r="B2048" s="3">
        <v>45952</v>
      </c>
      <c r="C2048" s="2" t="s">
        <v>25</v>
      </c>
      <c r="D2048" s="2" t="s">
        <v>11</v>
      </c>
      <c r="E2048" s="2" t="s">
        <v>22</v>
      </c>
      <c r="F2048" s="2" t="s">
        <v>23</v>
      </c>
      <c r="G2048" s="2" t="s">
        <v>14</v>
      </c>
      <c r="H2048" s="4">
        <v>126446</v>
      </c>
      <c r="I2048" s="4">
        <v>114700</v>
      </c>
    </row>
    <row r="2049" spans="1:9" x14ac:dyDescent="0.3">
      <c r="A2049" s="2" t="s">
        <v>2081</v>
      </c>
      <c r="B2049" s="3">
        <v>45953</v>
      </c>
      <c r="C2049" s="2" t="s">
        <v>36</v>
      </c>
      <c r="D2049" s="2" t="s">
        <v>11</v>
      </c>
      <c r="E2049" s="2" t="s">
        <v>37</v>
      </c>
      <c r="F2049" s="2" t="s">
        <v>42</v>
      </c>
      <c r="G2049" s="2" t="s">
        <v>19</v>
      </c>
      <c r="H2049" s="4">
        <v>14902</v>
      </c>
      <c r="I2049" s="4">
        <v>14200</v>
      </c>
    </row>
    <row r="2050" spans="1:9" x14ac:dyDescent="0.3">
      <c r="A2050" s="2" t="s">
        <v>2082</v>
      </c>
      <c r="B2050" s="3">
        <v>45953</v>
      </c>
      <c r="C2050" s="2" t="s">
        <v>25</v>
      </c>
      <c r="D2050" s="2" t="s">
        <v>11</v>
      </c>
      <c r="E2050" s="2" t="s">
        <v>22</v>
      </c>
      <c r="F2050" s="2" t="s">
        <v>39</v>
      </c>
      <c r="G2050" s="2" t="s">
        <v>19</v>
      </c>
      <c r="H2050" s="4">
        <v>77175</v>
      </c>
      <c r="I2050" s="4">
        <v>71600</v>
      </c>
    </row>
    <row r="2051" spans="1:9" x14ac:dyDescent="0.3">
      <c r="A2051" s="2" t="s">
        <v>2083</v>
      </c>
      <c r="B2051" s="3">
        <v>45953</v>
      </c>
      <c r="C2051" s="2" t="s">
        <v>31</v>
      </c>
      <c r="D2051" s="2" t="s">
        <v>11</v>
      </c>
      <c r="E2051" s="2" t="s">
        <v>17</v>
      </c>
      <c r="F2051" s="2" t="s">
        <v>18</v>
      </c>
      <c r="G2051" s="2" t="s">
        <v>19</v>
      </c>
      <c r="H2051" s="4">
        <v>37948</v>
      </c>
      <c r="I2051" s="4">
        <v>32700</v>
      </c>
    </row>
    <row r="2052" spans="1:9" x14ac:dyDescent="0.3">
      <c r="A2052" s="2" t="s">
        <v>2084</v>
      </c>
      <c r="B2052" s="3">
        <v>45953</v>
      </c>
      <c r="C2052" s="2" t="s">
        <v>55</v>
      </c>
      <c r="D2052" s="2" t="s">
        <v>11</v>
      </c>
      <c r="E2052" s="2" t="s">
        <v>37</v>
      </c>
      <c r="F2052" s="2" t="s">
        <v>18</v>
      </c>
      <c r="G2052" s="2" t="s">
        <v>19</v>
      </c>
      <c r="H2052" s="4">
        <v>21833</v>
      </c>
      <c r="I2052" s="4">
        <v>23100</v>
      </c>
    </row>
    <row r="2053" spans="1:9" x14ac:dyDescent="0.3">
      <c r="A2053" s="2" t="s">
        <v>2085</v>
      </c>
      <c r="B2053" s="3">
        <v>45954</v>
      </c>
      <c r="C2053" s="2" t="s">
        <v>62</v>
      </c>
      <c r="D2053" s="2" t="s">
        <v>11</v>
      </c>
      <c r="E2053" s="2" t="s">
        <v>22</v>
      </c>
      <c r="F2053" s="2" t="s">
        <v>46</v>
      </c>
      <c r="G2053" s="2" t="s">
        <v>19</v>
      </c>
      <c r="H2053" s="4">
        <v>81368</v>
      </c>
      <c r="I2053" s="4">
        <v>88400</v>
      </c>
    </row>
    <row r="2054" spans="1:9" x14ac:dyDescent="0.3">
      <c r="A2054" s="2" t="s">
        <v>2086</v>
      </c>
      <c r="B2054" s="3">
        <v>45954</v>
      </c>
      <c r="C2054" s="2" t="s">
        <v>62</v>
      </c>
      <c r="D2054" s="2" t="s">
        <v>11</v>
      </c>
      <c r="E2054" s="2" t="s">
        <v>22</v>
      </c>
      <c r="F2054" s="2" t="s">
        <v>37</v>
      </c>
      <c r="G2054" s="2" t="s">
        <v>14</v>
      </c>
      <c r="H2054" s="4">
        <v>215729</v>
      </c>
      <c r="I2054" s="4">
        <v>238400</v>
      </c>
    </row>
    <row r="2055" spans="1:9" x14ac:dyDescent="0.3">
      <c r="A2055" s="2" t="s">
        <v>2087</v>
      </c>
      <c r="B2055" s="3">
        <v>45954</v>
      </c>
      <c r="C2055" s="2" t="s">
        <v>16</v>
      </c>
      <c r="D2055" s="2" t="s">
        <v>11</v>
      </c>
      <c r="E2055" s="2" t="s">
        <v>17</v>
      </c>
      <c r="F2055" s="2" t="s">
        <v>33</v>
      </c>
      <c r="G2055" s="2" t="s">
        <v>19</v>
      </c>
      <c r="H2055" s="4">
        <v>76069</v>
      </c>
      <c r="I2055" s="4">
        <v>74700</v>
      </c>
    </row>
    <row r="2056" spans="1:9" x14ac:dyDescent="0.3">
      <c r="A2056" s="2" t="s">
        <v>2088</v>
      </c>
      <c r="B2056" s="3">
        <v>45954</v>
      </c>
      <c r="C2056" s="2" t="s">
        <v>16</v>
      </c>
      <c r="D2056" s="2" t="s">
        <v>11</v>
      </c>
      <c r="E2056" s="2" t="s">
        <v>17</v>
      </c>
      <c r="F2056" s="2" t="s">
        <v>37</v>
      </c>
      <c r="G2056" s="2" t="s">
        <v>14</v>
      </c>
      <c r="H2056" s="4">
        <v>78509</v>
      </c>
      <c r="I2056" s="4">
        <v>77600</v>
      </c>
    </row>
    <row r="2057" spans="1:9" x14ac:dyDescent="0.3">
      <c r="A2057" s="2" t="s">
        <v>2089</v>
      </c>
      <c r="B2057" s="3">
        <v>45954</v>
      </c>
      <c r="C2057" s="2" t="s">
        <v>21</v>
      </c>
      <c r="D2057" s="2" t="s">
        <v>11</v>
      </c>
      <c r="E2057" s="2" t="s">
        <v>22</v>
      </c>
      <c r="F2057" s="2" t="s">
        <v>46</v>
      </c>
      <c r="G2057" s="2" t="s">
        <v>19</v>
      </c>
      <c r="H2057" s="4">
        <v>51736</v>
      </c>
      <c r="I2057" s="4">
        <v>42600</v>
      </c>
    </row>
    <row r="2058" spans="1:9" x14ac:dyDescent="0.3">
      <c r="A2058" s="2" t="s">
        <v>2090</v>
      </c>
      <c r="B2058" s="3">
        <v>45954</v>
      </c>
      <c r="C2058" s="2" t="s">
        <v>25</v>
      </c>
      <c r="D2058" s="2" t="s">
        <v>11</v>
      </c>
      <c r="E2058" s="2" t="s">
        <v>22</v>
      </c>
      <c r="F2058" s="2" t="s">
        <v>59</v>
      </c>
      <c r="G2058" s="2" t="s">
        <v>14</v>
      </c>
      <c r="H2058" s="4">
        <v>205979</v>
      </c>
      <c r="I2058" s="4">
        <v>188200</v>
      </c>
    </row>
    <row r="2059" spans="1:9" x14ac:dyDescent="0.3">
      <c r="A2059" s="2" t="s">
        <v>2091</v>
      </c>
      <c r="B2059" s="3">
        <v>45954</v>
      </c>
      <c r="C2059" s="2" t="s">
        <v>25</v>
      </c>
      <c r="D2059" s="2" t="s">
        <v>11</v>
      </c>
      <c r="E2059" s="2" t="s">
        <v>22</v>
      </c>
      <c r="F2059" s="2" t="s">
        <v>26</v>
      </c>
      <c r="G2059" s="2" t="s">
        <v>14</v>
      </c>
      <c r="H2059" s="4">
        <v>210695</v>
      </c>
      <c r="I2059" s="4">
        <v>206400</v>
      </c>
    </row>
    <row r="2060" spans="1:9" x14ac:dyDescent="0.3">
      <c r="A2060" s="2" t="s">
        <v>2092</v>
      </c>
      <c r="B2060" s="3">
        <v>45954</v>
      </c>
      <c r="C2060" s="2" t="s">
        <v>55</v>
      </c>
      <c r="D2060" s="2" t="s">
        <v>11</v>
      </c>
      <c r="E2060" s="2" t="s">
        <v>37</v>
      </c>
      <c r="F2060" s="2" t="s">
        <v>46</v>
      </c>
      <c r="G2060" s="2" t="s">
        <v>19</v>
      </c>
      <c r="H2060" s="4">
        <v>92227</v>
      </c>
      <c r="I2060" s="4">
        <v>87400</v>
      </c>
    </row>
    <row r="2061" spans="1:9" x14ac:dyDescent="0.3">
      <c r="A2061" s="2" t="s">
        <v>2093</v>
      </c>
      <c r="B2061" s="3">
        <v>45954</v>
      </c>
      <c r="C2061" s="2" t="s">
        <v>55</v>
      </c>
      <c r="D2061" s="2" t="s">
        <v>11</v>
      </c>
      <c r="E2061" s="2" t="s">
        <v>37</v>
      </c>
      <c r="F2061" s="2" t="s">
        <v>37</v>
      </c>
      <c r="G2061" s="2" t="s">
        <v>14</v>
      </c>
      <c r="H2061" s="4">
        <v>201314</v>
      </c>
      <c r="I2061" s="4">
        <v>206800</v>
      </c>
    </row>
    <row r="2062" spans="1:9" x14ac:dyDescent="0.3">
      <c r="A2062" s="2" t="s">
        <v>2094</v>
      </c>
      <c r="B2062" s="3">
        <v>45955</v>
      </c>
      <c r="C2062" s="2" t="s">
        <v>62</v>
      </c>
      <c r="D2062" s="2" t="s">
        <v>11</v>
      </c>
      <c r="E2062" s="2" t="s">
        <v>22</v>
      </c>
      <c r="F2062" s="2" t="s">
        <v>59</v>
      </c>
      <c r="G2062" s="2" t="s">
        <v>14</v>
      </c>
      <c r="H2062" s="4">
        <v>179775</v>
      </c>
      <c r="I2062" s="4">
        <v>158800</v>
      </c>
    </row>
    <row r="2063" spans="1:9" x14ac:dyDescent="0.3">
      <c r="A2063" s="2" t="s">
        <v>2095</v>
      </c>
      <c r="B2063" s="3">
        <v>45955</v>
      </c>
      <c r="C2063" s="2" t="s">
        <v>62</v>
      </c>
      <c r="D2063" s="2" t="s">
        <v>11</v>
      </c>
      <c r="E2063" s="2" t="s">
        <v>22</v>
      </c>
      <c r="F2063" s="2" t="s">
        <v>59</v>
      </c>
      <c r="G2063" s="2" t="s">
        <v>14</v>
      </c>
      <c r="H2063" s="4">
        <v>225304</v>
      </c>
      <c r="I2063" s="4">
        <v>200300</v>
      </c>
    </row>
    <row r="2064" spans="1:9" x14ac:dyDescent="0.3">
      <c r="A2064" s="2" t="s">
        <v>2096</v>
      </c>
      <c r="B2064" s="3">
        <v>45955</v>
      </c>
      <c r="C2064" s="2" t="s">
        <v>10</v>
      </c>
      <c r="D2064" s="2" t="s">
        <v>11</v>
      </c>
      <c r="E2064" s="2" t="s">
        <v>12</v>
      </c>
      <c r="F2064" s="2" t="s">
        <v>37</v>
      </c>
      <c r="G2064" s="2" t="s">
        <v>14</v>
      </c>
      <c r="H2064" s="4">
        <v>236907</v>
      </c>
      <c r="I2064" s="4">
        <v>230900</v>
      </c>
    </row>
    <row r="2065" spans="1:9" x14ac:dyDescent="0.3">
      <c r="A2065" s="2" t="s">
        <v>2097</v>
      </c>
      <c r="B2065" s="3">
        <v>45955</v>
      </c>
      <c r="C2065" s="2" t="s">
        <v>10</v>
      </c>
      <c r="D2065" s="2" t="s">
        <v>11</v>
      </c>
      <c r="E2065" s="2" t="s">
        <v>12</v>
      </c>
      <c r="F2065" s="2" t="s">
        <v>23</v>
      </c>
      <c r="G2065" s="2" t="s">
        <v>14</v>
      </c>
      <c r="H2065" s="4">
        <v>244715</v>
      </c>
      <c r="I2065" s="4">
        <v>230800</v>
      </c>
    </row>
    <row r="2066" spans="1:9" x14ac:dyDescent="0.3">
      <c r="A2066" s="2" t="s">
        <v>2098</v>
      </c>
      <c r="B2066" s="3">
        <v>45955</v>
      </c>
      <c r="C2066" s="2" t="s">
        <v>16</v>
      </c>
      <c r="D2066" s="2" t="s">
        <v>11</v>
      </c>
      <c r="E2066" s="2" t="s">
        <v>17</v>
      </c>
      <c r="F2066" s="2" t="s">
        <v>18</v>
      </c>
      <c r="G2066" s="2" t="s">
        <v>19</v>
      </c>
      <c r="H2066" s="4">
        <v>68889</v>
      </c>
      <c r="I2066" s="4">
        <v>77800</v>
      </c>
    </row>
    <row r="2067" spans="1:9" x14ac:dyDescent="0.3">
      <c r="A2067" s="2" t="s">
        <v>2099</v>
      </c>
      <c r="B2067" s="3">
        <v>45955</v>
      </c>
      <c r="C2067" s="2" t="s">
        <v>16</v>
      </c>
      <c r="D2067" s="2" t="s">
        <v>11</v>
      </c>
      <c r="E2067" s="2" t="s">
        <v>17</v>
      </c>
      <c r="F2067" s="2" t="s">
        <v>13</v>
      </c>
      <c r="G2067" s="2" t="s">
        <v>14</v>
      </c>
      <c r="H2067" s="4">
        <v>93881</v>
      </c>
      <c r="I2067" s="4">
        <v>85700</v>
      </c>
    </row>
    <row r="2068" spans="1:9" x14ac:dyDescent="0.3">
      <c r="A2068" s="2" t="s">
        <v>2100</v>
      </c>
      <c r="B2068" s="3">
        <v>45955</v>
      </c>
      <c r="C2068" s="2" t="s">
        <v>16</v>
      </c>
      <c r="D2068" s="2" t="s">
        <v>11</v>
      </c>
      <c r="E2068" s="2" t="s">
        <v>17</v>
      </c>
      <c r="F2068" s="2" t="s">
        <v>59</v>
      </c>
      <c r="G2068" s="2" t="s">
        <v>14</v>
      </c>
      <c r="H2068" s="4">
        <v>160785</v>
      </c>
      <c r="I2068" s="4">
        <v>122700</v>
      </c>
    </row>
    <row r="2069" spans="1:9" x14ac:dyDescent="0.3">
      <c r="A2069" s="2" t="s">
        <v>2101</v>
      </c>
      <c r="B2069" s="3">
        <v>45955</v>
      </c>
      <c r="C2069" s="2" t="s">
        <v>36</v>
      </c>
      <c r="D2069" s="2" t="s">
        <v>11</v>
      </c>
      <c r="E2069" s="2" t="s">
        <v>37</v>
      </c>
      <c r="F2069" s="2" t="s">
        <v>23</v>
      </c>
      <c r="G2069" s="2" t="s">
        <v>14</v>
      </c>
      <c r="H2069" s="4">
        <v>143852</v>
      </c>
      <c r="I2069" s="4">
        <v>162900</v>
      </c>
    </row>
    <row r="2070" spans="1:9" x14ac:dyDescent="0.3">
      <c r="A2070" s="2" t="s">
        <v>2102</v>
      </c>
      <c r="B2070" s="3">
        <v>45955</v>
      </c>
      <c r="C2070" s="2" t="s">
        <v>36</v>
      </c>
      <c r="D2070" s="2" t="s">
        <v>11</v>
      </c>
      <c r="E2070" s="2" t="s">
        <v>37</v>
      </c>
      <c r="F2070" s="2" t="s">
        <v>13</v>
      </c>
      <c r="G2070" s="2" t="s">
        <v>14</v>
      </c>
      <c r="H2070" s="4">
        <v>37914</v>
      </c>
      <c r="I2070" s="4">
        <v>35900</v>
      </c>
    </row>
    <row r="2071" spans="1:9" x14ac:dyDescent="0.3">
      <c r="A2071" s="2" t="s">
        <v>2103</v>
      </c>
      <c r="B2071" s="3">
        <v>45955</v>
      </c>
      <c r="C2071" s="2" t="s">
        <v>25</v>
      </c>
      <c r="D2071" s="2" t="s">
        <v>11</v>
      </c>
      <c r="E2071" s="2" t="s">
        <v>22</v>
      </c>
      <c r="F2071" s="2" t="s">
        <v>18</v>
      </c>
      <c r="G2071" s="2" t="s">
        <v>19</v>
      </c>
      <c r="H2071" s="4">
        <v>107258</v>
      </c>
      <c r="I2071" s="4">
        <v>113100</v>
      </c>
    </row>
    <row r="2072" spans="1:9" x14ac:dyDescent="0.3">
      <c r="A2072" s="2" t="s">
        <v>2104</v>
      </c>
      <c r="B2072" s="3">
        <v>45955</v>
      </c>
      <c r="C2072" s="2" t="s">
        <v>25</v>
      </c>
      <c r="D2072" s="2" t="s">
        <v>11</v>
      </c>
      <c r="E2072" s="2" t="s">
        <v>22</v>
      </c>
      <c r="F2072" s="2" t="s">
        <v>46</v>
      </c>
      <c r="G2072" s="2" t="s">
        <v>19</v>
      </c>
      <c r="H2072" s="4">
        <v>74774</v>
      </c>
      <c r="I2072" s="4">
        <v>96500</v>
      </c>
    </row>
    <row r="2073" spans="1:9" x14ac:dyDescent="0.3">
      <c r="A2073" s="2" t="s">
        <v>2105</v>
      </c>
      <c r="B2073" s="3">
        <v>45955</v>
      </c>
      <c r="C2073" s="2" t="s">
        <v>31</v>
      </c>
      <c r="D2073" s="2" t="s">
        <v>11</v>
      </c>
      <c r="E2073" s="2" t="s">
        <v>17</v>
      </c>
      <c r="F2073" s="2" t="s">
        <v>37</v>
      </c>
      <c r="G2073" s="2" t="s">
        <v>14</v>
      </c>
      <c r="H2073" s="4">
        <v>76094</v>
      </c>
      <c r="I2073" s="4">
        <v>84200</v>
      </c>
    </row>
    <row r="2074" spans="1:9" x14ac:dyDescent="0.3">
      <c r="A2074" s="2" t="s">
        <v>2106</v>
      </c>
      <c r="B2074" s="3">
        <v>45956</v>
      </c>
      <c r="C2074" s="2" t="s">
        <v>62</v>
      </c>
      <c r="D2074" s="2" t="s">
        <v>11</v>
      </c>
      <c r="E2074" s="2" t="s">
        <v>22</v>
      </c>
      <c r="F2074" s="2" t="s">
        <v>33</v>
      </c>
      <c r="G2074" s="2" t="s">
        <v>19</v>
      </c>
      <c r="H2074" s="4">
        <v>116075</v>
      </c>
      <c r="I2074" s="4">
        <v>107100</v>
      </c>
    </row>
    <row r="2075" spans="1:9" x14ac:dyDescent="0.3">
      <c r="A2075" s="2" t="s">
        <v>2107</v>
      </c>
      <c r="B2075" s="3">
        <v>45956</v>
      </c>
      <c r="C2075" s="2" t="s">
        <v>62</v>
      </c>
      <c r="D2075" s="2" t="s">
        <v>11</v>
      </c>
      <c r="E2075" s="2" t="s">
        <v>22</v>
      </c>
      <c r="F2075" s="2" t="s">
        <v>12</v>
      </c>
      <c r="G2075" s="2" t="s">
        <v>14</v>
      </c>
      <c r="H2075" s="4">
        <v>52880</v>
      </c>
      <c r="I2075" s="4">
        <v>46800</v>
      </c>
    </row>
    <row r="2076" spans="1:9" x14ac:dyDescent="0.3">
      <c r="A2076" s="2" t="s">
        <v>2108</v>
      </c>
      <c r="B2076" s="3">
        <v>45956</v>
      </c>
      <c r="C2076" s="2" t="s">
        <v>31</v>
      </c>
      <c r="D2076" s="2" t="s">
        <v>11</v>
      </c>
      <c r="E2076" s="2" t="s">
        <v>17</v>
      </c>
      <c r="F2076" s="2" t="s">
        <v>33</v>
      </c>
      <c r="G2076" s="2" t="s">
        <v>19</v>
      </c>
      <c r="H2076" s="4">
        <v>35610</v>
      </c>
      <c r="I2076" s="4">
        <v>36500</v>
      </c>
    </row>
    <row r="2077" spans="1:9" x14ac:dyDescent="0.3">
      <c r="A2077" s="2" t="s">
        <v>2109</v>
      </c>
      <c r="B2077" s="3">
        <v>45957</v>
      </c>
      <c r="C2077" s="2" t="s">
        <v>10</v>
      </c>
      <c r="D2077" s="2" t="s">
        <v>11</v>
      </c>
      <c r="E2077" s="2" t="s">
        <v>12</v>
      </c>
      <c r="F2077" s="2" t="s">
        <v>46</v>
      </c>
      <c r="G2077" s="2" t="s">
        <v>19</v>
      </c>
      <c r="H2077" s="4">
        <v>95552</v>
      </c>
      <c r="I2077" s="4">
        <v>84900</v>
      </c>
    </row>
    <row r="2078" spans="1:9" x14ac:dyDescent="0.3">
      <c r="A2078" s="2" t="s">
        <v>2110</v>
      </c>
      <c r="B2078" s="3">
        <v>45957</v>
      </c>
      <c r="C2078" s="2" t="s">
        <v>10</v>
      </c>
      <c r="D2078" s="2" t="s">
        <v>11</v>
      </c>
      <c r="E2078" s="2" t="s">
        <v>12</v>
      </c>
      <c r="F2078" s="2" t="s">
        <v>33</v>
      </c>
      <c r="G2078" s="2" t="s">
        <v>19</v>
      </c>
      <c r="H2078" s="4">
        <v>66731</v>
      </c>
      <c r="I2078" s="4">
        <v>69500</v>
      </c>
    </row>
    <row r="2079" spans="1:9" x14ac:dyDescent="0.3">
      <c r="A2079" s="2" t="s">
        <v>2111</v>
      </c>
      <c r="B2079" s="3">
        <v>45957</v>
      </c>
      <c r="C2079" s="2" t="s">
        <v>16</v>
      </c>
      <c r="D2079" s="2" t="s">
        <v>11</v>
      </c>
      <c r="E2079" s="2" t="s">
        <v>17</v>
      </c>
      <c r="F2079" s="2" t="s">
        <v>12</v>
      </c>
      <c r="G2079" s="2" t="s">
        <v>14</v>
      </c>
      <c r="H2079" s="4">
        <v>108581</v>
      </c>
      <c r="I2079" s="4">
        <v>109400</v>
      </c>
    </row>
    <row r="2080" spans="1:9" x14ac:dyDescent="0.3">
      <c r="A2080" s="2" t="s">
        <v>2112</v>
      </c>
      <c r="B2080" s="3">
        <v>45957</v>
      </c>
      <c r="C2080" s="2" t="s">
        <v>36</v>
      </c>
      <c r="D2080" s="2" t="s">
        <v>11</v>
      </c>
      <c r="E2080" s="2" t="s">
        <v>37</v>
      </c>
      <c r="F2080" s="2" t="s">
        <v>18</v>
      </c>
      <c r="G2080" s="2" t="s">
        <v>19</v>
      </c>
      <c r="H2080" s="4">
        <v>14438</v>
      </c>
      <c r="I2080" s="4">
        <v>14600</v>
      </c>
    </row>
    <row r="2081" spans="1:9" x14ac:dyDescent="0.3">
      <c r="A2081" s="2" t="s">
        <v>2113</v>
      </c>
      <c r="B2081" s="3">
        <v>45957</v>
      </c>
      <c r="C2081" s="2" t="s">
        <v>21</v>
      </c>
      <c r="D2081" s="2" t="s">
        <v>11</v>
      </c>
      <c r="E2081" s="2" t="s">
        <v>22</v>
      </c>
      <c r="F2081" s="2" t="s">
        <v>56</v>
      </c>
      <c r="G2081" s="2" t="s">
        <v>19</v>
      </c>
      <c r="H2081" s="4">
        <v>92161</v>
      </c>
      <c r="I2081" s="4">
        <v>93300</v>
      </c>
    </row>
    <row r="2082" spans="1:9" x14ac:dyDescent="0.3">
      <c r="A2082" s="2" t="s">
        <v>2114</v>
      </c>
      <c r="B2082" s="3">
        <v>45957</v>
      </c>
      <c r="C2082" s="2" t="s">
        <v>21</v>
      </c>
      <c r="D2082" s="2" t="s">
        <v>11</v>
      </c>
      <c r="E2082" s="2" t="s">
        <v>22</v>
      </c>
      <c r="F2082" s="2" t="s">
        <v>37</v>
      </c>
      <c r="G2082" s="2" t="s">
        <v>14</v>
      </c>
      <c r="H2082" s="4">
        <v>237429</v>
      </c>
      <c r="I2082" s="4">
        <v>226700</v>
      </c>
    </row>
    <row r="2083" spans="1:9" x14ac:dyDescent="0.3">
      <c r="A2083" s="2" t="s">
        <v>2115</v>
      </c>
      <c r="B2083" s="3">
        <v>45957</v>
      </c>
      <c r="C2083" s="2" t="s">
        <v>21</v>
      </c>
      <c r="D2083" s="2" t="s">
        <v>11</v>
      </c>
      <c r="E2083" s="2" t="s">
        <v>22</v>
      </c>
      <c r="F2083" s="2" t="s">
        <v>26</v>
      </c>
      <c r="G2083" s="2" t="s">
        <v>14</v>
      </c>
      <c r="H2083" s="4">
        <v>203257</v>
      </c>
      <c r="I2083" s="4">
        <v>179700</v>
      </c>
    </row>
    <row r="2084" spans="1:9" x14ac:dyDescent="0.3">
      <c r="A2084" s="2" t="s">
        <v>2116</v>
      </c>
      <c r="B2084" s="3">
        <v>45957</v>
      </c>
      <c r="C2084" s="2" t="s">
        <v>31</v>
      </c>
      <c r="D2084" s="2" t="s">
        <v>11</v>
      </c>
      <c r="E2084" s="2" t="s">
        <v>17</v>
      </c>
      <c r="F2084" s="2" t="s">
        <v>42</v>
      </c>
      <c r="G2084" s="2" t="s">
        <v>19</v>
      </c>
      <c r="H2084" s="4">
        <v>46319</v>
      </c>
      <c r="I2084" s="4">
        <v>52000</v>
      </c>
    </row>
    <row r="2085" spans="1:9" x14ac:dyDescent="0.3">
      <c r="A2085" s="2" t="s">
        <v>2117</v>
      </c>
      <c r="B2085" s="3">
        <v>45957</v>
      </c>
      <c r="C2085" s="2" t="s">
        <v>31</v>
      </c>
      <c r="D2085" s="2" t="s">
        <v>11</v>
      </c>
      <c r="E2085" s="2" t="s">
        <v>17</v>
      </c>
      <c r="F2085" s="2" t="s">
        <v>37</v>
      </c>
      <c r="G2085" s="2" t="s">
        <v>14</v>
      </c>
      <c r="H2085" s="4">
        <v>227395</v>
      </c>
      <c r="I2085" s="4">
        <v>241600</v>
      </c>
    </row>
    <row r="2086" spans="1:9" x14ac:dyDescent="0.3">
      <c r="A2086" s="2" t="s">
        <v>2118</v>
      </c>
      <c r="B2086" s="3">
        <v>45957</v>
      </c>
      <c r="C2086" s="2" t="s">
        <v>31</v>
      </c>
      <c r="D2086" s="2" t="s">
        <v>11</v>
      </c>
      <c r="E2086" s="2" t="s">
        <v>17</v>
      </c>
      <c r="F2086" s="2" t="s">
        <v>12</v>
      </c>
      <c r="G2086" s="2" t="s">
        <v>14</v>
      </c>
      <c r="H2086" s="4">
        <v>152468</v>
      </c>
      <c r="I2086" s="4">
        <v>135200</v>
      </c>
    </row>
    <row r="2087" spans="1:9" x14ac:dyDescent="0.3">
      <c r="A2087" s="2" t="s">
        <v>2119</v>
      </c>
      <c r="B2087" s="3">
        <v>45957</v>
      </c>
      <c r="C2087" s="2" t="s">
        <v>55</v>
      </c>
      <c r="D2087" s="2" t="s">
        <v>11</v>
      </c>
      <c r="E2087" s="2" t="s">
        <v>37</v>
      </c>
      <c r="F2087" s="2" t="s">
        <v>13</v>
      </c>
      <c r="G2087" s="2" t="s">
        <v>14</v>
      </c>
      <c r="H2087" s="4">
        <v>158290</v>
      </c>
      <c r="I2087" s="4">
        <v>137700</v>
      </c>
    </row>
    <row r="2088" spans="1:9" x14ac:dyDescent="0.3">
      <c r="A2088" s="2" t="s">
        <v>2120</v>
      </c>
      <c r="B2088" s="3">
        <v>45958</v>
      </c>
      <c r="C2088" s="2" t="s">
        <v>36</v>
      </c>
      <c r="D2088" s="2" t="s">
        <v>11</v>
      </c>
      <c r="E2088" s="2" t="s">
        <v>37</v>
      </c>
      <c r="F2088" s="2" t="s">
        <v>56</v>
      </c>
      <c r="G2088" s="2" t="s">
        <v>19</v>
      </c>
      <c r="H2088" s="4">
        <v>40114</v>
      </c>
      <c r="I2088" s="4">
        <v>36300</v>
      </c>
    </row>
    <row r="2089" spans="1:9" x14ac:dyDescent="0.3">
      <c r="A2089" s="2" t="s">
        <v>2121</v>
      </c>
      <c r="B2089" s="3">
        <v>45958</v>
      </c>
      <c r="C2089" s="2" t="s">
        <v>36</v>
      </c>
      <c r="D2089" s="2" t="s">
        <v>11</v>
      </c>
      <c r="E2089" s="2" t="s">
        <v>37</v>
      </c>
      <c r="F2089" s="2" t="s">
        <v>26</v>
      </c>
      <c r="G2089" s="2" t="s">
        <v>14</v>
      </c>
      <c r="H2089" s="4">
        <v>186969</v>
      </c>
      <c r="I2089" s="4">
        <v>175600</v>
      </c>
    </row>
    <row r="2090" spans="1:9" x14ac:dyDescent="0.3">
      <c r="A2090" s="2" t="s">
        <v>2122</v>
      </c>
      <c r="B2090" s="3">
        <v>45958</v>
      </c>
      <c r="C2090" s="2" t="s">
        <v>31</v>
      </c>
      <c r="D2090" s="2" t="s">
        <v>11</v>
      </c>
      <c r="E2090" s="2" t="s">
        <v>17</v>
      </c>
      <c r="F2090" s="2" t="s">
        <v>56</v>
      </c>
      <c r="G2090" s="2" t="s">
        <v>19</v>
      </c>
      <c r="H2090" s="4">
        <v>90431</v>
      </c>
      <c r="I2090" s="4">
        <v>94000</v>
      </c>
    </row>
    <row r="2091" spans="1:9" x14ac:dyDescent="0.3">
      <c r="A2091" s="2" t="s">
        <v>2123</v>
      </c>
      <c r="B2091" s="3">
        <v>45958</v>
      </c>
      <c r="C2091" s="2" t="s">
        <v>55</v>
      </c>
      <c r="D2091" s="2" t="s">
        <v>11</v>
      </c>
      <c r="E2091" s="2" t="s">
        <v>37</v>
      </c>
      <c r="F2091" s="2" t="s">
        <v>18</v>
      </c>
      <c r="G2091" s="2" t="s">
        <v>19</v>
      </c>
      <c r="H2091" s="4">
        <v>73843</v>
      </c>
      <c r="I2091" s="4">
        <v>76600</v>
      </c>
    </row>
    <row r="2092" spans="1:9" x14ac:dyDescent="0.3">
      <c r="A2092" s="2" t="s">
        <v>2124</v>
      </c>
      <c r="B2092" s="3">
        <v>45959</v>
      </c>
      <c r="C2092" s="2" t="s">
        <v>62</v>
      </c>
      <c r="D2092" s="2" t="s">
        <v>11</v>
      </c>
      <c r="E2092" s="2" t="s">
        <v>22</v>
      </c>
      <c r="F2092" s="2" t="s">
        <v>46</v>
      </c>
      <c r="G2092" s="2" t="s">
        <v>19</v>
      </c>
      <c r="H2092" s="4">
        <v>86863</v>
      </c>
      <c r="I2092" s="4">
        <v>81700</v>
      </c>
    </row>
    <row r="2093" spans="1:9" x14ac:dyDescent="0.3">
      <c r="A2093" s="2" t="s">
        <v>2125</v>
      </c>
      <c r="B2093" s="3">
        <v>45959</v>
      </c>
      <c r="C2093" s="2" t="s">
        <v>62</v>
      </c>
      <c r="D2093" s="2" t="s">
        <v>11</v>
      </c>
      <c r="E2093" s="2" t="s">
        <v>22</v>
      </c>
      <c r="F2093" s="2" t="s">
        <v>13</v>
      </c>
      <c r="G2093" s="2" t="s">
        <v>14</v>
      </c>
      <c r="H2093" s="4">
        <v>239262</v>
      </c>
      <c r="I2093" s="4">
        <v>209700</v>
      </c>
    </row>
    <row r="2094" spans="1:9" x14ac:dyDescent="0.3">
      <c r="A2094" s="2" t="s">
        <v>2126</v>
      </c>
      <c r="B2094" s="3">
        <v>45959</v>
      </c>
      <c r="C2094" s="2" t="s">
        <v>16</v>
      </c>
      <c r="D2094" s="2" t="s">
        <v>11</v>
      </c>
      <c r="E2094" s="2" t="s">
        <v>17</v>
      </c>
      <c r="F2094" s="2" t="s">
        <v>12</v>
      </c>
      <c r="G2094" s="2" t="s">
        <v>14</v>
      </c>
      <c r="H2094" s="4">
        <v>187677</v>
      </c>
      <c r="I2094" s="4">
        <v>191100</v>
      </c>
    </row>
    <row r="2095" spans="1:9" x14ac:dyDescent="0.3">
      <c r="A2095" s="2" t="s">
        <v>2127</v>
      </c>
      <c r="B2095" s="3">
        <v>45959</v>
      </c>
      <c r="C2095" s="2" t="s">
        <v>16</v>
      </c>
      <c r="D2095" s="2" t="s">
        <v>11</v>
      </c>
      <c r="E2095" s="2" t="s">
        <v>17</v>
      </c>
      <c r="F2095" s="2" t="s">
        <v>26</v>
      </c>
      <c r="G2095" s="2" t="s">
        <v>14</v>
      </c>
      <c r="H2095" s="4">
        <v>84110</v>
      </c>
      <c r="I2095" s="4">
        <v>86600</v>
      </c>
    </row>
    <row r="2096" spans="1:9" x14ac:dyDescent="0.3">
      <c r="A2096" s="2" t="s">
        <v>2128</v>
      </c>
      <c r="B2096" s="3">
        <v>45959</v>
      </c>
      <c r="C2096" s="2" t="s">
        <v>16</v>
      </c>
      <c r="D2096" s="2" t="s">
        <v>11</v>
      </c>
      <c r="E2096" s="2" t="s">
        <v>17</v>
      </c>
      <c r="F2096" s="2" t="s">
        <v>13</v>
      </c>
      <c r="G2096" s="2" t="s">
        <v>14</v>
      </c>
      <c r="H2096" s="4">
        <v>75341</v>
      </c>
      <c r="I2096" s="4">
        <v>72700</v>
      </c>
    </row>
    <row r="2097" spans="1:9" x14ac:dyDescent="0.3">
      <c r="A2097" s="2" t="s">
        <v>2129</v>
      </c>
      <c r="B2097" s="3">
        <v>45959</v>
      </c>
      <c r="C2097" s="2" t="s">
        <v>36</v>
      </c>
      <c r="D2097" s="2" t="s">
        <v>11</v>
      </c>
      <c r="E2097" s="2" t="s">
        <v>37</v>
      </c>
      <c r="F2097" s="2" t="s">
        <v>33</v>
      </c>
      <c r="G2097" s="2" t="s">
        <v>19</v>
      </c>
      <c r="H2097" s="4">
        <v>49015</v>
      </c>
      <c r="I2097" s="4">
        <v>48500</v>
      </c>
    </row>
    <row r="2098" spans="1:9" x14ac:dyDescent="0.3">
      <c r="A2098" s="2" t="s">
        <v>2130</v>
      </c>
      <c r="B2098" s="3">
        <v>45959</v>
      </c>
      <c r="C2098" s="2" t="s">
        <v>36</v>
      </c>
      <c r="D2098" s="2" t="s">
        <v>11</v>
      </c>
      <c r="E2098" s="2" t="s">
        <v>37</v>
      </c>
      <c r="F2098" s="2" t="s">
        <v>39</v>
      </c>
      <c r="G2098" s="2" t="s">
        <v>19</v>
      </c>
      <c r="H2098" s="4">
        <v>77321</v>
      </c>
      <c r="I2098" s="4">
        <v>76000</v>
      </c>
    </row>
    <row r="2099" spans="1:9" x14ac:dyDescent="0.3">
      <c r="A2099" s="2" t="s">
        <v>2131</v>
      </c>
      <c r="B2099" s="3">
        <v>45959</v>
      </c>
      <c r="C2099" s="2" t="s">
        <v>31</v>
      </c>
      <c r="D2099" s="2" t="s">
        <v>11</v>
      </c>
      <c r="E2099" s="2" t="s">
        <v>17</v>
      </c>
      <c r="F2099" s="2" t="s">
        <v>39</v>
      </c>
      <c r="G2099" s="2" t="s">
        <v>19</v>
      </c>
      <c r="H2099" s="4">
        <v>50802</v>
      </c>
      <c r="I2099" s="4">
        <v>49400</v>
      </c>
    </row>
    <row r="2100" spans="1:9" x14ac:dyDescent="0.3">
      <c r="A2100" s="2" t="s">
        <v>2132</v>
      </c>
      <c r="B2100" s="3">
        <v>45959</v>
      </c>
      <c r="C2100" s="2" t="s">
        <v>55</v>
      </c>
      <c r="D2100" s="2" t="s">
        <v>11</v>
      </c>
      <c r="E2100" s="2" t="s">
        <v>37</v>
      </c>
      <c r="F2100" s="2" t="s">
        <v>39</v>
      </c>
      <c r="G2100" s="2" t="s">
        <v>19</v>
      </c>
      <c r="H2100" s="4">
        <v>97707</v>
      </c>
      <c r="I2100" s="4">
        <v>96200</v>
      </c>
    </row>
    <row r="2101" spans="1:9" x14ac:dyDescent="0.3">
      <c r="A2101" s="2" t="s">
        <v>2133</v>
      </c>
      <c r="B2101" s="3">
        <v>45960</v>
      </c>
      <c r="C2101" s="2" t="s">
        <v>16</v>
      </c>
      <c r="D2101" s="2" t="s">
        <v>11</v>
      </c>
      <c r="E2101" s="2" t="s">
        <v>17</v>
      </c>
      <c r="F2101" s="2" t="s">
        <v>42</v>
      </c>
      <c r="G2101" s="2" t="s">
        <v>19</v>
      </c>
      <c r="H2101" s="4">
        <v>53357</v>
      </c>
      <c r="I2101" s="4">
        <v>57300</v>
      </c>
    </row>
    <row r="2102" spans="1:9" x14ac:dyDescent="0.3">
      <c r="A2102" s="2" t="s">
        <v>2134</v>
      </c>
      <c r="B2102" s="3">
        <v>45960</v>
      </c>
      <c r="C2102" s="2" t="s">
        <v>16</v>
      </c>
      <c r="D2102" s="2" t="s">
        <v>11</v>
      </c>
      <c r="E2102" s="2" t="s">
        <v>17</v>
      </c>
      <c r="F2102" s="2" t="s">
        <v>12</v>
      </c>
      <c r="G2102" s="2" t="s">
        <v>14</v>
      </c>
      <c r="H2102" s="4">
        <v>58097</v>
      </c>
      <c r="I2102" s="4">
        <v>56600</v>
      </c>
    </row>
    <row r="2103" spans="1:9" x14ac:dyDescent="0.3">
      <c r="A2103" s="2" t="s">
        <v>2135</v>
      </c>
      <c r="B2103" s="3">
        <v>45960</v>
      </c>
      <c r="C2103" s="2" t="s">
        <v>16</v>
      </c>
      <c r="D2103" s="2" t="s">
        <v>11</v>
      </c>
      <c r="E2103" s="2" t="s">
        <v>17</v>
      </c>
      <c r="F2103" s="2" t="s">
        <v>23</v>
      </c>
      <c r="G2103" s="2" t="s">
        <v>14</v>
      </c>
      <c r="H2103" s="4">
        <v>150847</v>
      </c>
      <c r="I2103" s="4">
        <v>164200</v>
      </c>
    </row>
    <row r="2104" spans="1:9" x14ac:dyDescent="0.3">
      <c r="A2104" s="2" t="s">
        <v>2136</v>
      </c>
      <c r="B2104" s="3">
        <v>45960</v>
      </c>
      <c r="C2104" s="2" t="s">
        <v>36</v>
      </c>
      <c r="D2104" s="2" t="s">
        <v>11</v>
      </c>
      <c r="E2104" s="2" t="s">
        <v>37</v>
      </c>
      <c r="F2104" s="2" t="s">
        <v>12</v>
      </c>
      <c r="G2104" s="2" t="s">
        <v>14</v>
      </c>
      <c r="H2104" s="4">
        <v>93680</v>
      </c>
      <c r="I2104" s="4">
        <v>95300</v>
      </c>
    </row>
    <row r="2105" spans="1:9" x14ac:dyDescent="0.3">
      <c r="A2105" s="2" t="s">
        <v>2137</v>
      </c>
      <c r="B2105" s="3">
        <v>45960</v>
      </c>
      <c r="C2105" s="2" t="s">
        <v>25</v>
      </c>
      <c r="D2105" s="2" t="s">
        <v>11</v>
      </c>
      <c r="E2105" s="2" t="s">
        <v>22</v>
      </c>
      <c r="F2105" s="2" t="s">
        <v>33</v>
      </c>
      <c r="G2105" s="2" t="s">
        <v>19</v>
      </c>
      <c r="H2105" s="4">
        <v>59929</v>
      </c>
      <c r="I2105" s="4">
        <v>61300</v>
      </c>
    </row>
    <row r="2106" spans="1:9" x14ac:dyDescent="0.3">
      <c r="A2106" s="2" t="s">
        <v>2138</v>
      </c>
      <c r="B2106" s="3">
        <v>45960</v>
      </c>
      <c r="C2106" s="2" t="s">
        <v>31</v>
      </c>
      <c r="D2106" s="2" t="s">
        <v>11</v>
      </c>
      <c r="E2106" s="2" t="s">
        <v>17</v>
      </c>
      <c r="F2106" s="2" t="s">
        <v>39</v>
      </c>
      <c r="G2106" s="2" t="s">
        <v>19</v>
      </c>
      <c r="H2106" s="4">
        <v>21057</v>
      </c>
      <c r="I2106" s="4">
        <v>18900</v>
      </c>
    </row>
    <row r="2107" spans="1:9" x14ac:dyDescent="0.3">
      <c r="A2107" s="2" t="s">
        <v>2139</v>
      </c>
      <c r="B2107" s="3">
        <v>45961</v>
      </c>
      <c r="C2107" s="2" t="s">
        <v>10</v>
      </c>
      <c r="D2107" s="2" t="s">
        <v>11</v>
      </c>
      <c r="E2107" s="2" t="s">
        <v>12</v>
      </c>
      <c r="F2107" s="2" t="s">
        <v>33</v>
      </c>
      <c r="G2107" s="2" t="s">
        <v>19</v>
      </c>
      <c r="H2107" s="4">
        <v>55487</v>
      </c>
      <c r="I2107" s="4">
        <v>56800</v>
      </c>
    </row>
    <row r="2108" spans="1:9" x14ac:dyDescent="0.3">
      <c r="A2108" s="2" t="s">
        <v>2140</v>
      </c>
      <c r="B2108" s="3">
        <v>45961</v>
      </c>
      <c r="C2108" s="2" t="s">
        <v>16</v>
      </c>
      <c r="D2108" s="2" t="s">
        <v>11</v>
      </c>
      <c r="E2108" s="2" t="s">
        <v>17</v>
      </c>
      <c r="F2108" s="2" t="s">
        <v>39</v>
      </c>
      <c r="G2108" s="2" t="s">
        <v>19</v>
      </c>
      <c r="H2108" s="4">
        <v>14888</v>
      </c>
      <c r="I2108" s="4">
        <v>16300</v>
      </c>
    </row>
    <row r="2109" spans="1:9" x14ac:dyDescent="0.3">
      <c r="A2109" s="2" t="s">
        <v>2141</v>
      </c>
      <c r="B2109" s="3">
        <v>45961</v>
      </c>
      <c r="C2109" s="2" t="s">
        <v>55</v>
      </c>
      <c r="D2109" s="2" t="s">
        <v>11</v>
      </c>
      <c r="E2109" s="2" t="s">
        <v>37</v>
      </c>
      <c r="F2109" s="2" t="s">
        <v>18</v>
      </c>
      <c r="G2109" s="2" t="s">
        <v>19</v>
      </c>
      <c r="H2109" s="4">
        <v>39338</v>
      </c>
      <c r="I2109" s="4">
        <v>40000</v>
      </c>
    </row>
    <row r="2110" spans="1:9" x14ac:dyDescent="0.3">
      <c r="A2110" s="2" t="s">
        <v>2142</v>
      </c>
      <c r="B2110" s="3">
        <v>45962</v>
      </c>
      <c r="C2110" s="2" t="s">
        <v>16</v>
      </c>
      <c r="D2110" s="2" t="s">
        <v>11</v>
      </c>
      <c r="E2110" s="2" t="s">
        <v>17</v>
      </c>
      <c r="F2110" s="2" t="s">
        <v>33</v>
      </c>
      <c r="G2110" s="2" t="s">
        <v>19</v>
      </c>
      <c r="H2110" s="4">
        <v>113386</v>
      </c>
      <c r="I2110" s="4">
        <v>117000</v>
      </c>
    </row>
    <row r="2111" spans="1:9" x14ac:dyDescent="0.3">
      <c r="A2111" s="2" t="s">
        <v>2143</v>
      </c>
      <c r="B2111" s="3">
        <v>45962</v>
      </c>
      <c r="C2111" s="2" t="s">
        <v>36</v>
      </c>
      <c r="D2111" s="2" t="s">
        <v>11</v>
      </c>
      <c r="E2111" s="2" t="s">
        <v>37</v>
      </c>
      <c r="F2111" s="2" t="s">
        <v>42</v>
      </c>
      <c r="G2111" s="2" t="s">
        <v>19</v>
      </c>
      <c r="H2111" s="4">
        <v>85391</v>
      </c>
      <c r="I2111" s="4">
        <v>72200</v>
      </c>
    </row>
    <row r="2112" spans="1:9" x14ac:dyDescent="0.3">
      <c r="A2112" s="2" t="s">
        <v>2144</v>
      </c>
      <c r="B2112" s="3">
        <v>45962</v>
      </c>
      <c r="C2112" s="2" t="s">
        <v>21</v>
      </c>
      <c r="D2112" s="2" t="s">
        <v>11</v>
      </c>
      <c r="E2112" s="2" t="s">
        <v>22</v>
      </c>
      <c r="F2112" s="2" t="s">
        <v>42</v>
      </c>
      <c r="G2112" s="2" t="s">
        <v>19</v>
      </c>
      <c r="H2112" s="4">
        <v>30301</v>
      </c>
      <c r="I2112" s="4">
        <v>29000</v>
      </c>
    </row>
    <row r="2113" spans="1:9" x14ac:dyDescent="0.3">
      <c r="A2113" s="2" t="s">
        <v>2145</v>
      </c>
      <c r="B2113" s="3">
        <v>45962</v>
      </c>
      <c r="C2113" s="2" t="s">
        <v>25</v>
      </c>
      <c r="D2113" s="2" t="s">
        <v>11</v>
      </c>
      <c r="E2113" s="2" t="s">
        <v>22</v>
      </c>
      <c r="F2113" s="2" t="s">
        <v>42</v>
      </c>
      <c r="G2113" s="2" t="s">
        <v>19</v>
      </c>
      <c r="H2113" s="4">
        <v>90717</v>
      </c>
      <c r="I2113" s="4">
        <v>84500</v>
      </c>
    </row>
    <row r="2114" spans="1:9" x14ac:dyDescent="0.3">
      <c r="A2114" s="2" t="s">
        <v>2146</v>
      </c>
      <c r="B2114" s="3">
        <v>45962</v>
      </c>
      <c r="C2114" s="2" t="s">
        <v>31</v>
      </c>
      <c r="D2114" s="2" t="s">
        <v>11</v>
      </c>
      <c r="E2114" s="2" t="s">
        <v>17</v>
      </c>
      <c r="F2114" s="2" t="s">
        <v>26</v>
      </c>
      <c r="G2114" s="2" t="s">
        <v>14</v>
      </c>
      <c r="H2114" s="4">
        <v>193574</v>
      </c>
      <c r="I2114" s="4">
        <v>188000</v>
      </c>
    </row>
    <row r="2115" spans="1:9" x14ac:dyDescent="0.3">
      <c r="A2115" s="2" t="s">
        <v>2147</v>
      </c>
      <c r="B2115" s="3">
        <v>45963</v>
      </c>
      <c r="C2115" s="2" t="s">
        <v>62</v>
      </c>
      <c r="D2115" s="2" t="s">
        <v>11</v>
      </c>
      <c r="E2115" s="2" t="s">
        <v>22</v>
      </c>
      <c r="F2115" s="2" t="s">
        <v>56</v>
      </c>
      <c r="G2115" s="2" t="s">
        <v>19</v>
      </c>
      <c r="H2115" s="4">
        <v>109505</v>
      </c>
      <c r="I2115" s="4">
        <v>102300</v>
      </c>
    </row>
    <row r="2116" spans="1:9" x14ac:dyDescent="0.3">
      <c r="A2116" s="2" t="s">
        <v>2148</v>
      </c>
      <c r="B2116" s="3">
        <v>45963</v>
      </c>
      <c r="C2116" s="2" t="s">
        <v>10</v>
      </c>
      <c r="D2116" s="2" t="s">
        <v>11</v>
      </c>
      <c r="E2116" s="2" t="s">
        <v>12</v>
      </c>
      <c r="F2116" s="2" t="s">
        <v>56</v>
      </c>
      <c r="G2116" s="2" t="s">
        <v>19</v>
      </c>
      <c r="H2116" s="4">
        <v>23023</v>
      </c>
      <c r="I2116" s="4">
        <v>25900</v>
      </c>
    </row>
    <row r="2117" spans="1:9" x14ac:dyDescent="0.3">
      <c r="A2117" s="2" t="s">
        <v>2149</v>
      </c>
      <c r="B2117" s="3">
        <v>45963</v>
      </c>
      <c r="C2117" s="2" t="s">
        <v>10</v>
      </c>
      <c r="D2117" s="2" t="s">
        <v>11</v>
      </c>
      <c r="E2117" s="2" t="s">
        <v>12</v>
      </c>
      <c r="F2117" s="2" t="s">
        <v>18</v>
      </c>
      <c r="G2117" s="2" t="s">
        <v>19</v>
      </c>
      <c r="H2117" s="4">
        <v>88991</v>
      </c>
      <c r="I2117" s="4">
        <v>92300</v>
      </c>
    </row>
    <row r="2118" spans="1:9" x14ac:dyDescent="0.3">
      <c r="A2118" s="2" t="s">
        <v>2150</v>
      </c>
      <c r="B2118" s="3">
        <v>45963</v>
      </c>
      <c r="C2118" s="2" t="s">
        <v>10</v>
      </c>
      <c r="D2118" s="2" t="s">
        <v>11</v>
      </c>
      <c r="E2118" s="2" t="s">
        <v>12</v>
      </c>
      <c r="F2118" s="2" t="s">
        <v>33</v>
      </c>
      <c r="G2118" s="2" t="s">
        <v>19</v>
      </c>
      <c r="H2118" s="4">
        <v>74337</v>
      </c>
      <c r="I2118" s="4">
        <v>91600</v>
      </c>
    </row>
    <row r="2119" spans="1:9" x14ac:dyDescent="0.3">
      <c r="A2119" s="2" t="s">
        <v>2151</v>
      </c>
      <c r="B2119" s="3">
        <v>45963</v>
      </c>
      <c r="C2119" s="2" t="s">
        <v>16</v>
      </c>
      <c r="D2119" s="2" t="s">
        <v>11</v>
      </c>
      <c r="E2119" s="2" t="s">
        <v>17</v>
      </c>
      <c r="F2119" s="2" t="s">
        <v>26</v>
      </c>
      <c r="G2119" s="2" t="s">
        <v>14</v>
      </c>
      <c r="H2119" s="4">
        <v>238470</v>
      </c>
      <c r="I2119" s="4">
        <v>259000</v>
      </c>
    </row>
    <row r="2120" spans="1:9" x14ac:dyDescent="0.3">
      <c r="A2120" s="2" t="s">
        <v>2152</v>
      </c>
      <c r="B2120" s="3">
        <v>45963</v>
      </c>
      <c r="C2120" s="2" t="s">
        <v>36</v>
      </c>
      <c r="D2120" s="2" t="s">
        <v>11</v>
      </c>
      <c r="E2120" s="2" t="s">
        <v>37</v>
      </c>
      <c r="F2120" s="2" t="s">
        <v>18</v>
      </c>
      <c r="G2120" s="2" t="s">
        <v>19</v>
      </c>
      <c r="H2120" s="4">
        <v>67348</v>
      </c>
      <c r="I2120" s="4">
        <v>69900</v>
      </c>
    </row>
    <row r="2121" spans="1:9" x14ac:dyDescent="0.3">
      <c r="A2121" s="2" t="s">
        <v>2153</v>
      </c>
      <c r="B2121" s="3">
        <v>45963</v>
      </c>
      <c r="C2121" s="2" t="s">
        <v>36</v>
      </c>
      <c r="D2121" s="2" t="s">
        <v>11</v>
      </c>
      <c r="E2121" s="2" t="s">
        <v>37</v>
      </c>
      <c r="F2121" s="2" t="s">
        <v>12</v>
      </c>
      <c r="G2121" s="2" t="s">
        <v>14</v>
      </c>
      <c r="H2121" s="4">
        <v>193483</v>
      </c>
      <c r="I2121" s="4">
        <v>173800</v>
      </c>
    </row>
    <row r="2122" spans="1:9" x14ac:dyDescent="0.3">
      <c r="A2122" s="2" t="s">
        <v>2154</v>
      </c>
      <c r="B2122" s="3">
        <v>45963</v>
      </c>
      <c r="C2122" s="2" t="s">
        <v>21</v>
      </c>
      <c r="D2122" s="2" t="s">
        <v>11</v>
      </c>
      <c r="E2122" s="2" t="s">
        <v>22</v>
      </c>
      <c r="F2122" s="2" t="s">
        <v>33</v>
      </c>
      <c r="G2122" s="2" t="s">
        <v>19</v>
      </c>
      <c r="H2122" s="4">
        <v>86986</v>
      </c>
      <c r="I2122" s="4">
        <v>102500</v>
      </c>
    </row>
    <row r="2123" spans="1:9" x14ac:dyDescent="0.3">
      <c r="A2123" s="2" t="s">
        <v>2155</v>
      </c>
      <c r="B2123" s="3">
        <v>45963</v>
      </c>
      <c r="C2123" s="2" t="s">
        <v>21</v>
      </c>
      <c r="D2123" s="2" t="s">
        <v>11</v>
      </c>
      <c r="E2123" s="2" t="s">
        <v>22</v>
      </c>
      <c r="F2123" s="2" t="s">
        <v>13</v>
      </c>
      <c r="G2123" s="2" t="s">
        <v>14</v>
      </c>
      <c r="H2123" s="4">
        <v>211065</v>
      </c>
      <c r="I2123" s="4">
        <v>226600</v>
      </c>
    </row>
    <row r="2124" spans="1:9" x14ac:dyDescent="0.3">
      <c r="A2124" s="2" t="s">
        <v>2156</v>
      </c>
      <c r="B2124" s="3">
        <v>45963</v>
      </c>
      <c r="C2124" s="2" t="s">
        <v>31</v>
      </c>
      <c r="D2124" s="2" t="s">
        <v>11</v>
      </c>
      <c r="E2124" s="2" t="s">
        <v>17</v>
      </c>
      <c r="F2124" s="2" t="s">
        <v>59</v>
      </c>
      <c r="G2124" s="2" t="s">
        <v>14</v>
      </c>
      <c r="H2124" s="4">
        <v>215560</v>
      </c>
      <c r="I2124" s="4">
        <v>226700</v>
      </c>
    </row>
    <row r="2125" spans="1:9" x14ac:dyDescent="0.3">
      <c r="A2125" s="2" t="s">
        <v>2157</v>
      </c>
      <c r="B2125" s="3">
        <v>45964</v>
      </c>
      <c r="C2125" s="2" t="s">
        <v>62</v>
      </c>
      <c r="D2125" s="2" t="s">
        <v>11</v>
      </c>
      <c r="E2125" s="2" t="s">
        <v>22</v>
      </c>
      <c r="F2125" s="2" t="s">
        <v>12</v>
      </c>
      <c r="G2125" s="2" t="s">
        <v>14</v>
      </c>
      <c r="H2125" s="4">
        <v>167861</v>
      </c>
      <c r="I2125" s="4">
        <v>154700</v>
      </c>
    </row>
    <row r="2126" spans="1:9" x14ac:dyDescent="0.3">
      <c r="A2126" s="2" t="s">
        <v>2158</v>
      </c>
      <c r="B2126" s="3">
        <v>45964</v>
      </c>
      <c r="C2126" s="2" t="s">
        <v>16</v>
      </c>
      <c r="D2126" s="2" t="s">
        <v>11</v>
      </c>
      <c r="E2126" s="2" t="s">
        <v>17</v>
      </c>
      <c r="F2126" s="2" t="s">
        <v>39</v>
      </c>
      <c r="G2126" s="2" t="s">
        <v>19</v>
      </c>
      <c r="H2126" s="4">
        <v>57652</v>
      </c>
      <c r="I2126" s="4">
        <v>57500</v>
      </c>
    </row>
    <row r="2127" spans="1:9" x14ac:dyDescent="0.3">
      <c r="A2127" s="2" t="s">
        <v>2159</v>
      </c>
      <c r="B2127" s="3">
        <v>45964</v>
      </c>
      <c r="C2127" s="2" t="s">
        <v>21</v>
      </c>
      <c r="D2127" s="2" t="s">
        <v>11</v>
      </c>
      <c r="E2127" s="2" t="s">
        <v>22</v>
      </c>
      <c r="F2127" s="2" t="s">
        <v>26</v>
      </c>
      <c r="G2127" s="2" t="s">
        <v>14</v>
      </c>
      <c r="H2127" s="4">
        <v>233724</v>
      </c>
      <c r="I2127" s="4">
        <v>241300</v>
      </c>
    </row>
    <row r="2128" spans="1:9" x14ac:dyDescent="0.3">
      <c r="A2128" s="2" t="s">
        <v>2160</v>
      </c>
      <c r="B2128" s="3">
        <v>45965</v>
      </c>
      <c r="C2128" s="2" t="s">
        <v>62</v>
      </c>
      <c r="D2128" s="2" t="s">
        <v>11</v>
      </c>
      <c r="E2128" s="2" t="s">
        <v>22</v>
      </c>
      <c r="F2128" s="2" t="s">
        <v>18</v>
      </c>
      <c r="G2128" s="2" t="s">
        <v>19</v>
      </c>
      <c r="H2128" s="4">
        <v>109389</v>
      </c>
      <c r="I2128" s="4">
        <v>93200</v>
      </c>
    </row>
    <row r="2129" spans="1:9" x14ac:dyDescent="0.3">
      <c r="A2129" s="2" t="s">
        <v>2161</v>
      </c>
      <c r="B2129" s="3">
        <v>45965</v>
      </c>
      <c r="C2129" s="2" t="s">
        <v>62</v>
      </c>
      <c r="D2129" s="2" t="s">
        <v>11</v>
      </c>
      <c r="E2129" s="2" t="s">
        <v>22</v>
      </c>
      <c r="F2129" s="2" t="s">
        <v>37</v>
      </c>
      <c r="G2129" s="2" t="s">
        <v>14</v>
      </c>
      <c r="H2129" s="4">
        <v>213044</v>
      </c>
      <c r="I2129" s="4">
        <v>189900</v>
      </c>
    </row>
    <row r="2130" spans="1:9" x14ac:dyDescent="0.3">
      <c r="A2130" s="2" t="s">
        <v>2162</v>
      </c>
      <c r="B2130" s="3">
        <v>45965</v>
      </c>
      <c r="C2130" s="2" t="s">
        <v>16</v>
      </c>
      <c r="D2130" s="2" t="s">
        <v>11</v>
      </c>
      <c r="E2130" s="2" t="s">
        <v>17</v>
      </c>
      <c r="F2130" s="2" t="s">
        <v>33</v>
      </c>
      <c r="G2130" s="2" t="s">
        <v>19</v>
      </c>
      <c r="H2130" s="4">
        <v>71813</v>
      </c>
      <c r="I2130" s="4">
        <v>71700</v>
      </c>
    </row>
    <row r="2131" spans="1:9" x14ac:dyDescent="0.3">
      <c r="A2131" s="2" t="s">
        <v>2163</v>
      </c>
      <c r="B2131" s="3">
        <v>45965</v>
      </c>
      <c r="C2131" s="2" t="s">
        <v>36</v>
      </c>
      <c r="D2131" s="2" t="s">
        <v>11</v>
      </c>
      <c r="E2131" s="2" t="s">
        <v>37</v>
      </c>
      <c r="F2131" s="2" t="s">
        <v>33</v>
      </c>
      <c r="G2131" s="2" t="s">
        <v>19</v>
      </c>
      <c r="H2131" s="4">
        <v>91515</v>
      </c>
      <c r="I2131" s="4">
        <v>88800</v>
      </c>
    </row>
    <row r="2132" spans="1:9" x14ac:dyDescent="0.3">
      <c r="A2132" s="2" t="s">
        <v>2164</v>
      </c>
      <c r="B2132" s="3">
        <v>45965</v>
      </c>
      <c r="C2132" s="2" t="s">
        <v>36</v>
      </c>
      <c r="D2132" s="2" t="s">
        <v>11</v>
      </c>
      <c r="E2132" s="2" t="s">
        <v>37</v>
      </c>
      <c r="F2132" s="2" t="s">
        <v>13</v>
      </c>
      <c r="G2132" s="2" t="s">
        <v>14</v>
      </c>
      <c r="H2132" s="4">
        <v>94845</v>
      </c>
      <c r="I2132" s="4">
        <v>93300</v>
      </c>
    </row>
    <row r="2133" spans="1:9" x14ac:dyDescent="0.3">
      <c r="A2133" s="2" t="s">
        <v>2165</v>
      </c>
      <c r="B2133" s="3">
        <v>45965</v>
      </c>
      <c r="C2133" s="2" t="s">
        <v>21</v>
      </c>
      <c r="D2133" s="2" t="s">
        <v>11</v>
      </c>
      <c r="E2133" s="2" t="s">
        <v>22</v>
      </c>
      <c r="F2133" s="2" t="s">
        <v>13</v>
      </c>
      <c r="G2133" s="2" t="s">
        <v>14</v>
      </c>
      <c r="H2133" s="4">
        <v>244994</v>
      </c>
      <c r="I2133" s="4">
        <v>239000</v>
      </c>
    </row>
    <row r="2134" spans="1:9" x14ac:dyDescent="0.3">
      <c r="A2134" s="2" t="s">
        <v>2166</v>
      </c>
      <c r="B2134" s="3">
        <v>45965</v>
      </c>
      <c r="C2134" s="2" t="s">
        <v>25</v>
      </c>
      <c r="D2134" s="2" t="s">
        <v>11</v>
      </c>
      <c r="E2134" s="2" t="s">
        <v>22</v>
      </c>
      <c r="F2134" s="2" t="s">
        <v>26</v>
      </c>
      <c r="G2134" s="2" t="s">
        <v>14</v>
      </c>
      <c r="H2134" s="4">
        <v>225473</v>
      </c>
      <c r="I2134" s="4">
        <v>224700</v>
      </c>
    </row>
    <row r="2135" spans="1:9" x14ac:dyDescent="0.3">
      <c r="A2135" s="2" t="s">
        <v>2167</v>
      </c>
      <c r="B2135" s="3">
        <v>45966</v>
      </c>
      <c r="C2135" s="2" t="s">
        <v>10</v>
      </c>
      <c r="D2135" s="2" t="s">
        <v>11</v>
      </c>
      <c r="E2135" s="2" t="s">
        <v>12</v>
      </c>
      <c r="F2135" s="2" t="s">
        <v>12</v>
      </c>
      <c r="G2135" s="2" t="s">
        <v>14</v>
      </c>
      <c r="H2135" s="4">
        <v>167870</v>
      </c>
      <c r="I2135" s="4">
        <v>188400</v>
      </c>
    </row>
    <row r="2136" spans="1:9" x14ac:dyDescent="0.3">
      <c r="A2136" s="2" t="s">
        <v>2168</v>
      </c>
      <c r="B2136" s="3">
        <v>45966</v>
      </c>
      <c r="C2136" s="2" t="s">
        <v>16</v>
      </c>
      <c r="D2136" s="2" t="s">
        <v>11</v>
      </c>
      <c r="E2136" s="2" t="s">
        <v>17</v>
      </c>
      <c r="F2136" s="2" t="s">
        <v>56</v>
      </c>
      <c r="G2136" s="2" t="s">
        <v>19</v>
      </c>
      <c r="H2136" s="4">
        <v>16074</v>
      </c>
      <c r="I2136" s="4">
        <v>15300</v>
      </c>
    </row>
    <row r="2137" spans="1:9" x14ac:dyDescent="0.3">
      <c r="A2137" s="2" t="s">
        <v>2169</v>
      </c>
      <c r="B2137" s="3">
        <v>45966</v>
      </c>
      <c r="C2137" s="2" t="s">
        <v>36</v>
      </c>
      <c r="D2137" s="2" t="s">
        <v>11</v>
      </c>
      <c r="E2137" s="2" t="s">
        <v>37</v>
      </c>
      <c r="F2137" s="2" t="s">
        <v>12</v>
      </c>
      <c r="G2137" s="2" t="s">
        <v>14</v>
      </c>
      <c r="H2137" s="4">
        <v>128014</v>
      </c>
      <c r="I2137" s="4">
        <v>119700</v>
      </c>
    </row>
    <row r="2138" spans="1:9" x14ac:dyDescent="0.3">
      <c r="A2138" s="2" t="s">
        <v>2170</v>
      </c>
      <c r="B2138" s="3">
        <v>45966</v>
      </c>
      <c r="C2138" s="2" t="s">
        <v>55</v>
      </c>
      <c r="D2138" s="2" t="s">
        <v>11</v>
      </c>
      <c r="E2138" s="2" t="s">
        <v>37</v>
      </c>
      <c r="F2138" s="2" t="s">
        <v>42</v>
      </c>
      <c r="G2138" s="2" t="s">
        <v>19</v>
      </c>
      <c r="H2138" s="4">
        <v>87628</v>
      </c>
      <c r="I2138" s="4">
        <v>94000</v>
      </c>
    </row>
    <row r="2139" spans="1:9" x14ac:dyDescent="0.3">
      <c r="A2139" s="2" t="s">
        <v>2171</v>
      </c>
      <c r="B2139" s="3">
        <v>45967</v>
      </c>
      <c r="C2139" s="2" t="s">
        <v>10</v>
      </c>
      <c r="D2139" s="2" t="s">
        <v>11</v>
      </c>
      <c r="E2139" s="2" t="s">
        <v>12</v>
      </c>
      <c r="F2139" s="2" t="s">
        <v>39</v>
      </c>
      <c r="G2139" s="2" t="s">
        <v>19</v>
      </c>
      <c r="H2139" s="4">
        <v>119390</v>
      </c>
      <c r="I2139" s="4">
        <v>89600</v>
      </c>
    </row>
    <row r="2140" spans="1:9" x14ac:dyDescent="0.3">
      <c r="A2140" s="2" t="s">
        <v>2172</v>
      </c>
      <c r="B2140" s="3">
        <v>45967</v>
      </c>
      <c r="C2140" s="2" t="s">
        <v>36</v>
      </c>
      <c r="D2140" s="2" t="s">
        <v>11</v>
      </c>
      <c r="E2140" s="2" t="s">
        <v>37</v>
      </c>
      <c r="F2140" s="2" t="s">
        <v>13</v>
      </c>
      <c r="G2140" s="2" t="s">
        <v>14</v>
      </c>
      <c r="H2140" s="4">
        <v>167839</v>
      </c>
      <c r="I2140" s="4">
        <v>177500</v>
      </c>
    </row>
    <row r="2141" spans="1:9" x14ac:dyDescent="0.3">
      <c r="A2141" s="2" t="s">
        <v>2173</v>
      </c>
      <c r="B2141" s="3">
        <v>45967</v>
      </c>
      <c r="C2141" s="2" t="s">
        <v>21</v>
      </c>
      <c r="D2141" s="2" t="s">
        <v>11</v>
      </c>
      <c r="E2141" s="2" t="s">
        <v>22</v>
      </c>
      <c r="F2141" s="2" t="s">
        <v>37</v>
      </c>
      <c r="G2141" s="2" t="s">
        <v>14</v>
      </c>
      <c r="H2141" s="4">
        <v>73192</v>
      </c>
      <c r="I2141" s="4">
        <v>76700</v>
      </c>
    </row>
    <row r="2142" spans="1:9" x14ac:dyDescent="0.3">
      <c r="A2142" s="2" t="s">
        <v>2174</v>
      </c>
      <c r="B2142" s="3">
        <v>45967</v>
      </c>
      <c r="C2142" s="2" t="s">
        <v>21</v>
      </c>
      <c r="D2142" s="2" t="s">
        <v>11</v>
      </c>
      <c r="E2142" s="2" t="s">
        <v>22</v>
      </c>
      <c r="F2142" s="2" t="s">
        <v>13</v>
      </c>
      <c r="G2142" s="2" t="s">
        <v>14</v>
      </c>
      <c r="H2142" s="4">
        <v>76907</v>
      </c>
      <c r="I2142" s="4">
        <v>75800</v>
      </c>
    </row>
    <row r="2143" spans="1:9" x14ac:dyDescent="0.3">
      <c r="A2143" s="2" t="s">
        <v>2175</v>
      </c>
      <c r="B2143" s="3">
        <v>45967</v>
      </c>
      <c r="C2143" s="2" t="s">
        <v>55</v>
      </c>
      <c r="D2143" s="2" t="s">
        <v>11</v>
      </c>
      <c r="E2143" s="2" t="s">
        <v>37</v>
      </c>
      <c r="F2143" s="2" t="s">
        <v>59</v>
      </c>
      <c r="G2143" s="2" t="s">
        <v>14</v>
      </c>
      <c r="H2143" s="4">
        <v>152805</v>
      </c>
      <c r="I2143" s="4">
        <v>140500</v>
      </c>
    </row>
    <row r="2144" spans="1:9" x14ac:dyDescent="0.3">
      <c r="A2144" s="2" t="s">
        <v>2176</v>
      </c>
      <c r="B2144" s="3">
        <v>45968</v>
      </c>
      <c r="C2144" s="2" t="s">
        <v>16</v>
      </c>
      <c r="D2144" s="2" t="s">
        <v>11</v>
      </c>
      <c r="E2144" s="2" t="s">
        <v>17</v>
      </c>
      <c r="F2144" s="2" t="s">
        <v>39</v>
      </c>
      <c r="G2144" s="2" t="s">
        <v>19</v>
      </c>
      <c r="H2144" s="4">
        <v>22101</v>
      </c>
      <c r="I2144" s="4">
        <v>25900</v>
      </c>
    </row>
    <row r="2145" spans="1:9" x14ac:dyDescent="0.3">
      <c r="A2145" s="2" t="s">
        <v>2177</v>
      </c>
      <c r="B2145" s="3">
        <v>45968</v>
      </c>
      <c r="C2145" s="2" t="s">
        <v>16</v>
      </c>
      <c r="D2145" s="2" t="s">
        <v>11</v>
      </c>
      <c r="E2145" s="2" t="s">
        <v>17</v>
      </c>
      <c r="F2145" s="2" t="s">
        <v>23</v>
      </c>
      <c r="G2145" s="2" t="s">
        <v>14</v>
      </c>
      <c r="H2145" s="4">
        <v>174908</v>
      </c>
      <c r="I2145" s="4">
        <v>163800</v>
      </c>
    </row>
    <row r="2146" spans="1:9" x14ac:dyDescent="0.3">
      <c r="A2146" s="2" t="s">
        <v>2178</v>
      </c>
      <c r="B2146" s="3">
        <v>45968</v>
      </c>
      <c r="C2146" s="2" t="s">
        <v>36</v>
      </c>
      <c r="D2146" s="2" t="s">
        <v>11</v>
      </c>
      <c r="E2146" s="2" t="s">
        <v>37</v>
      </c>
      <c r="F2146" s="2" t="s">
        <v>23</v>
      </c>
      <c r="G2146" s="2" t="s">
        <v>14</v>
      </c>
      <c r="H2146" s="4">
        <v>226774</v>
      </c>
      <c r="I2146" s="4">
        <v>217100</v>
      </c>
    </row>
    <row r="2147" spans="1:9" x14ac:dyDescent="0.3">
      <c r="A2147" s="2" t="s">
        <v>2179</v>
      </c>
      <c r="B2147" s="3">
        <v>45968</v>
      </c>
      <c r="C2147" s="2" t="s">
        <v>36</v>
      </c>
      <c r="D2147" s="2" t="s">
        <v>11</v>
      </c>
      <c r="E2147" s="2" t="s">
        <v>37</v>
      </c>
      <c r="F2147" s="2" t="s">
        <v>12</v>
      </c>
      <c r="G2147" s="2" t="s">
        <v>14</v>
      </c>
      <c r="H2147" s="4">
        <v>173868</v>
      </c>
      <c r="I2147" s="4">
        <v>176400</v>
      </c>
    </row>
    <row r="2148" spans="1:9" x14ac:dyDescent="0.3">
      <c r="A2148" s="2" t="s">
        <v>2180</v>
      </c>
      <c r="B2148" s="3">
        <v>45968</v>
      </c>
      <c r="C2148" s="2" t="s">
        <v>21</v>
      </c>
      <c r="D2148" s="2" t="s">
        <v>11</v>
      </c>
      <c r="E2148" s="2" t="s">
        <v>22</v>
      </c>
      <c r="F2148" s="2" t="s">
        <v>42</v>
      </c>
      <c r="G2148" s="2" t="s">
        <v>19</v>
      </c>
      <c r="H2148" s="4">
        <v>40571</v>
      </c>
      <c r="I2148" s="4">
        <v>49100</v>
      </c>
    </row>
    <row r="2149" spans="1:9" x14ac:dyDescent="0.3">
      <c r="A2149" s="2" t="s">
        <v>2181</v>
      </c>
      <c r="B2149" s="3">
        <v>45968</v>
      </c>
      <c r="C2149" s="2" t="s">
        <v>21</v>
      </c>
      <c r="D2149" s="2" t="s">
        <v>11</v>
      </c>
      <c r="E2149" s="2" t="s">
        <v>22</v>
      </c>
      <c r="F2149" s="2" t="s">
        <v>23</v>
      </c>
      <c r="G2149" s="2" t="s">
        <v>14</v>
      </c>
      <c r="H2149" s="4">
        <v>240930</v>
      </c>
      <c r="I2149" s="4">
        <v>222000</v>
      </c>
    </row>
    <row r="2150" spans="1:9" x14ac:dyDescent="0.3">
      <c r="A2150" s="2" t="s">
        <v>2182</v>
      </c>
      <c r="B2150" s="3">
        <v>45968</v>
      </c>
      <c r="C2150" s="2" t="s">
        <v>25</v>
      </c>
      <c r="D2150" s="2" t="s">
        <v>11</v>
      </c>
      <c r="E2150" s="2" t="s">
        <v>22</v>
      </c>
      <c r="F2150" s="2" t="s">
        <v>46</v>
      </c>
      <c r="G2150" s="2" t="s">
        <v>19</v>
      </c>
      <c r="H2150" s="4">
        <v>58545</v>
      </c>
      <c r="I2150" s="4">
        <v>57600</v>
      </c>
    </row>
    <row r="2151" spans="1:9" x14ac:dyDescent="0.3">
      <c r="A2151" s="2" t="s">
        <v>2183</v>
      </c>
      <c r="B2151" s="3">
        <v>45968</v>
      </c>
      <c r="C2151" s="2" t="s">
        <v>31</v>
      </c>
      <c r="D2151" s="2" t="s">
        <v>11</v>
      </c>
      <c r="E2151" s="2" t="s">
        <v>17</v>
      </c>
      <c r="F2151" s="2" t="s">
        <v>33</v>
      </c>
      <c r="G2151" s="2" t="s">
        <v>19</v>
      </c>
      <c r="H2151" s="4">
        <v>90619</v>
      </c>
      <c r="I2151" s="4">
        <v>82600</v>
      </c>
    </row>
    <row r="2152" spans="1:9" x14ac:dyDescent="0.3">
      <c r="A2152" s="2" t="s">
        <v>2184</v>
      </c>
      <c r="B2152" s="3">
        <v>45968</v>
      </c>
      <c r="C2152" s="2" t="s">
        <v>55</v>
      </c>
      <c r="D2152" s="2" t="s">
        <v>11</v>
      </c>
      <c r="E2152" s="2" t="s">
        <v>37</v>
      </c>
      <c r="F2152" s="2" t="s">
        <v>23</v>
      </c>
      <c r="G2152" s="2" t="s">
        <v>14</v>
      </c>
      <c r="H2152" s="4">
        <v>224888</v>
      </c>
      <c r="I2152" s="4">
        <v>204500</v>
      </c>
    </row>
    <row r="2153" spans="1:9" x14ac:dyDescent="0.3">
      <c r="A2153" s="2" t="s">
        <v>2185</v>
      </c>
      <c r="B2153" s="3">
        <v>45969</v>
      </c>
      <c r="C2153" s="2" t="s">
        <v>10</v>
      </c>
      <c r="D2153" s="2" t="s">
        <v>11</v>
      </c>
      <c r="E2153" s="2" t="s">
        <v>12</v>
      </c>
      <c r="F2153" s="2" t="s">
        <v>56</v>
      </c>
      <c r="G2153" s="2" t="s">
        <v>19</v>
      </c>
      <c r="H2153" s="4">
        <v>12657</v>
      </c>
      <c r="I2153" s="4">
        <v>13200</v>
      </c>
    </row>
    <row r="2154" spans="1:9" x14ac:dyDescent="0.3">
      <c r="A2154" s="2" t="s">
        <v>2186</v>
      </c>
      <c r="B2154" s="3">
        <v>45969</v>
      </c>
      <c r="C2154" s="2" t="s">
        <v>10</v>
      </c>
      <c r="D2154" s="2" t="s">
        <v>11</v>
      </c>
      <c r="E2154" s="2" t="s">
        <v>12</v>
      </c>
      <c r="F2154" s="2" t="s">
        <v>26</v>
      </c>
      <c r="G2154" s="2" t="s">
        <v>14</v>
      </c>
      <c r="H2154" s="4">
        <v>167229</v>
      </c>
      <c r="I2154" s="4">
        <v>155700</v>
      </c>
    </row>
    <row r="2155" spans="1:9" x14ac:dyDescent="0.3">
      <c r="A2155" s="2" t="s">
        <v>2187</v>
      </c>
      <c r="B2155" s="3">
        <v>45969</v>
      </c>
      <c r="C2155" s="2" t="s">
        <v>16</v>
      </c>
      <c r="D2155" s="2" t="s">
        <v>11</v>
      </c>
      <c r="E2155" s="2" t="s">
        <v>17</v>
      </c>
      <c r="F2155" s="2" t="s">
        <v>56</v>
      </c>
      <c r="G2155" s="2" t="s">
        <v>19</v>
      </c>
      <c r="H2155" s="4">
        <v>16144</v>
      </c>
      <c r="I2155" s="4">
        <v>17500</v>
      </c>
    </row>
    <row r="2156" spans="1:9" x14ac:dyDescent="0.3">
      <c r="A2156" s="2" t="s">
        <v>2188</v>
      </c>
      <c r="B2156" s="3">
        <v>45969</v>
      </c>
      <c r="C2156" s="2" t="s">
        <v>16</v>
      </c>
      <c r="D2156" s="2" t="s">
        <v>11</v>
      </c>
      <c r="E2156" s="2" t="s">
        <v>17</v>
      </c>
      <c r="F2156" s="2" t="s">
        <v>37</v>
      </c>
      <c r="G2156" s="2" t="s">
        <v>14</v>
      </c>
      <c r="H2156" s="4">
        <v>175705</v>
      </c>
      <c r="I2156" s="4">
        <v>144100</v>
      </c>
    </row>
    <row r="2157" spans="1:9" x14ac:dyDescent="0.3">
      <c r="A2157" s="2" t="s">
        <v>2189</v>
      </c>
      <c r="B2157" s="3">
        <v>45969</v>
      </c>
      <c r="C2157" s="2" t="s">
        <v>36</v>
      </c>
      <c r="D2157" s="2" t="s">
        <v>11</v>
      </c>
      <c r="E2157" s="2" t="s">
        <v>37</v>
      </c>
      <c r="F2157" s="2" t="s">
        <v>33</v>
      </c>
      <c r="G2157" s="2" t="s">
        <v>19</v>
      </c>
      <c r="H2157" s="4">
        <v>17503</v>
      </c>
      <c r="I2157" s="4">
        <v>17900</v>
      </c>
    </row>
    <row r="2158" spans="1:9" x14ac:dyDescent="0.3">
      <c r="A2158" s="2" t="s">
        <v>2190</v>
      </c>
      <c r="B2158" s="3">
        <v>45969</v>
      </c>
      <c r="C2158" s="2" t="s">
        <v>31</v>
      </c>
      <c r="D2158" s="2" t="s">
        <v>11</v>
      </c>
      <c r="E2158" s="2" t="s">
        <v>17</v>
      </c>
      <c r="F2158" s="2" t="s">
        <v>42</v>
      </c>
      <c r="G2158" s="2" t="s">
        <v>19</v>
      </c>
      <c r="H2158" s="4">
        <v>33525</v>
      </c>
      <c r="I2158" s="4">
        <v>31200</v>
      </c>
    </row>
    <row r="2159" spans="1:9" x14ac:dyDescent="0.3">
      <c r="A2159" s="2" t="s">
        <v>2191</v>
      </c>
      <c r="B2159" s="3">
        <v>45969</v>
      </c>
      <c r="C2159" s="2" t="s">
        <v>31</v>
      </c>
      <c r="D2159" s="2" t="s">
        <v>11</v>
      </c>
      <c r="E2159" s="2" t="s">
        <v>17</v>
      </c>
      <c r="F2159" s="2" t="s">
        <v>18</v>
      </c>
      <c r="G2159" s="2" t="s">
        <v>19</v>
      </c>
      <c r="H2159" s="4">
        <v>12425</v>
      </c>
      <c r="I2159" s="4">
        <v>14100</v>
      </c>
    </row>
    <row r="2160" spans="1:9" x14ac:dyDescent="0.3">
      <c r="A2160" s="2" t="s">
        <v>2192</v>
      </c>
      <c r="B2160" s="3">
        <v>45969</v>
      </c>
      <c r="C2160" s="2" t="s">
        <v>55</v>
      </c>
      <c r="D2160" s="2" t="s">
        <v>11</v>
      </c>
      <c r="E2160" s="2" t="s">
        <v>37</v>
      </c>
      <c r="F2160" s="2" t="s">
        <v>18</v>
      </c>
      <c r="G2160" s="2" t="s">
        <v>19</v>
      </c>
      <c r="H2160" s="4">
        <v>20540</v>
      </c>
      <c r="I2160" s="4">
        <v>20300</v>
      </c>
    </row>
    <row r="2161" spans="1:9" x14ac:dyDescent="0.3">
      <c r="A2161" s="2" t="s">
        <v>2193</v>
      </c>
      <c r="B2161" s="3">
        <v>45970</v>
      </c>
      <c r="C2161" s="2" t="s">
        <v>62</v>
      </c>
      <c r="D2161" s="2" t="s">
        <v>11</v>
      </c>
      <c r="E2161" s="2" t="s">
        <v>22</v>
      </c>
      <c r="F2161" s="2" t="s">
        <v>26</v>
      </c>
      <c r="G2161" s="2" t="s">
        <v>14</v>
      </c>
      <c r="H2161" s="4">
        <v>63286</v>
      </c>
      <c r="I2161" s="4">
        <v>71700</v>
      </c>
    </row>
    <row r="2162" spans="1:9" x14ac:dyDescent="0.3">
      <c r="A2162" s="2" t="s">
        <v>2194</v>
      </c>
      <c r="B2162" s="3">
        <v>45970</v>
      </c>
      <c r="C2162" s="2" t="s">
        <v>10</v>
      </c>
      <c r="D2162" s="2" t="s">
        <v>11</v>
      </c>
      <c r="E2162" s="2" t="s">
        <v>12</v>
      </c>
      <c r="F2162" s="2" t="s">
        <v>42</v>
      </c>
      <c r="G2162" s="2" t="s">
        <v>19</v>
      </c>
      <c r="H2162" s="4">
        <v>55654</v>
      </c>
      <c r="I2162" s="4">
        <v>50600</v>
      </c>
    </row>
    <row r="2163" spans="1:9" x14ac:dyDescent="0.3">
      <c r="A2163" s="2" t="s">
        <v>2195</v>
      </c>
      <c r="B2163" s="3">
        <v>45970</v>
      </c>
      <c r="C2163" s="2" t="s">
        <v>16</v>
      </c>
      <c r="D2163" s="2" t="s">
        <v>11</v>
      </c>
      <c r="E2163" s="2" t="s">
        <v>17</v>
      </c>
      <c r="F2163" s="2" t="s">
        <v>39</v>
      </c>
      <c r="G2163" s="2" t="s">
        <v>19</v>
      </c>
      <c r="H2163" s="4">
        <v>106423</v>
      </c>
      <c r="I2163" s="4">
        <v>122200</v>
      </c>
    </row>
    <row r="2164" spans="1:9" x14ac:dyDescent="0.3">
      <c r="A2164" s="2" t="s">
        <v>2196</v>
      </c>
      <c r="B2164" s="3">
        <v>45970</v>
      </c>
      <c r="C2164" s="2" t="s">
        <v>25</v>
      </c>
      <c r="D2164" s="2" t="s">
        <v>11</v>
      </c>
      <c r="E2164" s="2" t="s">
        <v>22</v>
      </c>
      <c r="F2164" s="2" t="s">
        <v>18</v>
      </c>
      <c r="G2164" s="2" t="s">
        <v>19</v>
      </c>
      <c r="H2164" s="4">
        <v>34244</v>
      </c>
      <c r="I2164" s="4">
        <v>33000</v>
      </c>
    </row>
    <row r="2165" spans="1:9" x14ac:dyDescent="0.3">
      <c r="A2165" s="2" t="s">
        <v>2197</v>
      </c>
      <c r="B2165" s="3">
        <v>45971</v>
      </c>
      <c r="C2165" s="2" t="s">
        <v>16</v>
      </c>
      <c r="D2165" s="2" t="s">
        <v>11</v>
      </c>
      <c r="E2165" s="2" t="s">
        <v>17</v>
      </c>
      <c r="F2165" s="2" t="s">
        <v>42</v>
      </c>
      <c r="G2165" s="2" t="s">
        <v>19</v>
      </c>
      <c r="H2165" s="4">
        <v>81645</v>
      </c>
      <c r="I2165" s="4">
        <v>75600</v>
      </c>
    </row>
    <row r="2166" spans="1:9" x14ac:dyDescent="0.3">
      <c r="A2166" s="2" t="s">
        <v>2198</v>
      </c>
      <c r="B2166" s="3">
        <v>45971</v>
      </c>
      <c r="C2166" s="2" t="s">
        <v>36</v>
      </c>
      <c r="D2166" s="2" t="s">
        <v>11</v>
      </c>
      <c r="E2166" s="2" t="s">
        <v>37</v>
      </c>
      <c r="F2166" s="2" t="s">
        <v>12</v>
      </c>
      <c r="G2166" s="2" t="s">
        <v>14</v>
      </c>
      <c r="H2166" s="4">
        <v>210931</v>
      </c>
      <c r="I2166" s="4">
        <v>206100</v>
      </c>
    </row>
    <row r="2167" spans="1:9" x14ac:dyDescent="0.3">
      <c r="A2167" s="2" t="s">
        <v>2199</v>
      </c>
      <c r="B2167" s="3">
        <v>45971</v>
      </c>
      <c r="C2167" s="2" t="s">
        <v>55</v>
      </c>
      <c r="D2167" s="2" t="s">
        <v>11</v>
      </c>
      <c r="E2167" s="2" t="s">
        <v>37</v>
      </c>
      <c r="F2167" s="2" t="s">
        <v>56</v>
      </c>
      <c r="G2167" s="2" t="s">
        <v>19</v>
      </c>
      <c r="H2167" s="4">
        <v>15029</v>
      </c>
      <c r="I2167" s="4">
        <v>13200</v>
      </c>
    </row>
    <row r="2168" spans="1:9" x14ac:dyDescent="0.3">
      <c r="A2168" s="2" t="s">
        <v>2200</v>
      </c>
      <c r="B2168" s="3">
        <v>45971</v>
      </c>
      <c r="C2168" s="2" t="s">
        <v>55</v>
      </c>
      <c r="D2168" s="2" t="s">
        <v>11</v>
      </c>
      <c r="E2168" s="2" t="s">
        <v>37</v>
      </c>
      <c r="F2168" s="2" t="s">
        <v>56</v>
      </c>
      <c r="G2168" s="2" t="s">
        <v>19</v>
      </c>
      <c r="H2168" s="4">
        <v>90789</v>
      </c>
      <c r="I2168" s="4">
        <v>76800</v>
      </c>
    </row>
    <row r="2169" spans="1:9" x14ac:dyDescent="0.3">
      <c r="A2169" s="2" t="s">
        <v>2201</v>
      </c>
      <c r="B2169" s="3">
        <v>45972</v>
      </c>
      <c r="C2169" s="2" t="s">
        <v>62</v>
      </c>
      <c r="D2169" s="2" t="s">
        <v>11</v>
      </c>
      <c r="E2169" s="2" t="s">
        <v>22</v>
      </c>
      <c r="F2169" s="2" t="s">
        <v>46</v>
      </c>
      <c r="G2169" s="2" t="s">
        <v>19</v>
      </c>
      <c r="H2169" s="4">
        <v>85962</v>
      </c>
      <c r="I2169" s="4">
        <v>87000</v>
      </c>
    </row>
    <row r="2170" spans="1:9" x14ac:dyDescent="0.3">
      <c r="A2170" s="2" t="s">
        <v>2202</v>
      </c>
      <c r="B2170" s="3">
        <v>45972</v>
      </c>
      <c r="C2170" s="2" t="s">
        <v>10</v>
      </c>
      <c r="D2170" s="2" t="s">
        <v>11</v>
      </c>
      <c r="E2170" s="2" t="s">
        <v>12</v>
      </c>
      <c r="F2170" s="2" t="s">
        <v>56</v>
      </c>
      <c r="G2170" s="2" t="s">
        <v>19</v>
      </c>
      <c r="H2170" s="4">
        <v>41558</v>
      </c>
      <c r="I2170" s="4">
        <v>37200</v>
      </c>
    </row>
    <row r="2171" spans="1:9" x14ac:dyDescent="0.3">
      <c r="A2171" s="2" t="s">
        <v>2203</v>
      </c>
      <c r="B2171" s="3">
        <v>45972</v>
      </c>
      <c r="C2171" s="2" t="s">
        <v>10</v>
      </c>
      <c r="D2171" s="2" t="s">
        <v>11</v>
      </c>
      <c r="E2171" s="2" t="s">
        <v>12</v>
      </c>
      <c r="F2171" s="2" t="s">
        <v>18</v>
      </c>
      <c r="G2171" s="2" t="s">
        <v>19</v>
      </c>
      <c r="H2171" s="4">
        <v>108991</v>
      </c>
      <c r="I2171" s="4">
        <v>113300</v>
      </c>
    </row>
    <row r="2172" spans="1:9" x14ac:dyDescent="0.3">
      <c r="A2172" s="2" t="s">
        <v>2204</v>
      </c>
      <c r="B2172" s="3">
        <v>45972</v>
      </c>
      <c r="C2172" s="2" t="s">
        <v>16</v>
      </c>
      <c r="D2172" s="2" t="s">
        <v>11</v>
      </c>
      <c r="E2172" s="2" t="s">
        <v>17</v>
      </c>
      <c r="F2172" s="2" t="s">
        <v>46</v>
      </c>
      <c r="G2172" s="2" t="s">
        <v>19</v>
      </c>
      <c r="H2172" s="4">
        <v>35932</v>
      </c>
      <c r="I2172" s="4">
        <v>40500</v>
      </c>
    </row>
    <row r="2173" spans="1:9" x14ac:dyDescent="0.3">
      <c r="A2173" s="2" t="s">
        <v>2205</v>
      </c>
      <c r="B2173" s="3">
        <v>45972</v>
      </c>
      <c r="C2173" s="2" t="s">
        <v>16</v>
      </c>
      <c r="D2173" s="2" t="s">
        <v>11</v>
      </c>
      <c r="E2173" s="2" t="s">
        <v>17</v>
      </c>
      <c r="F2173" s="2" t="s">
        <v>59</v>
      </c>
      <c r="G2173" s="2" t="s">
        <v>14</v>
      </c>
      <c r="H2173" s="4">
        <v>205882</v>
      </c>
      <c r="I2173" s="4">
        <v>213800</v>
      </c>
    </row>
    <row r="2174" spans="1:9" x14ac:dyDescent="0.3">
      <c r="A2174" s="2" t="s">
        <v>2206</v>
      </c>
      <c r="B2174" s="3">
        <v>45972</v>
      </c>
      <c r="C2174" s="2" t="s">
        <v>36</v>
      </c>
      <c r="D2174" s="2" t="s">
        <v>11</v>
      </c>
      <c r="E2174" s="2" t="s">
        <v>37</v>
      </c>
      <c r="F2174" s="2" t="s">
        <v>56</v>
      </c>
      <c r="G2174" s="2" t="s">
        <v>19</v>
      </c>
      <c r="H2174" s="4">
        <v>42255</v>
      </c>
      <c r="I2174" s="4">
        <v>39700</v>
      </c>
    </row>
    <row r="2175" spans="1:9" x14ac:dyDescent="0.3">
      <c r="A2175" s="2" t="s">
        <v>2207</v>
      </c>
      <c r="B2175" s="3">
        <v>45972</v>
      </c>
      <c r="C2175" s="2" t="s">
        <v>36</v>
      </c>
      <c r="D2175" s="2" t="s">
        <v>11</v>
      </c>
      <c r="E2175" s="2" t="s">
        <v>37</v>
      </c>
      <c r="F2175" s="2" t="s">
        <v>23</v>
      </c>
      <c r="G2175" s="2" t="s">
        <v>14</v>
      </c>
      <c r="H2175" s="4">
        <v>183575</v>
      </c>
      <c r="I2175" s="4">
        <v>181600</v>
      </c>
    </row>
    <row r="2176" spans="1:9" x14ac:dyDescent="0.3">
      <c r="A2176" s="2" t="s">
        <v>2208</v>
      </c>
      <c r="B2176" s="3">
        <v>45972</v>
      </c>
      <c r="C2176" s="2" t="s">
        <v>21</v>
      </c>
      <c r="D2176" s="2" t="s">
        <v>11</v>
      </c>
      <c r="E2176" s="2" t="s">
        <v>22</v>
      </c>
      <c r="F2176" s="2" t="s">
        <v>42</v>
      </c>
      <c r="G2176" s="2" t="s">
        <v>19</v>
      </c>
      <c r="H2176" s="4">
        <v>96196</v>
      </c>
      <c r="I2176" s="4">
        <v>95200</v>
      </c>
    </row>
    <row r="2177" spans="1:9" x14ac:dyDescent="0.3">
      <c r="A2177" s="2" t="s">
        <v>2209</v>
      </c>
      <c r="B2177" s="3">
        <v>45972</v>
      </c>
      <c r="C2177" s="2" t="s">
        <v>55</v>
      </c>
      <c r="D2177" s="2" t="s">
        <v>11</v>
      </c>
      <c r="E2177" s="2" t="s">
        <v>37</v>
      </c>
      <c r="F2177" s="2" t="s">
        <v>59</v>
      </c>
      <c r="G2177" s="2" t="s">
        <v>14</v>
      </c>
      <c r="H2177" s="4">
        <v>125627</v>
      </c>
      <c r="I2177" s="4">
        <v>115000</v>
      </c>
    </row>
    <row r="2178" spans="1:9" x14ac:dyDescent="0.3">
      <c r="A2178" s="2" t="s">
        <v>2210</v>
      </c>
      <c r="B2178" s="3">
        <v>45972</v>
      </c>
      <c r="C2178" s="2" t="s">
        <v>55</v>
      </c>
      <c r="D2178" s="2" t="s">
        <v>11</v>
      </c>
      <c r="E2178" s="2" t="s">
        <v>37</v>
      </c>
      <c r="F2178" s="2" t="s">
        <v>37</v>
      </c>
      <c r="G2178" s="2" t="s">
        <v>14</v>
      </c>
      <c r="H2178" s="4">
        <v>236032</v>
      </c>
      <c r="I2178" s="4">
        <v>256000</v>
      </c>
    </row>
    <row r="2179" spans="1:9" x14ac:dyDescent="0.3">
      <c r="A2179" s="2" t="s">
        <v>2211</v>
      </c>
      <c r="B2179" s="3">
        <v>45973</v>
      </c>
      <c r="C2179" s="2" t="s">
        <v>62</v>
      </c>
      <c r="D2179" s="2" t="s">
        <v>11</v>
      </c>
      <c r="E2179" s="2" t="s">
        <v>22</v>
      </c>
      <c r="F2179" s="2" t="s">
        <v>12</v>
      </c>
      <c r="G2179" s="2" t="s">
        <v>14</v>
      </c>
      <c r="H2179" s="4">
        <v>117977</v>
      </c>
      <c r="I2179" s="4">
        <v>137500</v>
      </c>
    </row>
    <row r="2180" spans="1:9" x14ac:dyDescent="0.3">
      <c r="A2180" s="2" t="s">
        <v>2212</v>
      </c>
      <c r="B2180" s="3">
        <v>45973</v>
      </c>
      <c r="C2180" s="2" t="s">
        <v>10</v>
      </c>
      <c r="D2180" s="2" t="s">
        <v>11</v>
      </c>
      <c r="E2180" s="2" t="s">
        <v>12</v>
      </c>
      <c r="F2180" s="2" t="s">
        <v>56</v>
      </c>
      <c r="G2180" s="2" t="s">
        <v>19</v>
      </c>
      <c r="H2180" s="4">
        <v>12381</v>
      </c>
      <c r="I2180" s="4">
        <v>12500</v>
      </c>
    </row>
    <row r="2181" spans="1:9" x14ac:dyDescent="0.3">
      <c r="A2181" s="2" t="s">
        <v>2213</v>
      </c>
      <c r="B2181" s="3">
        <v>45973</v>
      </c>
      <c r="C2181" s="2" t="s">
        <v>16</v>
      </c>
      <c r="D2181" s="2" t="s">
        <v>11</v>
      </c>
      <c r="E2181" s="2" t="s">
        <v>17</v>
      </c>
      <c r="F2181" s="2" t="s">
        <v>13</v>
      </c>
      <c r="G2181" s="2" t="s">
        <v>14</v>
      </c>
      <c r="H2181" s="4">
        <v>27393</v>
      </c>
      <c r="I2181" s="4">
        <v>32900</v>
      </c>
    </row>
    <row r="2182" spans="1:9" x14ac:dyDescent="0.3">
      <c r="A2182" s="2" t="s">
        <v>2214</v>
      </c>
      <c r="B2182" s="3">
        <v>45973</v>
      </c>
      <c r="C2182" s="2" t="s">
        <v>36</v>
      </c>
      <c r="D2182" s="2" t="s">
        <v>11</v>
      </c>
      <c r="E2182" s="2" t="s">
        <v>37</v>
      </c>
      <c r="F2182" s="2" t="s">
        <v>37</v>
      </c>
      <c r="G2182" s="2" t="s">
        <v>14</v>
      </c>
      <c r="H2182" s="4">
        <v>161927</v>
      </c>
      <c r="I2182" s="4">
        <v>182100</v>
      </c>
    </row>
    <row r="2183" spans="1:9" x14ac:dyDescent="0.3">
      <c r="A2183" s="2" t="s">
        <v>2215</v>
      </c>
      <c r="B2183" s="3">
        <v>45973</v>
      </c>
      <c r="C2183" s="2" t="s">
        <v>21</v>
      </c>
      <c r="D2183" s="2" t="s">
        <v>11</v>
      </c>
      <c r="E2183" s="2" t="s">
        <v>22</v>
      </c>
      <c r="F2183" s="2" t="s">
        <v>23</v>
      </c>
      <c r="G2183" s="2" t="s">
        <v>14</v>
      </c>
      <c r="H2183" s="4">
        <v>121469</v>
      </c>
      <c r="I2183" s="4">
        <v>116000</v>
      </c>
    </row>
    <row r="2184" spans="1:9" x14ac:dyDescent="0.3">
      <c r="A2184" s="2" t="s">
        <v>2216</v>
      </c>
      <c r="B2184" s="3">
        <v>45973</v>
      </c>
      <c r="C2184" s="2" t="s">
        <v>25</v>
      </c>
      <c r="D2184" s="2" t="s">
        <v>11</v>
      </c>
      <c r="E2184" s="2" t="s">
        <v>22</v>
      </c>
      <c r="F2184" s="2" t="s">
        <v>37</v>
      </c>
      <c r="G2184" s="2" t="s">
        <v>14</v>
      </c>
      <c r="H2184" s="4">
        <v>29837</v>
      </c>
      <c r="I2184" s="4">
        <v>31600</v>
      </c>
    </row>
    <row r="2185" spans="1:9" x14ac:dyDescent="0.3">
      <c r="A2185" s="2" t="s">
        <v>2217</v>
      </c>
      <c r="B2185" s="3">
        <v>45974</v>
      </c>
      <c r="C2185" s="2" t="s">
        <v>62</v>
      </c>
      <c r="D2185" s="2" t="s">
        <v>11</v>
      </c>
      <c r="E2185" s="2" t="s">
        <v>22</v>
      </c>
      <c r="F2185" s="2" t="s">
        <v>18</v>
      </c>
      <c r="G2185" s="2" t="s">
        <v>19</v>
      </c>
      <c r="H2185" s="4">
        <v>51494</v>
      </c>
      <c r="I2185" s="4">
        <v>46800</v>
      </c>
    </row>
    <row r="2186" spans="1:9" x14ac:dyDescent="0.3">
      <c r="A2186" s="2" t="s">
        <v>2218</v>
      </c>
      <c r="B2186" s="3">
        <v>45974</v>
      </c>
      <c r="C2186" s="2" t="s">
        <v>62</v>
      </c>
      <c r="D2186" s="2" t="s">
        <v>11</v>
      </c>
      <c r="E2186" s="2" t="s">
        <v>22</v>
      </c>
      <c r="F2186" s="2" t="s">
        <v>59</v>
      </c>
      <c r="G2186" s="2" t="s">
        <v>14</v>
      </c>
      <c r="H2186" s="4">
        <v>142862</v>
      </c>
      <c r="I2186" s="4">
        <v>129600</v>
      </c>
    </row>
    <row r="2187" spans="1:9" x14ac:dyDescent="0.3">
      <c r="A2187" s="2" t="s">
        <v>2219</v>
      </c>
      <c r="B2187" s="3">
        <v>45974</v>
      </c>
      <c r="C2187" s="2" t="s">
        <v>10</v>
      </c>
      <c r="D2187" s="2" t="s">
        <v>11</v>
      </c>
      <c r="E2187" s="2" t="s">
        <v>12</v>
      </c>
      <c r="F2187" s="2" t="s">
        <v>59</v>
      </c>
      <c r="G2187" s="2" t="s">
        <v>14</v>
      </c>
      <c r="H2187" s="4">
        <v>197417</v>
      </c>
      <c r="I2187" s="4">
        <v>177600</v>
      </c>
    </row>
    <row r="2188" spans="1:9" x14ac:dyDescent="0.3">
      <c r="A2188" s="2" t="s">
        <v>2220</v>
      </c>
      <c r="B2188" s="3">
        <v>45974</v>
      </c>
      <c r="C2188" s="2" t="s">
        <v>16</v>
      </c>
      <c r="D2188" s="2" t="s">
        <v>11</v>
      </c>
      <c r="E2188" s="2" t="s">
        <v>17</v>
      </c>
      <c r="F2188" s="2" t="s">
        <v>13</v>
      </c>
      <c r="G2188" s="2" t="s">
        <v>14</v>
      </c>
      <c r="H2188" s="4">
        <v>165739</v>
      </c>
      <c r="I2188" s="4">
        <v>165100</v>
      </c>
    </row>
    <row r="2189" spans="1:9" x14ac:dyDescent="0.3">
      <c r="A2189" s="2" t="s">
        <v>2221</v>
      </c>
      <c r="B2189" s="3">
        <v>45974</v>
      </c>
      <c r="C2189" s="2" t="s">
        <v>36</v>
      </c>
      <c r="D2189" s="2" t="s">
        <v>11</v>
      </c>
      <c r="E2189" s="2" t="s">
        <v>37</v>
      </c>
      <c r="F2189" s="2" t="s">
        <v>46</v>
      </c>
      <c r="G2189" s="2" t="s">
        <v>19</v>
      </c>
      <c r="H2189" s="4">
        <v>41483</v>
      </c>
      <c r="I2189" s="4">
        <v>40300</v>
      </c>
    </row>
    <row r="2190" spans="1:9" x14ac:dyDescent="0.3">
      <c r="A2190" s="2" t="s">
        <v>2222</v>
      </c>
      <c r="B2190" s="3">
        <v>45974</v>
      </c>
      <c r="C2190" s="2" t="s">
        <v>21</v>
      </c>
      <c r="D2190" s="2" t="s">
        <v>11</v>
      </c>
      <c r="E2190" s="2" t="s">
        <v>22</v>
      </c>
      <c r="F2190" s="2" t="s">
        <v>56</v>
      </c>
      <c r="G2190" s="2" t="s">
        <v>19</v>
      </c>
      <c r="H2190" s="4">
        <v>22068</v>
      </c>
      <c r="I2190" s="4">
        <v>22900</v>
      </c>
    </row>
    <row r="2191" spans="1:9" x14ac:dyDescent="0.3">
      <c r="A2191" s="2" t="s">
        <v>2223</v>
      </c>
      <c r="B2191" s="3">
        <v>45974</v>
      </c>
      <c r="C2191" s="2" t="s">
        <v>25</v>
      </c>
      <c r="D2191" s="2" t="s">
        <v>11</v>
      </c>
      <c r="E2191" s="2" t="s">
        <v>22</v>
      </c>
      <c r="F2191" s="2" t="s">
        <v>13</v>
      </c>
      <c r="G2191" s="2" t="s">
        <v>14</v>
      </c>
      <c r="H2191" s="4">
        <v>30799</v>
      </c>
      <c r="I2191" s="4">
        <v>29200</v>
      </c>
    </row>
    <row r="2192" spans="1:9" x14ac:dyDescent="0.3">
      <c r="A2192" s="2" t="s">
        <v>2224</v>
      </c>
      <c r="B2192" s="3">
        <v>45974</v>
      </c>
      <c r="C2192" s="2" t="s">
        <v>25</v>
      </c>
      <c r="D2192" s="2" t="s">
        <v>11</v>
      </c>
      <c r="E2192" s="2" t="s">
        <v>22</v>
      </c>
      <c r="F2192" s="2" t="s">
        <v>12</v>
      </c>
      <c r="G2192" s="2" t="s">
        <v>14</v>
      </c>
      <c r="H2192" s="4">
        <v>152430</v>
      </c>
      <c r="I2192" s="4">
        <v>146500</v>
      </c>
    </row>
    <row r="2193" spans="1:9" x14ac:dyDescent="0.3">
      <c r="A2193" s="2" t="s">
        <v>2225</v>
      </c>
      <c r="B2193" s="3">
        <v>45974</v>
      </c>
      <c r="C2193" s="2" t="s">
        <v>31</v>
      </c>
      <c r="D2193" s="2" t="s">
        <v>11</v>
      </c>
      <c r="E2193" s="2" t="s">
        <v>17</v>
      </c>
      <c r="F2193" s="2" t="s">
        <v>37</v>
      </c>
      <c r="G2193" s="2" t="s">
        <v>14</v>
      </c>
      <c r="H2193" s="4">
        <v>186731</v>
      </c>
      <c r="I2193" s="4">
        <v>201000</v>
      </c>
    </row>
    <row r="2194" spans="1:9" x14ac:dyDescent="0.3">
      <c r="A2194" s="2" t="s">
        <v>2226</v>
      </c>
      <c r="B2194" s="3">
        <v>45975</v>
      </c>
      <c r="C2194" s="2" t="s">
        <v>16</v>
      </c>
      <c r="D2194" s="2" t="s">
        <v>11</v>
      </c>
      <c r="E2194" s="2" t="s">
        <v>17</v>
      </c>
      <c r="F2194" s="2" t="s">
        <v>18</v>
      </c>
      <c r="G2194" s="2" t="s">
        <v>19</v>
      </c>
      <c r="H2194" s="4">
        <v>74152</v>
      </c>
      <c r="I2194" s="4">
        <v>69400</v>
      </c>
    </row>
    <row r="2195" spans="1:9" x14ac:dyDescent="0.3">
      <c r="A2195" s="2" t="s">
        <v>2227</v>
      </c>
      <c r="B2195" s="3">
        <v>45975</v>
      </c>
      <c r="C2195" s="2" t="s">
        <v>36</v>
      </c>
      <c r="D2195" s="2" t="s">
        <v>11</v>
      </c>
      <c r="E2195" s="2" t="s">
        <v>37</v>
      </c>
      <c r="F2195" s="2" t="s">
        <v>56</v>
      </c>
      <c r="G2195" s="2" t="s">
        <v>19</v>
      </c>
      <c r="H2195" s="4">
        <v>118347</v>
      </c>
      <c r="I2195" s="4">
        <v>144000</v>
      </c>
    </row>
    <row r="2196" spans="1:9" x14ac:dyDescent="0.3">
      <c r="A2196" s="2" t="s">
        <v>2228</v>
      </c>
      <c r="B2196" s="3">
        <v>45975</v>
      </c>
      <c r="C2196" s="2" t="s">
        <v>36</v>
      </c>
      <c r="D2196" s="2" t="s">
        <v>11</v>
      </c>
      <c r="E2196" s="2" t="s">
        <v>37</v>
      </c>
      <c r="F2196" s="2" t="s">
        <v>59</v>
      </c>
      <c r="G2196" s="2" t="s">
        <v>14</v>
      </c>
      <c r="H2196" s="4">
        <v>52098</v>
      </c>
      <c r="I2196" s="4">
        <v>48600</v>
      </c>
    </row>
    <row r="2197" spans="1:9" x14ac:dyDescent="0.3">
      <c r="A2197" s="2" t="s">
        <v>2229</v>
      </c>
      <c r="B2197" s="3">
        <v>45975</v>
      </c>
      <c r="C2197" s="2" t="s">
        <v>36</v>
      </c>
      <c r="D2197" s="2" t="s">
        <v>11</v>
      </c>
      <c r="E2197" s="2" t="s">
        <v>37</v>
      </c>
      <c r="F2197" s="2" t="s">
        <v>37</v>
      </c>
      <c r="G2197" s="2" t="s">
        <v>14</v>
      </c>
      <c r="H2197" s="4">
        <v>173535</v>
      </c>
      <c r="I2197" s="4">
        <v>150700</v>
      </c>
    </row>
    <row r="2198" spans="1:9" x14ac:dyDescent="0.3">
      <c r="A2198" s="2" t="s">
        <v>2230</v>
      </c>
      <c r="B2198" s="3">
        <v>45975</v>
      </c>
      <c r="C2198" s="2" t="s">
        <v>31</v>
      </c>
      <c r="D2198" s="2" t="s">
        <v>11</v>
      </c>
      <c r="E2198" s="2" t="s">
        <v>17</v>
      </c>
      <c r="F2198" s="2" t="s">
        <v>26</v>
      </c>
      <c r="G2198" s="2" t="s">
        <v>14</v>
      </c>
      <c r="H2198" s="4">
        <v>154970</v>
      </c>
      <c r="I2198" s="4">
        <v>177200</v>
      </c>
    </row>
    <row r="2199" spans="1:9" x14ac:dyDescent="0.3">
      <c r="A2199" s="2" t="s">
        <v>2231</v>
      </c>
      <c r="B2199" s="3">
        <v>45976</v>
      </c>
      <c r="C2199" s="2" t="s">
        <v>16</v>
      </c>
      <c r="D2199" s="2" t="s">
        <v>11</v>
      </c>
      <c r="E2199" s="2" t="s">
        <v>17</v>
      </c>
      <c r="F2199" s="2" t="s">
        <v>18</v>
      </c>
      <c r="G2199" s="2" t="s">
        <v>19</v>
      </c>
      <c r="H2199" s="4">
        <v>72549</v>
      </c>
      <c r="I2199" s="4">
        <v>73000</v>
      </c>
    </row>
    <row r="2200" spans="1:9" x14ac:dyDescent="0.3">
      <c r="A2200" s="2" t="s">
        <v>2232</v>
      </c>
      <c r="B2200" s="3">
        <v>45976</v>
      </c>
      <c r="C2200" s="2" t="s">
        <v>16</v>
      </c>
      <c r="D2200" s="2" t="s">
        <v>11</v>
      </c>
      <c r="E2200" s="2" t="s">
        <v>17</v>
      </c>
      <c r="F2200" s="2" t="s">
        <v>42</v>
      </c>
      <c r="G2200" s="2" t="s">
        <v>19</v>
      </c>
      <c r="H2200" s="4">
        <v>44426</v>
      </c>
      <c r="I2200" s="4">
        <v>39200</v>
      </c>
    </row>
    <row r="2201" spans="1:9" x14ac:dyDescent="0.3">
      <c r="A2201" s="2" t="s">
        <v>2233</v>
      </c>
      <c r="B2201" s="3">
        <v>45976</v>
      </c>
      <c r="C2201" s="2" t="s">
        <v>16</v>
      </c>
      <c r="D2201" s="2" t="s">
        <v>11</v>
      </c>
      <c r="E2201" s="2" t="s">
        <v>17</v>
      </c>
      <c r="F2201" s="2" t="s">
        <v>23</v>
      </c>
      <c r="G2201" s="2" t="s">
        <v>14</v>
      </c>
      <c r="H2201" s="4">
        <v>83057</v>
      </c>
      <c r="I2201" s="4">
        <v>84500</v>
      </c>
    </row>
    <row r="2202" spans="1:9" x14ac:dyDescent="0.3">
      <c r="A2202" s="2" t="s">
        <v>2234</v>
      </c>
      <c r="B2202" s="3">
        <v>45976</v>
      </c>
      <c r="C2202" s="2" t="s">
        <v>36</v>
      </c>
      <c r="D2202" s="2" t="s">
        <v>11</v>
      </c>
      <c r="E2202" s="2" t="s">
        <v>37</v>
      </c>
      <c r="F2202" s="2" t="s">
        <v>56</v>
      </c>
      <c r="G2202" s="2" t="s">
        <v>19</v>
      </c>
      <c r="H2202" s="4">
        <v>45311</v>
      </c>
      <c r="I2202" s="4">
        <v>41400</v>
      </c>
    </row>
    <row r="2203" spans="1:9" x14ac:dyDescent="0.3">
      <c r="A2203" s="2" t="s">
        <v>2235</v>
      </c>
      <c r="B2203" s="3">
        <v>45976</v>
      </c>
      <c r="C2203" s="2" t="s">
        <v>21</v>
      </c>
      <c r="D2203" s="2" t="s">
        <v>11</v>
      </c>
      <c r="E2203" s="2" t="s">
        <v>22</v>
      </c>
      <c r="F2203" s="2" t="s">
        <v>37</v>
      </c>
      <c r="G2203" s="2" t="s">
        <v>14</v>
      </c>
      <c r="H2203" s="4">
        <v>157477</v>
      </c>
      <c r="I2203" s="4">
        <v>152200</v>
      </c>
    </row>
    <row r="2204" spans="1:9" x14ac:dyDescent="0.3">
      <c r="A2204" s="2" t="s">
        <v>2236</v>
      </c>
      <c r="B2204" s="3">
        <v>45976</v>
      </c>
      <c r="C2204" s="2" t="s">
        <v>21</v>
      </c>
      <c r="D2204" s="2" t="s">
        <v>11</v>
      </c>
      <c r="E2204" s="2" t="s">
        <v>22</v>
      </c>
      <c r="F2204" s="2" t="s">
        <v>26</v>
      </c>
      <c r="G2204" s="2" t="s">
        <v>14</v>
      </c>
      <c r="H2204" s="4">
        <v>59577</v>
      </c>
      <c r="I2204" s="4">
        <v>63600</v>
      </c>
    </row>
    <row r="2205" spans="1:9" x14ac:dyDescent="0.3">
      <c r="A2205" s="2" t="s">
        <v>2237</v>
      </c>
      <c r="B2205" s="3">
        <v>45976</v>
      </c>
      <c r="C2205" s="2" t="s">
        <v>21</v>
      </c>
      <c r="D2205" s="2" t="s">
        <v>11</v>
      </c>
      <c r="E2205" s="2" t="s">
        <v>22</v>
      </c>
      <c r="F2205" s="2" t="s">
        <v>12</v>
      </c>
      <c r="G2205" s="2" t="s">
        <v>14</v>
      </c>
      <c r="H2205" s="4">
        <v>217244</v>
      </c>
      <c r="I2205" s="4">
        <v>224800</v>
      </c>
    </row>
    <row r="2206" spans="1:9" x14ac:dyDescent="0.3">
      <c r="A2206" s="2" t="s">
        <v>2238</v>
      </c>
      <c r="B2206" s="3">
        <v>45977</v>
      </c>
      <c r="C2206" s="2" t="s">
        <v>62</v>
      </c>
      <c r="D2206" s="2" t="s">
        <v>11</v>
      </c>
      <c r="E2206" s="2" t="s">
        <v>22</v>
      </c>
      <c r="F2206" s="2" t="s">
        <v>18</v>
      </c>
      <c r="G2206" s="2" t="s">
        <v>19</v>
      </c>
      <c r="H2206" s="4">
        <v>56102</v>
      </c>
      <c r="I2206" s="4">
        <v>52600</v>
      </c>
    </row>
    <row r="2207" spans="1:9" x14ac:dyDescent="0.3">
      <c r="A2207" s="2" t="s">
        <v>2239</v>
      </c>
      <c r="B2207" s="3">
        <v>45977</v>
      </c>
      <c r="C2207" s="2" t="s">
        <v>62</v>
      </c>
      <c r="D2207" s="2" t="s">
        <v>11</v>
      </c>
      <c r="E2207" s="2" t="s">
        <v>22</v>
      </c>
      <c r="F2207" s="2" t="s">
        <v>56</v>
      </c>
      <c r="G2207" s="2" t="s">
        <v>19</v>
      </c>
      <c r="H2207" s="4">
        <v>104512</v>
      </c>
      <c r="I2207" s="4">
        <v>104500</v>
      </c>
    </row>
    <row r="2208" spans="1:9" x14ac:dyDescent="0.3">
      <c r="A2208" s="2" t="s">
        <v>2240</v>
      </c>
      <c r="B2208" s="3">
        <v>45977</v>
      </c>
      <c r="C2208" s="2" t="s">
        <v>16</v>
      </c>
      <c r="D2208" s="2" t="s">
        <v>11</v>
      </c>
      <c r="E2208" s="2" t="s">
        <v>17</v>
      </c>
      <c r="F2208" s="2" t="s">
        <v>26</v>
      </c>
      <c r="G2208" s="2" t="s">
        <v>14</v>
      </c>
      <c r="H2208" s="4">
        <v>101306</v>
      </c>
      <c r="I2208" s="4">
        <v>85300</v>
      </c>
    </row>
    <row r="2209" spans="1:9" x14ac:dyDescent="0.3">
      <c r="A2209" s="2" t="s">
        <v>2241</v>
      </c>
      <c r="B2209" s="3">
        <v>45977</v>
      </c>
      <c r="C2209" s="2" t="s">
        <v>36</v>
      </c>
      <c r="D2209" s="2" t="s">
        <v>11</v>
      </c>
      <c r="E2209" s="2" t="s">
        <v>37</v>
      </c>
      <c r="F2209" s="2" t="s">
        <v>46</v>
      </c>
      <c r="G2209" s="2" t="s">
        <v>19</v>
      </c>
      <c r="H2209" s="4">
        <v>38711</v>
      </c>
      <c r="I2209" s="4">
        <v>37600</v>
      </c>
    </row>
    <row r="2210" spans="1:9" x14ac:dyDescent="0.3">
      <c r="A2210" s="2" t="s">
        <v>2242</v>
      </c>
      <c r="B2210" s="3">
        <v>45977</v>
      </c>
      <c r="C2210" s="2" t="s">
        <v>25</v>
      </c>
      <c r="D2210" s="2" t="s">
        <v>11</v>
      </c>
      <c r="E2210" s="2" t="s">
        <v>22</v>
      </c>
      <c r="F2210" s="2" t="s">
        <v>56</v>
      </c>
      <c r="G2210" s="2" t="s">
        <v>19</v>
      </c>
      <c r="H2210" s="4">
        <v>59954</v>
      </c>
      <c r="I2210" s="4">
        <v>69800</v>
      </c>
    </row>
    <row r="2211" spans="1:9" x14ac:dyDescent="0.3">
      <c r="A2211" s="2" t="s">
        <v>2243</v>
      </c>
      <c r="B2211" s="3">
        <v>45977</v>
      </c>
      <c r="C2211" s="2" t="s">
        <v>25</v>
      </c>
      <c r="D2211" s="2" t="s">
        <v>11</v>
      </c>
      <c r="E2211" s="2" t="s">
        <v>22</v>
      </c>
      <c r="F2211" s="2" t="s">
        <v>42</v>
      </c>
      <c r="G2211" s="2" t="s">
        <v>19</v>
      </c>
      <c r="H2211" s="4">
        <v>75319</v>
      </c>
      <c r="I2211" s="4">
        <v>81800</v>
      </c>
    </row>
    <row r="2212" spans="1:9" x14ac:dyDescent="0.3">
      <c r="A2212" s="2" t="s">
        <v>2244</v>
      </c>
      <c r="B2212" s="3">
        <v>45977</v>
      </c>
      <c r="C2212" s="2" t="s">
        <v>31</v>
      </c>
      <c r="D2212" s="2" t="s">
        <v>11</v>
      </c>
      <c r="E2212" s="2" t="s">
        <v>17</v>
      </c>
      <c r="F2212" s="2" t="s">
        <v>56</v>
      </c>
      <c r="G2212" s="2" t="s">
        <v>19</v>
      </c>
      <c r="H2212" s="4">
        <v>109668</v>
      </c>
      <c r="I2212" s="4">
        <v>97000</v>
      </c>
    </row>
    <row r="2213" spans="1:9" x14ac:dyDescent="0.3">
      <c r="A2213" s="2" t="s">
        <v>2245</v>
      </c>
      <c r="B2213" s="3">
        <v>45977</v>
      </c>
      <c r="C2213" s="2" t="s">
        <v>55</v>
      </c>
      <c r="D2213" s="2" t="s">
        <v>11</v>
      </c>
      <c r="E2213" s="2" t="s">
        <v>37</v>
      </c>
      <c r="F2213" s="2" t="s">
        <v>33</v>
      </c>
      <c r="G2213" s="2" t="s">
        <v>19</v>
      </c>
      <c r="H2213" s="4">
        <v>105344</v>
      </c>
      <c r="I2213" s="4">
        <v>87400</v>
      </c>
    </row>
    <row r="2214" spans="1:9" x14ac:dyDescent="0.3">
      <c r="A2214" s="2" t="s">
        <v>2246</v>
      </c>
      <c r="B2214" s="3">
        <v>45978</v>
      </c>
      <c r="C2214" s="2" t="s">
        <v>16</v>
      </c>
      <c r="D2214" s="2" t="s">
        <v>11</v>
      </c>
      <c r="E2214" s="2" t="s">
        <v>17</v>
      </c>
      <c r="F2214" s="2" t="s">
        <v>39</v>
      </c>
      <c r="G2214" s="2" t="s">
        <v>19</v>
      </c>
      <c r="H2214" s="4">
        <v>100178</v>
      </c>
      <c r="I2214" s="4">
        <v>108000</v>
      </c>
    </row>
    <row r="2215" spans="1:9" x14ac:dyDescent="0.3">
      <c r="A2215" s="2" t="s">
        <v>2247</v>
      </c>
      <c r="B2215" s="3">
        <v>45978</v>
      </c>
      <c r="C2215" s="2" t="s">
        <v>16</v>
      </c>
      <c r="D2215" s="2" t="s">
        <v>11</v>
      </c>
      <c r="E2215" s="2" t="s">
        <v>17</v>
      </c>
      <c r="F2215" s="2" t="s">
        <v>18</v>
      </c>
      <c r="G2215" s="2" t="s">
        <v>19</v>
      </c>
      <c r="H2215" s="4">
        <v>37271</v>
      </c>
      <c r="I2215" s="4">
        <v>39900</v>
      </c>
    </row>
    <row r="2216" spans="1:9" x14ac:dyDescent="0.3">
      <c r="A2216" s="2" t="s">
        <v>2248</v>
      </c>
      <c r="B2216" s="3">
        <v>45978</v>
      </c>
      <c r="C2216" s="2" t="s">
        <v>16</v>
      </c>
      <c r="D2216" s="2" t="s">
        <v>11</v>
      </c>
      <c r="E2216" s="2" t="s">
        <v>17</v>
      </c>
      <c r="F2216" s="2" t="s">
        <v>26</v>
      </c>
      <c r="G2216" s="2" t="s">
        <v>14</v>
      </c>
      <c r="H2216" s="4">
        <v>219337</v>
      </c>
      <c r="I2216" s="4">
        <v>206100</v>
      </c>
    </row>
    <row r="2217" spans="1:9" x14ac:dyDescent="0.3">
      <c r="A2217" s="2" t="s">
        <v>2249</v>
      </c>
      <c r="B2217" s="3">
        <v>45978</v>
      </c>
      <c r="C2217" s="2" t="s">
        <v>21</v>
      </c>
      <c r="D2217" s="2" t="s">
        <v>11</v>
      </c>
      <c r="E2217" s="2" t="s">
        <v>22</v>
      </c>
      <c r="F2217" s="2" t="s">
        <v>18</v>
      </c>
      <c r="G2217" s="2" t="s">
        <v>19</v>
      </c>
      <c r="H2217" s="4">
        <v>54257</v>
      </c>
      <c r="I2217" s="4">
        <v>61800</v>
      </c>
    </row>
    <row r="2218" spans="1:9" x14ac:dyDescent="0.3">
      <c r="A2218" s="2" t="s">
        <v>2250</v>
      </c>
      <c r="B2218" s="3">
        <v>45978</v>
      </c>
      <c r="C2218" s="2" t="s">
        <v>21</v>
      </c>
      <c r="D2218" s="2" t="s">
        <v>11</v>
      </c>
      <c r="E2218" s="2" t="s">
        <v>22</v>
      </c>
      <c r="F2218" s="2" t="s">
        <v>46</v>
      </c>
      <c r="G2218" s="2" t="s">
        <v>19</v>
      </c>
      <c r="H2218" s="4">
        <v>90729</v>
      </c>
      <c r="I2218" s="4">
        <v>99700</v>
      </c>
    </row>
    <row r="2219" spans="1:9" x14ac:dyDescent="0.3">
      <c r="A2219" s="2" t="s">
        <v>2251</v>
      </c>
      <c r="B2219" s="3">
        <v>45978</v>
      </c>
      <c r="C2219" s="2" t="s">
        <v>21</v>
      </c>
      <c r="D2219" s="2" t="s">
        <v>11</v>
      </c>
      <c r="E2219" s="2" t="s">
        <v>22</v>
      </c>
      <c r="F2219" s="2" t="s">
        <v>13</v>
      </c>
      <c r="G2219" s="2" t="s">
        <v>14</v>
      </c>
      <c r="H2219" s="4">
        <v>122278</v>
      </c>
      <c r="I2219" s="4">
        <v>116300</v>
      </c>
    </row>
    <row r="2220" spans="1:9" x14ac:dyDescent="0.3">
      <c r="A2220" s="2" t="s">
        <v>2252</v>
      </c>
      <c r="B2220" s="3">
        <v>45978</v>
      </c>
      <c r="C2220" s="2" t="s">
        <v>21</v>
      </c>
      <c r="D2220" s="2" t="s">
        <v>11</v>
      </c>
      <c r="E2220" s="2" t="s">
        <v>22</v>
      </c>
      <c r="F2220" s="2" t="s">
        <v>26</v>
      </c>
      <c r="G2220" s="2" t="s">
        <v>14</v>
      </c>
      <c r="H2220" s="4">
        <v>234794</v>
      </c>
      <c r="I2220" s="4">
        <v>223500</v>
      </c>
    </row>
    <row r="2221" spans="1:9" x14ac:dyDescent="0.3">
      <c r="A2221" s="2" t="s">
        <v>2253</v>
      </c>
      <c r="B2221" s="3">
        <v>45978</v>
      </c>
      <c r="C2221" s="2" t="s">
        <v>25</v>
      </c>
      <c r="D2221" s="2" t="s">
        <v>11</v>
      </c>
      <c r="E2221" s="2" t="s">
        <v>22</v>
      </c>
      <c r="F2221" s="2" t="s">
        <v>18</v>
      </c>
      <c r="G2221" s="2" t="s">
        <v>19</v>
      </c>
      <c r="H2221" s="4">
        <v>84347</v>
      </c>
      <c r="I2221" s="4">
        <v>78300</v>
      </c>
    </row>
    <row r="2222" spans="1:9" x14ac:dyDescent="0.3">
      <c r="A2222" s="2" t="s">
        <v>2254</v>
      </c>
      <c r="B2222" s="3">
        <v>45978</v>
      </c>
      <c r="C2222" s="2" t="s">
        <v>25</v>
      </c>
      <c r="D2222" s="2" t="s">
        <v>11</v>
      </c>
      <c r="E2222" s="2" t="s">
        <v>22</v>
      </c>
      <c r="F2222" s="2" t="s">
        <v>12</v>
      </c>
      <c r="G2222" s="2" t="s">
        <v>14</v>
      </c>
      <c r="H2222" s="4">
        <v>43015</v>
      </c>
      <c r="I2222" s="4">
        <v>47200</v>
      </c>
    </row>
    <row r="2223" spans="1:9" x14ac:dyDescent="0.3">
      <c r="A2223" s="2" t="s">
        <v>2255</v>
      </c>
      <c r="B2223" s="3">
        <v>45978</v>
      </c>
      <c r="C2223" s="2" t="s">
        <v>31</v>
      </c>
      <c r="D2223" s="2" t="s">
        <v>11</v>
      </c>
      <c r="E2223" s="2" t="s">
        <v>17</v>
      </c>
      <c r="F2223" s="2" t="s">
        <v>18</v>
      </c>
      <c r="G2223" s="2" t="s">
        <v>19</v>
      </c>
      <c r="H2223" s="4">
        <v>46547</v>
      </c>
      <c r="I2223" s="4">
        <v>48300</v>
      </c>
    </row>
    <row r="2224" spans="1:9" x14ac:dyDescent="0.3">
      <c r="A2224" s="2" t="s">
        <v>2256</v>
      </c>
      <c r="B2224" s="3">
        <v>45979</v>
      </c>
      <c r="C2224" s="2" t="s">
        <v>62</v>
      </c>
      <c r="D2224" s="2" t="s">
        <v>11</v>
      </c>
      <c r="E2224" s="2" t="s">
        <v>22</v>
      </c>
      <c r="F2224" s="2" t="s">
        <v>13</v>
      </c>
      <c r="G2224" s="2" t="s">
        <v>14</v>
      </c>
      <c r="H2224" s="4">
        <v>239724</v>
      </c>
      <c r="I2224" s="4">
        <v>215600</v>
      </c>
    </row>
    <row r="2225" spans="1:9" x14ac:dyDescent="0.3">
      <c r="A2225" s="2" t="s">
        <v>2257</v>
      </c>
      <c r="B2225" s="3">
        <v>45979</v>
      </c>
      <c r="C2225" s="2" t="s">
        <v>62</v>
      </c>
      <c r="D2225" s="2" t="s">
        <v>11</v>
      </c>
      <c r="E2225" s="2" t="s">
        <v>22</v>
      </c>
      <c r="F2225" s="2" t="s">
        <v>23</v>
      </c>
      <c r="G2225" s="2" t="s">
        <v>14</v>
      </c>
      <c r="H2225" s="4">
        <v>105842</v>
      </c>
      <c r="I2225" s="4">
        <v>98700</v>
      </c>
    </row>
    <row r="2226" spans="1:9" x14ac:dyDescent="0.3">
      <c r="A2226" s="2" t="s">
        <v>2258</v>
      </c>
      <c r="B2226" s="3">
        <v>45979</v>
      </c>
      <c r="C2226" s="2" t="s">
        <v>10</v>
      </c>
      <c r="D2226" s="2" t="s">
        <v>11</v>
      </c>
      <c r="E2226" s="2" t="s">
        <v>12</v>
      </c>
      <c r="F2226" s="2" t="s">
        <v>39</v>
      </c>
      <c r="G2226" s="2" t="s">
        <v>19</v>
      </c>
      <c r="H2226" s="4">
        <v>25987</v>
      </c>
      <c r="I2226" s="4">
        <v>23200</v>
      </c>
    </row>
    <row r="2227" spans="1:9" x14ac:dyDescent="0.3">
      <c r="A2227" s="2" t="s">
        <v>2259</v>
      </c>
      <c r="B2227" s="3">
        <v>45979</v>
      </c>
      <c r="C2227" s="2" t="s">
        <v>16</v>
      </c>
      <c r="D2227" s="2" t="s">
        <v>11</v>
      </c>
      <c r="E2227" s="2" t="s">
        <v>17</v>
      </c>
      <c r="F2227" s="2" t="s">
        <v>42</v>
      </c>
      <c r="G2227" s="2" t="s">
        <v>19</v>
      </c>
      <c r="H2227" s="4">
        <v>30429</v>
      </c>
      <c r="I2227" s="4">
        <v>31600</v>
      </c>
    </row>
    <row r="2228" spans="1:9" x14ac:dyDescent="0.3">
      <c r="A2228" s="2" t="s">
        <v>2260</v>
      </c>
      <c r="B2228" s="3">
        <v>45979</v>
      </c>
      <c r="C2228" s="2" t="s">
        <v>21</v>
      </c>
      <c r="D2228" s="2" t="s">
        <v>11</v>
      </c>
      <c r="E2228" s="2" t="s">
        <v>22</v>
      </c>
      <c r="F2228" s="2" t="s">
        <v>56</v>
      </c>
      <c r="G2228" s="2" t="s">
        <v>19</v>
      </c>
      <c r="H2228" s="4">
        <v>72893</v>
      </c>
      <c r="I2228" s="4">
        <v>73800</v>
      </c>
    </row>
    <row r="2229" spans="1:9" x14ac:dyDescent="0.3">
      <c r="A2229" s="2" t="s">
        <v>2261</v>
      </c>
      <c r="B2229" s="3">
        <v>45979</v>
      </c>
      <c r="C2229" s="2" t="s">
        <v>25</v>
      </c>
      <c r="D2229" s="2" t="s">
        <v>11</v>
      </c>
      <c r="E2229" s="2" t="s">
        <v>22</v>
      </c>
      <c r="F2229" s="2" t="s">
        <v>26</v>
      </c>
      <c r="G2229" s="2" t="s">
        <v>14</v>
      </c>
      <c r="H2229" s="4">
        <v>120509</v>
      </c>
      <c r="I2229" s="4">
        <v>125600</v>
      </c>
    </row>
    <row r="2230" spans="1:9" x14ac:dyDescent="0.3">
      <c r="A2230" s="2" t="s">
        <v>2262</v>
      </c>
      <c r="B2230" s="3">
        <v>45979</v>
      </c>
      <c r="C2230" s="2" t="s">
        <v>25</v>
      </c>
      <c r="D2230" s="2" t="s">
        <v>11</v>
      </c>
      <c r="E2230" s="2" t="s">
        <v>22</v>
      </c>
      <c r="F2230" s="2" t="s">
        <v>23</v>
      </c>
      <c r="G2230" s="2" t="s">
        <v>14</v>
      </c>
      <c r="H2230" s="4">
        <v>129992</v>
      </c>
      <c r="I2230" s="4">
        <v>142200</v>
      </c>
    </row>
    <row r="2231" spans="1:9" x14ac:dyDescent="0.3">
      <c r="A2231" s="2" t="s">
        <v>2263</v>
      </c>
      <c r="B2231" s="3">
        <v>45979</v>
      </c>
      <c r="C2231" s="2" t="s">
        <v>25</v>
      </c>
      <c r="D2231" s="2" t="s">
        <v>11</v>
      </c>
      <c r="E2231" s="2" t="s">
        <v>22</v>
      </c>
      <c r="F2231" s="2" t="s">
        <v>37</v>
      </c>
      <c r="G2231" s="2" t="s">
        <v>14</v>
      </c>
      <c r="H2231" s="4">
        <v>64394</v>
      </c>
      <c r="I2231" s="4">
        <v>56500</v>
      </c>
    </row>
    <row r="2232" spans="1:9" x14ac:dyDescent="0.3">
      <c r="A2232" s="2" t="s">
        <v>2264</v>
      </c>
      <c r="B2232" s="3">
        <v>45979</v>
      </c>
      <c r="C2232" s="2" t="s">
        <v>55</v>
      </c>
      <c r="D2232" s="2" t="s">
        <v>11</v>
      </c>
      <c r="E2232" s="2" t="s">
        <v>37</v>
      </c>
      <c r="F2232" s="2" t="s">
        <v>26</v>
      </c>
      <c r="G2232" s="2" t="s">
        <v>14</v>
      </c>
      <c r="H2232" s="4">
        <v>82123</v>
      </c>
      <c r="I2232" s="4">
        <v>69900</v>
      </c>
    </row>
    <row r="2233" spans="1:9" x14ac:dyDescent="0.3">
      <c r="A2233" s="2" t="s">
        <v>2265</v>
      </c>
      <c r="B2233" s="3">
        <v>45980</v>
      </c>
      <c r="C2233" s="2" t="s">
        <v>62</v>
      </c>
      <c r="D2233" s="2" t="s">
        <v>11</v>
      </c>
      <c r="E2233" s="2" t="s">
        <v>22</v>
      </c>
      <c r="F2233" s="2" t="s">
        <v>23</v>
      </c>
      <c r="G2233" s="2" t="s">
        <v>14</v>
      </c>
      <c r="H2233" s="4">
        <v>44051</v>
      </c>
      <c r="I2233" s="4">
        <v>43000</v>
      </c>
    </row>
    <row r="2234" spans="1:9" x14ac:dyDescent="0.3">
      <c r="A2234" s="2" t="s">
        <v>2266</v>
      </c>
      <c r="B2234" s="3">
        <v>45980</v>
      </c>
      <c r="C2234" s="2" t="s">
        <v>16</v>
      </c>
      <c r="D2234" s="2" t="s">
        <v>11</v>
      </c>
      <c r="E2234" s="2" t="s">
        <v>17</v>
      </c>
      <c r="F2234" s="2" t="s">
        <v>46</v>
      </c>
      <c r="G2234" s="2" t="s">
        <v>19</v>
      </c>
      <c r="H2234" s="4">
        <v>23828</v>
      </c>
      <c r="I2234" s="4">
        <v>24200</v>
      </c>
    </row>
    <row r="2235" spans="1:9" x14ac:dyDescent="0.3">
      <c r="A2235" s="2" t="s">
        <v>2267</v>
      </c>
      <c r="B2235" s="3">
        <v>45980</v>
      </c>
      <c r="C2235" s="2" t="s">
        <v>36</v>
      </c>
      <c r="D2235" s="2" t="s">
        <v>11</v>
      </c>
      <c r="E2235" s="2" t="s">
        <v>37</v>
      </c>
      <c r="F2235" s="2" t="s">
        <v>23</v>
      </c>
      <c r="G2235" s="2" t="s">
        <v>14</v>
      </c>
      <c r="H2235" s="4">
        <v>67180</v>
      </c>
      <c r="I2235" s="4">
        <v>64400</v>
      </c>
    </row>
    <row r="2236" spans="1:9" x14ac:dyDescent="0.3">
      <c r="A2236" s="2" t="s">
        <v>2268</v>
      </c>
      <c r="B2236" s="3">
        <v>45980</v>
      </c>
      <c r="C2236" s="2" t="s">
        <v>25</v>
      </c>
      <c r="D2236" s="2" t="s">
        <v>11</v>
      </c>
      <c r="E2236" s="2" t="s">
        <v>22</v>
      </c>
      <c r="F2236" s="2" t="s">
        <v>33</v>
      </c>
      <c r="G2236" s="2" t="s">
        <v>19</v>
      </c>
      <c r="H2236" s="4">
        <v>82139</v>
      </c>
      <c r="I2236" s="4">
        <v>73300</v>
      </c>
    </row>
    <row r="2237" spans="1:9" x14ac:dyDescent="0.3">
      <c r="A2237" s="2" t="s">
        <v>2269</v>
      </c>
      <c r="B2237" s="3">
        <v>45980</v>
      </c>
      <c r="C2237" s="2" t="s">
        <v>55</v>
      </c>
      <c r="D2237" s="2" t="s">
        <v>11</v>
      </c>
      <c r="E2237" s="2" t="s">
        <v>37</v>
      </c>
      <c r="F2237" s="2" t="s">
        <v>39</v>
      </c>
      <c r="G2237" s="2" t="s">
        <v>19</v>
      </c>
      <c r="H2237" s="4">
        <v>93641</v>
      </c>
      <c r="I2237" s="4">
        <v>79300</v>
      </c>
    </row>
    <row r="2238" spans="1:9" x14ac:dyDescent="0.3">
      <c r="A2238" s="2" t="s">
        <v>2270</v>
      </c>
      <c r="B2238" s="3">
        <v>45980</v>
      </c>
      <c r="C2238" s="2" t="s">
        <v>55</v>
      </c>
      <c r="D2238" s="2" t="s">
        <v>11</v>
      </c>
      <c r="E2238" s="2" t="s">
        <v>37</v>
      </c>
      <c r="F2238" s="2" t="s">
        <v>46</v>
      </c>
      <c r="G2238" s="2" t="s">
        <v>19</v>
      </c>
      <c r="H2238" s="4">
        <v>41841</v>
      </c>
      <c r="I2238" s="4">
        <v>45600</v>
      </c>
    </row>
    <row r="2239" spans="1:9" x14ac:dyDescent="0.3">
      <c r="A2239" s="2" t="s">
        <v>2271</v>
      </c>
      <c r="B2239" s="3">
        <v>45980</v>
      </c>
      <c r="C2239" s="2" t="s">
        <v>55</v>
      </c>
      <c r="D2239" s="2" t="s">
        <v>11</v>
      </c>
      <c r="E2239" s="2" t="s">
        <v>37</v>
      </c>
      <c r="F2239" s="2" t="s">
        <v>26</v>
      </c>
      <c r="G2239" s="2" t="s">
        <v>14</v>
      </c>
      <c r="H2239" s="4">
        <v>128195</v>
      </c>
      <c r="I2239" s="4">
        <v>136300</v>
      </c>
    </row>
    <row r="2240" spans="1:9" x14ac:dyDescent="0.3">
      <c r="A2240" s="2" t="s">
        <v>2272</v>
      </c>
      <c r="B2240" s="3">
        <v>45981</v>
      </c>
      <c r="C2240" s="2" t="s">
        <v>62</v>
      </c>
      <c r="D2240" s="2" t="s">
        <v>11</v>
      </c>
      <c r="E2240" s="2" t="s">
        <v>22</v>
      </c>
      <c r="F2240" s="2" t="s">
        <v>26</v>
      </c>
      <c r="G2240" s="2" t="s">
        <v>14</v>
      </c>
      <c r="H2240" s="4">
        <v>95680</v>
      </c>
      <c r="I2240" s="4">
        <v>104800</v>
      </c>
    </row>
    <row r="2241" spans="1:9" x14ac:dyDescent="0.3">
      <c r="A2241" s="2" t="s">
        <v>2273</v>
      </c>
      <c r="B2241" s="3">
        <v>45981</v>
      </c>
      <c r="C2241" s="2" t="s">
        <v>36</v>
      </c>
      <c r="D2241" s="2" t="s">
        <v>11</v>
      </c>
      <c r="E2241" s="2" t="s">
        <v>37</v>
      </c>
      <c r="F2241" s="2" t="s">
        <v>26</v>
      </c>
      <c r="G2241" s="2" t="s">
        <v>14</v>
      </c>
      <c r="H2241" s="4">
        <v>51829</v>
      </c>
      <c r="I2241" s="4">
        <v>55600</v>
      </c>
    </row>
    <row r="2242" spans="1:9" x14ac:dyDescent="0.3">
      <c r="A2242" s="2" t="s">
        <v>2274</v>
      </c>
      <c r="B2242" s="3">
        <v>45981</v>
      </c>
      <c r="C2242" s="2" t="s">
        <v>21</v>
      </c>
      <c r="D2242" s="2" t="s">
        <v>11</v>
      </c>
      <c r="E2242" s="2" t="s">
        <v>22</v>
      </c>
      <c r="F2242" s="2" t="s">
        <v>33</v>
      </c>
      <c r="G2242" s="2" t="s">
        <v>19</v>
      </c>
      <c r="H2242" s="4">
        <v>94982</v>
      </c>
      <c r="I2242" s="4">
        <v>97300</v>
      </c>
    </row>
    <row r="2243" spans="1:9" x14ac:dyDescent="0.3">
      <c r="A2243" s="2" t="s">
        <v>2275</v>
      </c>
      <c r="B2243" s="3">
        <v>45981</v>
      </c>
      <c r="C2243" s="2" t="s">
        <v>21</v>
      </c>
      <c r="D2243" s="2" t="s">
        <v>11</v>
      </c>
      <c r="E2243" s="2" t="s">
        <v>22</v>
      </c>
      <c r="F2243" s="2" t="s">
        <v>39</v>
      </c>
      <c r="G2243" s="2" t="s">
        <v>19</v>
      </c>
      <c r="H2243" s="4">
        <v>44652</v>
      </c>
      <c r="I2243" s="4">
        <v>40900</v>
      </c>
    </row>
    <row r="2244" spans="1:9" x14ac:dyDescent="0.3">
      <c r="A2244" s="2" t="s">
        <v>2276</v>
      </c>
      <c r="B2244" s="3">
        <v>45981</v>
      </c>
      <c r="C2244" s="2" t="s">
        <v>25</v>
      </c>
      <c r="D2244" s="2" t="s">
        <v>11</v>
      </c>
      <c r="E2244" s="2" t="s">
        <v>22</v>
      </c>
      <c r="F2244" s="2" t="s">
        <v>37</v>
      </c>
      <c r="G2244" s="2" t="s">
        <v>14</v>
      </c>
      <c r="H2244" s="4">
        <v>172235</v>
      </c>
      <c r="I2244" s="4">
        <v>154500</v>
      </c>
    </row>
    <row r="2245" spans="1:9" x14ac:dyDescent="0.3">
      <c r="A2245" s="2" t="s">
        <v>2277</v>
      </c>
      <c r="B2245" s="3">
        <v>45981</v>
      </c>
      <c r="C2245" s="2" t="s">
        <v>31</v>
      </c>
      <c r="D2245" s="2" t="s">
        <v>11</v>
      </c>
      <c r="E2245" s="2" t="s">
        <v>17</v>
      </c>
      <c r="F2245" s="2" t="s">
        <v>23</v>
      </c>
      <c r="G2245" s="2" t="s">
        <v>14</v>
      </c>
      <c r="H2245" s="4">
        <v>44837</v>
      </c>
      <c r="I2245" s="4">
        <v>38500</v>
      </c>
    </row>
    <row r="2246" spans="1:9" x14ac:dyDescent="0.3">
      <c r="A2246" s="2" t="s">
        <v>2278</v>
      </c>
      <c r="B2246" s="3">
        <v>45981</v>
      </c>
      <c r="C2246" s="2" t="s">
        <v>55</v>
      </c>
      <c r="D2246" s="2" t="s">
        <v>11</v>
      </c>
      <c r="E2246" s="2" t="s">
        <v>37</v>
      </c>
      <c r="F2246" s="2" t="s">
        <v>23</v>
      </c>
      <c r="G2246" s="2" t="s">
        <v>14</v>
      </c>
      <c r="H2246" s="4">
        <v>228287</v>
      </c>
      <c r="I2246" s="4">
        <v>214900</v>
      </c>
    </row>
    <row r="2247" spans="1:9" x14ac:dyDescent="0.3">
      <c r="A2247" s="2" t="s">
        <v>2279</v>
      </c>
      <c r="B2247" s="3">
        <v>45981</v>
      </c>
      <c r="C2247" s="2" t="s">
        <v>55</v>
      </c>
      <c r="D2247" s="2" t="s">
        <v>11</v>
      </c>
      <c r="E2247" s="2" t="s">
        <v>37</v>
      </c>
      <c r="F2247" s="2" t="s">
        <v>37</v>
      </c>
      <c r="G2247" s="2" t="s">
        <v>14</v>
      </c>
      <c r="H2247" s="4">
        <v>113476</v>
      </c>
      <c r="I2247" s="4">
        <v>101900</v>
      </c>
    </row>
    <row r="2248" spans="1:9" x14ac:dyDescent="0.3">
      <c r="A2248" s="2" t="s">
        <v>2280</v>
      </c>
      <c r="B2248" s="3">
        <v>45982</v>
      </c>
      <c r="C2248" s="2" t="s">
        <v>62</v>
      </c>
      <c r="D2248" s="2" t="s">
        <v>11</v>
      </c>
      <c r="E2248" s="2" t="s">
        <v>22</v>
      </c>
      <c r="F2248" s="2" t="s">
        <v>18</v>
      </c>
      <c r="G2248" s="2" t="s">
        <v>19</v>
      </c>
      <c r="H2248" s="4">
        <v>88336</v>
      </c>
      <c r="I2248" s="4">
        <v>97600</v>
      </c>
    </row>
    <row r="2249" spans="1:9" x14ac:dyDescent="0.3">
      <c r="A2249" s="2" t="s">
        <v>2281</v>
      </c>
      <c r="B2249" s="3">
        <v>45982</v>
      </c>
      <c r="C2249" s="2" t="s">
        <v>62</v>
      </c>
      <c r="D2249" s="2" t="s">
        <v>11</v>
      </c>
      <c r="E2249" s="2" t="s">
        <v>22</v>
      </c>
      <c r="F2249" s="2" t="s">
        <v>59</v>
      </c>
      <c r="G2249" s="2" t="s">
        <v>14</v>
      </c>
      <c r="H2249" s="4">
        <v>138847</v>
      </c>
      <c r="I2249" s="4">
        <v>154500</v>
      </c>
    </row>
    <row r="2250" spans="1:9" x14ac:dyDescent="0.3">
      <c r="A2250" s="2" t="s">
        <v>2282</v>
      </c>
      <c r="B2250" s="3">
        <v>45982</v>
      </c>
      <c r="C2250" s="2" t="s">
        <v>16</v>
      </c>
      <c r="D2250" s="2" t="s">
        <v>11</v>
      </c>
      <c r="E2250" s="2" t="s">
        <v>17</v>
      </c>
      <c r="F2250" s="2" t="s">
        <v>39</v>
      </c>
      <c r="G2250" s="2" t="s">
        <v>19</v>
      </c>
      <c r="H2250" s="4">
        <v>119150</v>
      </c>
      <c r="I2250" s="4">
        <v>99100</v>
      </c>
    </row>
    <row r="2251" spans="1:9" x14ac:dyDescent="0.3">
      <c r="A2251" s="2" t="s">
        <v>2283</v>
      </c>
      <c r="B2251" s="3">
        <v>45982</v>
      </c>
      <c r="C2251" s="2" t="s">
        <v>16</v>
      </c>
      <c r="D2251" s="2" t="s">
        <v>11</v>
      </c>
      <c r="E2251" s="2" t="s">
        <v>17</v>
      </c>
      <c r="F2251" s="2" t="s">
        <v>12</v>
      </c>
      <c r="G2251" s="2" t="s">
        <v>14</v>
      </c>
      <c r="H2251" s="4">
        <v>224560</v>
      </c>
      <c r="I2251" s="4">
        <v>234400</v>
      </c>
    </row>
    <row r="2252" spans="1:9" x14ac:dyDescent="0.3">
      <c r="A2252" s="2" t="s">
        <v>2284</v>
      </c>
      <c r="B2252" s="3">
        <v>45982</v>
      </c>
      <c r="C2252" s="2" t="s">
        <v>16</v>
      </c>
      <c r="D2252" s="2" t="s">
        <v>11</v>
      </c>
      <c r="E2252" s="2" t="s">
        <v>17</v>
      </c>
      <c r="F2252" s="2" t="s">
        <v>26</v>
      </c>
      <c r="G2252" s="2" t="s">
        <v>14</v>
      </c>
      <c r="H2252" s="4">
        <v>63985</v>
      </c>
      <c r="I2252" s="4">
        <v>60000</v>
      </c>
    </row>
    <row r="2253" spans="1:9" x14ac:dyDescent="0.3">
      <c r="A2253" s="2" t="s">
        <v>2285</v>
      </c>
      <c r="B2253" s="3">
        <v>45982</v>
      </c>
      <c r="C2253" s="2" t="s">
        <v>25</v>
      </c>
      <c r="D2253" s="2" t="s">
        <v>11</v>
      </c>
      <c r="E2253" s="2" t="s">
        <v>22</v>
      </c>
      <c r="F2253" s="2" t="s">
        <v>56</v>
      </c>
      <c r="G2253" s="2" t="s">
        <v>19</v>
      </c>
      <c r="H2253" s="4">
        <v>53664</v>
      </c>
      <c r="I2253" s="4">
        <v>58600</v>
      </c>
    </row>
    <row r="2254" spans="1:9" x14ac:dyDescent="0.3">
      <c r="A2254" s="2" t="s">
        <v>2286</v>
      </c>
      <c r="B2254" s="3">
        <v>45982</v>
      </c>
      <c r="C2254" s="2" t="s">
        <v>25</v>
      </c>
      <c r="D2254" s="2" t="s">
        <v>11</v>
      </c>
      <c r="E2254" s="2" t="s">
        <v>22</v>
      </c>
      <c r="F2254" s="2" t="s">
        <v>37</v>
      </c>
      <c r="G2254" s="2" t="s">
        <v>14</v>
      </c>
      <c r="H2254" s="4">
        <v>66092</v>
      </c>
      <c r="I2254" s="4">
        <v>75800</v>
      </c>
    </row>
    <row r="2255" spans="1:9" x14ac:dyDescent="0.3">
      <c r="A2255" s="2" t="s">
        <v>2287</v>
      </c>
      <c r="B2255" s="3">
        <v>45982</v>
      </c>
      <c r="C2255" s="2" t="s">
        <v>25</v>
      </c>
      <c r="D2255" s="2" t="s">
        <v>11</v>
      </c>
      <c r="E2255" s="2" t="s">
        <v>22</v>
      </c>
      <c r="F2255" s="2" t="s">
        <v>26</v>
      </c>
      <c r="G2255" s="2" t="s">
        <v>14</v>
      </c>
      <c r="H2255" s="4">
        <v>40706</v>
      </c>
      <c r="I2255" s="4">
        <v>43200</v>
      </c>
    </row>
    <row r="2256" spans="1:9" x14ac:dyDescent="0.3">
      <c r="A2256" s="2" t="s">
        <v>2288</v>
      </c>
      <c r="B2256" s="3">
        <v>45982</v>
      </c>
      <c r="C2256" s="2" t="s">
        <v>25</v>
      </c>
      <c r="D2256" s="2" t="s">
        <v>11</v>
      </c>
      <c r="E2256" s="2" t="s">
        <v>22</v>
      </c>
      <c r="F2256" s="2" t="s">
        <v>26</v>
      </c>
      <c r="G2256" s="2" t="s">
        <v>14</v>
      </c>
      <c r="H2256" s="4">
        <v>173113</v>
      </c>
      <c r="I2256" s="4">
        <v>155400</v>
      </c>
    </row>
    <row r="2257" spans="1:9" x14ac:dyDescent="0.3">
      <c r="A2257" s="2" t="s">
        <v>2289</v>
      </c>
      <c r="B2257" s="3">
        <v>45982</v>
      </c>
      <c r="C2257" s="2" t="s">
        <v>31</v>
      </c>
      <c r="D2257" s="2" t="s">
        <v>11</v>
      </c>
      <c r="E2257" s="2" t="s">
        <v>17</v>
      </c>
      <c r="F2257" s="2" t="s">
        <v>56</v>
      </c>
      <c r="G2257" s="2" t="s">
        <v>19</v>
      </c>
      <c r="H2257" s="4">
        <v>89729</v>
      </c>
      <c r="I2257" s="4">
        <v>80000</v>
      </c>
    </row>
    <row r="2258" spans="1:9" x14ac:dyDescent="0.3">
      <c r="A2258" s="2" t="s">
        <v>2290</v>
      </c>
      <c r="B2258" s="3">
        <v>45983</v>
      </c>
      <c r="C2258" s="2" t="s">
        <v>62</v>
      </c>
      <c r="D2258" s="2" t="s">
        <v>11</v>
      </c>
      <c r="E2258" s="2" t="s">
        <v>22</v>
      </c>
      <c r="F2258" s="2" t="s">
        <v>59</v>
      </c>
      <c r="G2258" s="2" t="s">
        <v>14</v>
      </c>
      <c r="H2258" s="4">
        <v>228789</v>
      </c>
      <c r="I2258" s="4">
        <v>215200</v>
      </c>
    </row>
    <row r="2259" spans="1:9" x14ac:dyDescent="0.3">
      <c r="A2259" s="2" t="s">
        <v>2291</v>
      </c>
      <c r="B2259" s="3">
        <v>45983</v>
      </c>
      <c r="C2259" s="2" t="s">
        <v>10</v>
      </c>
      <c r="D2259" s="2" t="s">
        <v>11</v>
      </c>
      <c r="E2259" s="2" t="s">
        <v>12</v>
      </c>
      <c r="F2259" s="2" t="s">
        <v>33</v>
      </c>
      <c r="G2259" s="2" t="s">
        <v>19</v>
      </c>
      <c r="H2259" s="4">
        <v>119048</v>
      </c>
      <c r="I2259" s="4">
        <v>118600</v>
      </c>
    </row>
    <row r="2260" spans="1:9" x14ac:dyDescent="0.3">
      <c r="A2260" s="2" t="s">
        <v>2292</v>
      </c>
      <c r="B2260" s="3">
        <v>45983</v>
      </c>
      <c r="C2260" s="2" t="s">
        <v>10</v>
      </c>
      <c r="D2260" s="2" t="s">
        <v>11</v>
      </c>
      <c r="E2260" s="2" t="s">
        <v>12</v>
      </c>
      <c r="F2260" s="2" t="s">
        <v>23</v>
      </c>
      <c r="G2260" s="2" t="s">
        <v>14</v>
      </c>
      <c r="H2260" s="4">
        <v>27178</v>
      </c>
      <c r="I2260" s="4">
        <v>23600</v>
      </c>
    </row>
    <row r="2261" spans="1:9" x14ac:dyDescent="0.3">
      <c r="A2261" s="2" t="s">
        <v>2293</v>
      </c>
      <c r="B2261" s="3">
        <v>45983</v>
      </c>
      <c r="C2261" s="2" t="s">
        <v>21</v>
      </c>
      <c r="D2261" s="2" t="s">
        <v>11</v>
      </c>
      <c r="E2261" s="2" t="s">
        <v>22</v>
      </c>
      <c r="F2261" s="2" t="s">
        <v>33</v>
      </c>
      <c r="G2261" s="2" t="s">
        <v>19</v>
      </c>
      <c r="H2261" s="4">
        <v>28420</v>
      </c>
      <c r="I2261" s="4">
        <v>25500</v>
      </c>
    </row>
    <row r="2262" spans="1:9" x14ac:dyDescent="0.3">
      <c r="A2262" s="2" t="s">
        <v>2294</v>
      </c>
      <c r="B2262" s="3">
        <v>45983</v>
      </c>
      <c r="C2262" s="2" t="s">
        <v>31</v>
      </c>
      <c r="D2262" s="2" t="s">
        <v>11</v>
      </c>
      <c r="E2262" s="2" t="s">
        <v>17</v>
      </c>
      <c r="F2262" s="2" t="s">
        <v>33</v>
      </c>
      <c r="G2262" s="2" t="s">
        <v>19</v>
      </c>
      <c r="H2262" s="4">
        <v>31543</v>
      </c>
      <c r="I2262" s="4">
        <v>34500</v>
      </c>
    </row>
    <row r="2263" spans="1:9" x14ac:dyDescent="0.3">
      <c r="A2263" s="2" t="s">
        <v>2295</v>
      </c>
      <c r="B2263" s="3">
        <v>45983</v>
      </c>
      <c r="C2263" s="2" t="s">
        <v>55</v>
      </c>
      <c r="D2263" s="2" t="s">
        <v>11</v>
      </c>
      <c r="E2263" s="2" t="s">
        <v>37</v>
      </c>
      <c r="F2263" s="2" t="s">
        <v>37</v>
      </c>
      <c r="G2263" s="2" t="s">
        <v>14</v>
      </c>
      <c r="H2263" s="4">
        <v>119935</v>
      </c>
      <c r="I2263" s="4">
        <v>121700</v>
      </c>
    </row>
    <row r="2264" spans="1:9" x14ac:dyDescent="0.3">
      <c r="A2264" s="2" t="s">
        <v>2296</v>
      </c>
      <c r="B2264" s="3">
        <v>45984</v>
      </c>
      <c r="C2264" s="2" t="s">
        <v>10</v>
      </c>
      <c r="D2264" s="2" t="s">
        <v>11</v>
      </c>
      <c r="E2264" s="2" t="s">
        <v>12</v>
      </c>
      <c r="F2264" s="2" t="s">
        <v>26</v>
      </c>
      <c r="G2264" s="2" t="s">
        <v>14</v>
      </c>
      <c r="H2264" s="4">
        <v>189180</v>
      </c>
      <c r="I2264" s="4">
        <v>165800</v>
      </c>
    </row>
    <row r="2265" spans="1:9" x14ac:dyDescent="0.3">
      <c r="A2265" s="2" t="s">
        <v>2297</v>
      </c>
      <c r="B2265" s="3">
        <v>45984</v>
      </c>
      <c r="C2265" s="2" t="s">
        <v>25</v>
      </c>
      <c r="D2265" s="2" t="s">
        <v>11</v>
      </c>
      <c r="E2265" s="2" t="s">
        <v>22</v>
      </c>
      <c r="F2265" s="2" t="s">
        <v>33</v>
      </c>
      <c r="G2265" s="2" t="s">
        <v>19</v>
      </c>
      <c r="H2265" s="4">
        <v>95334</v>
      </c>
      <c r="I2265" s="4">
        <v>83800</v>
      </c>
    </row>
    <row r="2266" spans="1:9" x14ac:dyDescent="0.3">
      <c r="A2266" s="2" t="s">
        <v>2298</v>
      </c>
      <c r="B2266" s="3">
        <v>45985</v>
      </c>
      <c r="C2266" s="2" t="s">
        <v>62</v>
      </c>
      <c r="D2266" s="2" t="s">
        <v>11</v>
      </c>
      <c r="E2266" s="2" t="s">
        <v>22</v>
      </c>
      <c r="F2266" s="2" t="s">
        <v>33</v>
      </c>
      <c r="G2266" s="2" t="s">
        <v>19</v>
      </c>
      <c r="H2266" s="4">
        <v>87016</v>
      </c>
      <c r="I2266" s="4">
        <v>100000</v>
      </c>
    </row>
    <row r="2267" spans="1:9" x14ac:dyDescent="0.3">
      <c r="A2267" s="2" t="s">
        <v>2299</v>
      </c>
      <c r="B2267" s="3">
        <v>45985</v>
      </c>
      <c r="C2267" s="2" t="s">
        <v>10</v>
      </c>
      <c r="D2267" s="2" t="s">
        <v>11</v>
      </c>
      <c r="E2267" s="2" t="s">
        <v>12</v>
      </c>
      <c r="F2267" s="2" t="s">
        <v>23</v>
      </c>
      <c r="G2267" s="2" t="s">
        <v>14</v>
      </c>
      <c r="H2267" s="4">
        <v>38306</v>
      </c>
      <c r="I2267" s="4">
        <v>36400</v>
      </c>
    </row>
    <row r="2268" spans="1:9" x14ac:dyDescent="0.3">
      <c r="A2268" s="2" t="s">
        <v>2300</v>
      </c>
      <c r="B2268" s="3">
        <v>45985</v>
      </c>
      <c r="C2268" s="2" t="s">
        <v>16</v>
      </c>
      <c r="D2268" s="2" t="s">
        <v>11</v>
      </c>
      <c r="E2268" s="2" t="s">
        <v>17</v>
      </c>
      <c r="F2268" s="2" t="s">
        <v>37</v>
      </c>
      <c r="G2268" s="2" t="s">
        <v>14</v>
      </c>
      <c r="H2268" s="4">
        <v>152845</v>
      </c>
      <c r="I2268" s="4">
        <v>151500</v>
      </c>
    </row>
    <row r="2269" spans="1:9" x14ac:dyDescent="0.3">
      <c r="A2269" s="2" t="s">
        <v>2301</v>
      </c>
      <c r="B2269" s="3">
        <v>45986</v>
      </c>
      <c r="C2269" s="2" t="s">
        <v>62</v>
      </c>
      <c r="D2269" s="2" t="s">
        <v>11</v>
      </c>
      <c r="E2269" s="2" t="s">
        <v>22</v>
      </c>
      <c r="F2269" s="2" t="s">
        <v>56</v>
      </c>
      <c r="G2269" s="2" t="s">
        <v>19</v>
      </c>
      <c r="H2269" s="4">
        <v>111278</v>
      </c>
      <c r="I2269" s="4">
        <v>109100</v>
      </c>
    </row>
    <row r="2270" spans="1:9" x14ac:dyDescent="0.3">
      <c r="A2270" s="2" t="s">
        <v>2302</v>
      </c>
      <c r="B2270" s="3">
        <v>45986</v>
      </c>
      <c r="C2270" s="2" t="s">
        <v>16</v>
      </c>
      <c r="D2270" s="2" t="s">
        <v>11</v>
      </c>
      <c r="E2270" s="2" t="s">
        <v>17</v>
      </c>
      <c r="F2270" s="2" t="s">
        <v>33</v>
      </c>
      <c r="G2270" s="2" t="s">
        <v>19</v>
      </c>
      <c r="H2270" s="4">
        <v>60843</v>
      </c>
      <c r="I2270" s="4">
        <v>66500</v>
      </c>
    </row>
    <row r="2271" spans="1:9" x14ac:dyDescent="0.3">
      <c r="A2271" s="2" t="s">
        <v>2303</v>
      </c>
      <c r="B2271" s="3">
        <v>45986</v>
      </c>
      <c r="C2271" s="2" t="s">
        <v>25</v>
      </c>
      <c r="D2271" s="2" t="s">
        <v>11</v>
      </c>
      <c r="E2271" s="2" t="s">
        <v>22</v>
      </c>
      <c r="F2271" s="2" t="s">
        <v>59</v>
      </c>
      <c r="G2271" s="2" t="s">
        <v>14</v>
      </c>
      <c r="H2271" s="4">
        <v>247053</v>
      </c>
      <c r="I2271" s="4">
        <v>269600</v>
      </c>
    </row>
    <row r="2272" spans="1:9" x14ac:dyDescent="0.3">
      <c r="A2272" s="2" t="s">
        <v>2304</v>
      </c>
      <c r="B2272" s="3">
        <v>45986</v>
      </c>
      <c r="C2272" s="2" t="s">
        <v>31</v>
      </c>
      <c r="D2272" s="2" t="s">
        <v>11</v>
      </c>
      <c r="E2272" s="2" t="s">
        <v>17</v>
      </c>
      <c r="F2272" s="2" t="s">
        <v>59</v>
      </c>
      <c r="G2272" s="2" t="s">
        <v>14</v>
      </c>
      <c r="H2272" s="4">
        <v>156567</v>
      </c>
      <c r="I2272" s="4">
        <v>164800</v>
      </c>
    </row>
    <row r="2273" spans="1:9" x14ac:dyDescent="0.3">
      <c r="A2273" s="2" t="s">
        <v>2305</v>
      </c>
      <c r="B2273" s="3">
        <v>45986</v>
      </c>
      <c r="C2273" s="2" t="s">
        <v>55</v>
      </c>
      <c r="D2273" s="2" t="s">
        <v>11</v>
      </c>
      <c r="E2273" s="2" t="s">
        <v>37</v>
      </c>
      <c r="F2273" s="2" t="s">
        <v>42</v>
      </c>
      <c r="G2273" s="2" t="s">
        <v>19</v>
      </c>
      <c r="H2273" s="4">
        <v>96563</v>
      </c>
      <c r="I2273" s="4">
        <v>106900</v>
      </c>
    </row>
    <row r="2274" spans="1:9" x14ac:dyDescent="0.3">
      <c r="A2274" s="2" t="s">
        <v>2306</v>
      </c>
      <c r="B2274" s="3">
        <v>45986</v>
      </c>
      <c r="C2274" s="2" t="s">
        <v>55</v>
      </c>
      <c r="D2274" s="2" t="s">
        <v>11</v>
      </c>
      <c r="E2274" s="2" t="s">
        <v>37</v>
      </c>
      <c r="F2274" s="2" t="s">
        <v>56</v>
      </c>
      <c r="G2274" s="2" t="s">
        <v>19</v>
      </c>
      <c r="H2274" s="4">
        <v>109506</v>
      </c>
      <c r="I2274" s="4">
        <v>118300</v>
      </c>
    </row>
    <row r="2275" spans="1:9" x14ac:dyDescent="0.3">
      <c r="A2275" s="2" t="s">
        <v>2307</v>
      </c>
      <c r="B2275" s="3">
        <v>45987</v>
      </c>
      <c r="C2275" s="2" t="s">
        <v>10</v>
      </c>
      <c r="D2275" s="2" t="s">
        <v>11</v>
      </c>
      <c r="E2275" s="2" t="s">
        <v>12</v>
      </c>
      <c r="F2275" s="2" t="s">
        <v>18</v>
      </c>
      <c r="G2275" s="2" t="s">
        <v>19</v>
      </c>
      <c r="H2275" s="4">
        <v>56053</v>
      </c>
      <c r="I2275" s="4">
        <v>51300</v>
      </c>
    </row>
    <row r="2276" spans="1:9" x14ac:dyDescent="0.3">
      <c r="A2276" s="2" t="s">
        <v>2308</v>
      </c>
      <c r="B2276" s="3">
        <v>45987</v>
      </c>
      <c r="C2276" s="2" t="s">
        <v>10</v>
      </c>
      <c r="D2276" s="2" t="s">
        <v>11</v>
      </c>
      <c r="E2276" s="2" t="s">
        <v>12</v>
      </c>
      <c r="F2276" s="2" t="s">
        <v>26</v>
      </c>
      <c r="G2276" s="2" t="s">
        <v>14</v>
      </c>
      <c r="H2276" s="4">
        <v>215025</v>
      </c>
      <c r="I2276" s="4">
        <v>162600</v>
      </c>
    </row>
    <row r="2277" spans="1:9" x14ac:dyDescent="0.3">
      <c r="A2277" s="2" t="s">
        <v>2309</v>
      </c>
      <c r="B2277" s="3">
        <v>45987</v>
      </c>
      <c r="C2277" s="2" t="s">
        <v>36</v>
      </c>
      <c r="D2277" s="2" t="s">
        <v>11</v>
      </c>
      <c r="E2277" s="2" t="s">
        <v>37</v>
      </c>
      <c r="F2277" s="2" t="s">
        <v>56</v>
      </c>
      <c r="G2277" s="2" t="s">
        <v>19</v>
      </c>
      <c r="H2277" s="4">
        <v>97032</v>
      </c>
      <c r="I2277" s="4">
        <v>92300</v>
      </c>
    </row>
    <row r="2278" spans="1:9" x14ac:dyDescent="0.3">
      <c r="A2278" s="2" t="s">
        <v>2310</v>
      </c>
      <c r="B2278" s="3">
        <v>45987</v>
      </c>
      <c r="C2278" s="2" t="s">
        <v>36</v>
      </c>
      <c r="D2278" s="2" t="s">
        <v>11</v>
      </c>
      <c r="E2278" s="2" t="s">
        <v>37</v>
      </c>
      <c r="F2278" s="2" t="s">
        <v>26</v>
      </c>
      <c r="G2278" s="2" t="s">
        <v>14</v>
      </c>
      <c r="H2278" s="4">
        <v>27686</v>
      </c>
      <c r="I2278" s="4">
        <v>27400</v>
      </c>
    </row>
    <row r="2279" spans="1:9" x14ac:dyDescent="0.3">
      <c r="A2279" s="2" t="s">
        <v>2311</v>
      </c>
      <c r="B2279" s="3">
        <v>45987</v>
      </c>
      <c r="C2279" s="2" t="s">
        <v>21</v>
      </c>
      <c r="D2279" s="2" t="s">
        <v>11</v>
      </c>
      <c r="E2279" s="2" t="s">
        <v>22</v>
      </c>
      <c r="F2279" s="2" t="s">
        <v>56</v>
      </c>
      <c r="G2279" s="2" t="s">
        <v>19</v>
      </c>
      <c r="H2279" s="4">
        <v>95299</v>
      </c>
      <c r="I2279" s="4">
        <v>92900</v>
      </c>
    </row>
    <row r="2280" spans="1:9" x14ac:dyDescent="0.3">
      <c r="A2280" s="2" t="s">
        <v>2312</v>
      </c>
      <c r="B2280" s="3">
        <v>45987</v>
      </c>
      <c r="C2280" s="2" t="s">
        <v>21</v>
      </c>
      <c r="D2280" s="2" t="s">
        <v>11</v>
      </c>
      <c r="E2280" s="2" t="s">
        <v>22</v>
      </c>
      <c r="F2280" s="2" t="s">
        <v>33</v>
      </c>
      <c r="G2280" s="2" t="s">
        <v>19</v>
      </c>
      <c r="H2280" s="4">
        <v>115674</v>
      </c>
      <c r="I2280" s="4">
        <v>106700</v>
      </c>
    </row>
    <row r="2281" spans="1:9" x14ac:dyDescent="0.3">
      <c r="A2281" s="2" t="s">
        <v>2313</v>
      </c>
      <c r="B2281" s="3">
        <v>45987</v>
      </c>
      <c r="C2281" s="2" t="s">
        <v>21</v>
      </c>
      <c r="D2281" s="2" t="s">
        <v>11</v>
      </c>
      <c r="E2281" s="2" t="s">
        <v>22</v>
      </c>
      <c r="F2281" s="2" t="s">
        <v>12</v>
      </c>
      <c r="G2281" s="2" t="s">
        <v>14</v>
      </c>
      <c r="H2281" s="4">
        <v>243664</v>
      </c>
      <c r="I2281" s="4">
        <v>270700</v>
      </c>
    </row>
    <row r="2282" spans="1:9" x14ac:dyDescent="0.3">
      <c r="A2282" s="2" t="s">
        <v>2314</v>
      </c>
      <c r="B2282" s="3">
        <v>45987</v>
      </c>
      <c r="C2282" s="2" t="s">
        <v>55</v>
      </c>
      <c r="D2282" s="2" t="s">
        <v>11</v>
      </c>
      <c r="E2282" s="2" t="s">
        <v>37</v>
      </c>
      <c r="F2282" s="2" t="s">
        <v>23</v>
      </c>
      <c r="G2282" s="2" t="s">
        <v>14</v>
      </c>
      <c r="H2282" s="4">
        <v>225841</v>
      </c>
      <c r="I2282" s="4">
        <v>253000</v>
      </c>
    </row>
    <row r="2283" spans="1:9" x14ac:dyDescent="0.3">
      <c r="A2283" s="2" t="s">
        <v>2315</v>
      </c>
      <c r="B2283" s="3">
        <v>45988</v>
      </c>
      <c r="C2283" s="2" t="s">
        <v>25</v>
      </c>
      <c r="D2283" s="2" t="s">
        <v>11</v>
      </c>
      <c r="E2283" s="2" t="s">
        <v>22</v>
      </c>
      <c r="F2283" s="2" t="s">
        <v>56</v>
      </c>
      <c r="G2283" s="2" t="s">
        <v>19</v>
      </c>
      <c r="H2283" s="4">
        <v>64778</v>
      </c>
      <c r="I2283" s="4">
        <v>67100</v>
      </c>
    </row>
    <row r="2284" spans="1:9" x14ac:dyDescent="0.3">
      <c r="A2284" s="2" t="s">
        <v>2316</v>
      </c>
      <c r="B2284" s="3">
        <v>45988</v>
      </c>
      <c r="C2284" s="2" t="s">
        <v>25</v>
      </c>
      <c r="D2284" s="2" t="s">
        <v>11</v>
      </c>
      <c r="E2284" s="2" t="s">
        <v>22</v>
      </c>
      <c r="F2284" s="2" t="s">
        <v>59</v>
      </c>
      <c r="G2284" s="2" t="s">
        <v>14</v>
      </c>
      <c r="H2284" s="4">
        <v>156304</v>
      </c>
      <c r="I2284" s="4">
        <v>184200</v>
      </c>
    </row>
    <row r="2285" spans="1:9" x14ac:dyDescent="0.3">
      <c r="A2285" s="2" t="s">
        <v>2317</v>
      </c>
      <c r="B2285" s="3">
        <v>45988</v>
      </c>
      <c r="C2285" s="2" t="s">
        <v>31</v>
      </c>
      <c r="D2285" s="2" t="s">
        <v>11</v>
      </c>
      <c r="E2285" s="2" t="s">
        <v>17</v>
      </c>
      <c r="F2285" s="2" t="s">
        <v>37</v>
      </c>
      <c r="G2285" s="2" t="s">
        <v>14</v>
      </c>
      <c r="H2285" s="4">
        <v>220097</v>
      </c>
      <c r="I2285" s="4">
        <v>242000</v>
      </c>
    </row>
    <row r="2286" spans="1:9" x14ac:dyDescent="0.3">
      <c r="A2286" s="2" t="s">
        <v>2318</v>
      </c>
      <c r="B2286" s="3">
        <v>45989</v>
      </c>
      <c r="C2286" s="2" t="s">
        <v>62</v>
      </c>
      <c r="D2286" s="2" t="s">
        <v>11</v>
      </c>
      <c r="E2286" s="2" t="s">
        <v>22</v>
      </c>
      <c r="F2286" s="2" t="s">
        <v>13</v>
      </c>
      <c r="G2286" s="2" t="s">
        <v>14</v>
      </c>
      <c r="H2286" s="4">
        <v>97786</v>
      </c>
      <c r="I2286" s="4">
        <v>112200</v>
      </c>
    </row>
    <row r="2287" spans="1:9" x14ac:dyDescent="0.3">
      <c r="A2287" s="2" t="s">
        <v>2319</v>
      </c>
      <c r="B2287" s="3">
        <v>45989</v>
      </c>
      <c r="C2287" s="2" t="s">
        <v>16</v>
      </c>
      <c r="D2287" s="2" t="s">
        <v>11</v>
      </c>
      <c r="E2287" s="2" t="s">
        <v>17</v>
      </c>
      <c r="F2287" s="2" t="s">
        <v>18</v>
      </c>
      <c r="G2287" s="2" t="s">
        <v>19</v>
      </c>
      <c r="H2287" s="4">
        <v>69349</v>
      </c>
      <c r="I2287" s="4">
        <v>66500</v>
      </c>
    </row>
    <row r="2288" spans="1:9" x14ac:dyDescent="0.3">
      <c r="A2288" s="2" t="s">
        <v>2320</v>
      </c>
      <c r="B2288" s="3">
        <v>45989</v>
      </c>
      <c r="C2288" s="2" t="s">
        <v>36</v>
      </c>
      <c r="D2288" s="2" t="s">
        <v>11</v>
      </c>
      <c r="E2288" s="2" t="s">
        <v>37</v>
      </c>
      <c r="F2288" s="2" t="s">
        <v>13</v>
      </c>
      <c r="G2288" s="2" t="s">
        <v>14</v>
      </c>
      <c r="H2288" s="4">
        <v>189480</v>
      </c>
      <c r="I2288" s="4">
        <v>191100</v>
      </c>
    </row>
    <row r="2289" spans="1:9" x14ac:dyDescent="0.3">
      <c r="A2289" s="2" t="s">
        <v>2321</v>
      </c>
      <c r="B2289" s="3">
        <v>45989</v>
      </c>
      <c r="C2289" s="2" t="s">
        <v>21</v>
      </c>
      <c r="D2289" s="2" t="s">
        <v>11</v>
      </c>
      <c r="E2289" s="2" t="s">
        <v>22</v>
      </c>
      <c r="F2289" s="2" t="s">
        <v>26</v>
      </c>
      <c r="G2289" s="2" t="s">
        <v>14</v>
      </c>
      <c r="H2289" s="4">
        <v>87690</v>
      </c>
      <c r="I2289" s="4">
        <v>65000</v>
      </c>
    </row>
    <row r="2290" spans="1:9" x14ac:dyDescent="0.3">
      <c r="A2290" s="2" t="s">
        <v>2322</v>
      </c>
      <c r="B2290" s="3">
        <v>45989</v>
      </c>
      <c r="C2290" s="2" t="s">
        <v>25</v>
      </c>
      <c r="D2290" s="2" t="s">
        <v>11</v>
      </c>
      <c r="E2290" s="2" t="s">
        <v>22</v>
      </c>
      <c r="F2290" s="2" t="s">
        <v>12</v>
      </c>
      <c r="G2290" s="2" t="s">
        <v>14</v>
      </c>
      <c r="H2290" s="4">
        <v>212718</v>
      </c>
      <c r="I2290" s="4">
        <v>177700</v>
      </c>
    </row>
    <row r="2291" spans="1:9" x14ac:dyDescent="0.3">
      <c r="A2291" s="2" t="s">
        <v>2323</v>
      </c>
      <c r="B2291" s="3">
        <v>45989</v>
      </c>
      <c r="C2291" s="2" t="s">
        <v>31</v>
      </c>
      <c r="D2291" s="2" t="s">
        <v>11</v>
      </c>
      <c r="E2291" s="2" t="s">
        <v>17</v>
      </c>
      <c r="F2291" s="2" t="s">
        <v>46</v>
      </c>
      <c r="G2291" s="2" t="s">
        <v>19</v>
      </c>
      <c r="H2291" s="4">
        <v>60524</v>
      </c>
      <c r="I2291" s="4">
        <v>50500</v>
      </c>
    </row>
    <row r="2292" spans="1:9" x14ac:dyDescent="0.3">
      <c r="A2292" s="2" t="s">
        <v>2324</v>
      </c>
      <c r="B2292" s="3">
        <v>45990</v>
      </c>
      <c r="C2292" s="2" t="s">
        <v>62</v>
      </c>
      <c r="D2292" s="2" t="s">
        <v>11</v>
      </c>
      <c r="E2292" s="2" t="s">
        <v>22</v>
      </c>
      <c r="F2292" s="2" t="s">
        <v>13</v>
      </c>
      <c r="G2292" s="2" t="s">
        <v>14</v>
      </c>
      <c r="H2292" s="4">
        <v>219617</v>
      </c>
      <c r="I2292" s="4">
        <v>223600</v>
      </c>
    </row>
    <row r="2293" spans="1:9" x14ac:dyDescent="0.3">
      <c r="A2293" s="2" t="s">
        <v>2325</v>
      </c>
      <c r="B2293" s="3">
        <v>45990</v>
      </c>
      <c r="C2293" s="2" t="s">
        <v>10</v>
      </c>
      <c r="D2293" s="2" t="s">
        <v>11</v>
      </c>
      <c r="E2293" s="2" t="s">
        <v>12</v>
      </c>
      <c r="F2293" s="2" t="s">
        <v>23</v>
      </c>
      <c r="G2293" s="2" t="s">
        <v>14</v>
      </c>
      <c r="H2293" s="4">
        <v>71531</v>
      </c>
      <c r="I2293" s="4">
        <v>84000</v>
      </c>
    </row>
    <row r="2294" spans="1:9" x14ac:dyDescent="0.3">
      <c r="A2294" s="2" t="s">
        <v>2326</v>
      </c>
      <c r="B2294" s="3">
        <v>45990</v>
      </c>
      <c r="C2294" s="2" t="s">
        <v>25</v>
      </c>
      <c r="D2294" s="2" t="s">
        <v>11</v>
      </c>
      <c r="E2294" s="2" t="s">
        <v>22</v>
      </c>
      <c r="F2294" s="2" t="s">
        <v>23</v>
      </c>
      <c r="G2294" s="2" t="s">
        <v>14</v>
      </c>
      <c r="H2294" s="4">
        <v>67599</v>
      </c>
      <c r="I2294" s="4">
        <v>66400</v>
      </c>
    </row>
    <row r="2295" spans="1:9" x14ac:dyDescent="0.3">
      <c r="A2295" s="2" t="s">
        <v>2327</v>
      </c>
      <c r="B2295" s="3">
        <v>45990</v>
      </c>
      <c r="C2295" s="2" t="s">
        <v>31</v>
      </c>
      <c r="D2295" s="2" t="s">
        <v>11</v>
      </c>
      <c r="E2295" s="2" t="s">
        <v>17</v>
      </c>
      <c r="F2295" s="2" t="s">
        <v>56</v>
      </c>
      <c r="G2295" s="2" t="s">
        <v>19</v>
      </c>
      <c r="H2295" s="4">
        <v>16870</v>
      </c>
      <c r="I2295" s="4">
        <v>14800</v>
      </c>
    </row>
    <row r="2296" spans="1:9" x14ac:dyDescent="0.3">
      <c r="A2296" s="2" t="s">
        <v>2328</v>
      </c>
      <c r="B2296" s="3">
        <v>45990</v>
      </c>
      <c r="C2296" s="2" t="s">
        <v>55</v>
      </c>
      <c r="D2296" s="2" t="s">
        <v>11</v>
      </c>
      <c r="E2296" s="2" t="s">
        <v>37</v>
      </c>
      <c r="F2296" s="2" t="s">
        <v>59</v>
      </c>
      <c r="G2296" s="2" t="s">
        <v>14</v>
      </c>
      <c r="H2296" s="4">
        <v>88376</v>
      </c>
      <c r="I2296" s="4">
        <v>82400</v>
      </c>
    </row>
    <row r="2297" spans="1:9" x14ac:dyDescent="0.3">
      <c r="A2297" s="2" t="s">
        <v>2329</v>
      </c>
      <c r="B2297" s="3">
        <v>45991</v>
      </c>
      <c r="C2297" s="2" t="s">
        <v>62</v>
      </c>
      <c r="D2297" s="2" t="s">
        <v>11</v>
      </c>
      <c r="E2297" s="2" t="s">
        <v>22</v>
      </c>
      <c r="F2297" s="2" t="s">
        <v>56</v>
      </c>
      <c r="G2297" s="2" t="s">
        <v>19</v>
      </c>
      <c r="H2297" s="4">
        <v>109692</v>
      </c>
      <c r="I2297" s="4">
        <v>104500</v>
      </c>
    </row>
    <row r="2298" spans="1:9" x14ac:dyDescent="0.3">
      <c r="A2298" s="2" t="s">
        <v>2330</v>
      </c>
      <c r="B2298" s="3">
        <v>45991</v>
      </c>
      <c r="C2298" s="2" t="s">
        <v>62</v>
      </c>
      <c r="D2298" s="2" t="s">
        <v>11</v>
      </c>
      <c r="E2298" s="2" t="s">
        <v>22</v>
      </c>
      <c r="F2298" s="2" t="s">
        <v>23</v>
      </c>
      <c r="G2298" s="2" t="s">
        <v>14</v>
      </c>
      <c r="H2298" s="4">
        <v>38171</v>
      </c>
      <c r="I2298" s="4">
        <v>37200</v>
      </c>
    </row>
    <row r="2299" spans="1:9" x14ac:dyDescent="0.3">
      <c r="A2299" s="2" t="s">
        <v>2331</v>
      </c>
      <c r="B2299" s="3">
        <v>45991</v>
      </c>
      <c r="C2299" s="2" t="s">
        <v>62</v>
      </c>
      <c r="D2299" s="2" t="s">
        <v>11</v>
      </c>
      <c r="E2299" s="2" t="s">
        <v>22</v>
      </c>
      <c r="F2299" s="2" t="s">
        <v>13</v>
      </c>
      <c r="G2299" s="2" t="s">
        <v>14</v>
      </c>
      <c r="H2299" s="4">
        <v>110369</v>
      </c>
      <c r="I2299" s="4">
        <v>117500</v>
      </c>
    </row>
    <row r="2300" spans="1:9" x14ac:dyDescent="0.3">
      <c r="A2300" s="2" t="s">
        <v>2332</v>
      </c>
      <c r="B2300" s="3">
        <v>45991</v>
      </c>
      <c r="C2300" s="2" t="s">
        <v>10</v>
      </c>
      <c r="D2300" s="2" t="s">
        <v>11</v>
      </c>
      <c r="E2300" s="2" t="s">
        <v>12</v>
      </c>
      <c r="F2300" s="2" t="s">
        <v>37</v>
      </c>
      <c r="G2300" s="2" t="s">
        <v>14</v>
      </c>
      <c r="H2300" s="4">
        <v>229957</v>
      </c>
      <c r="I2300" s="4">
        <v>192600</v>
      </c>
    </row>
    <row r="2301" spans="1:9" x14ac:dyDescent="0.3">
      <c r="A2301" s="2" t="s">
        <v>2333</v>
      </c>
      <c r="B2301" s="3">
        <v>45991</v>
      </c>
      <c r="C2301" s="2" t="s">
        <v>10</v>
      </c>
      <c r="D2301" s="2" t="s">
        <v>11</v>
      </c>
      <c r="E2301" s="2" t="s">
        <v>12</v>
      </c>
      <c r="F2301" s="2" t="s">
        <v>23</v>
      </c>
      <c r="G2301" s="2" t="s">
        <v>14</v>
      </c>
      <c r="H2301" s="4">
        <v>238456</v>
      </c>
      <c r="I2301" s="4">
        <v>241900</v>
      </c>
    </row>
    <row r="2302" spans="1:9" x14ac:dyDescent="0.3">
      <c r="A2302" s="2" t="s">
        <v>2334</v>
      </c>
      <c r="B2302" s="3">
        <v>45991</v>
      </c>
      <c r="C2302" s="2" t="s">
        <v>16</v>
      </c>
      <c r="D2302" s="2" t="s">
        <v>11</v>
      </c>
      <c r="E2302" s="2" t="s">
        <v>17</v>
      </c>
      <c r="F2302" s="2" t="s">
        <v>26</v>
      </c>
      <c r="G2302" s="2" t="s">
        <v>14</v>
      </c>
      <c r="H2302" s="4">
        <v>33215</v>
      </c>
      <c r="I2302" s="4">
        <v>34500</v>
      </c>
    </row>
    <row r="2303" spans="1:9" x14ac:dyDescent="0.3">
      <c r="A2303" s="2" t="s">
        <v>2335</v>
      </c>
      <c r="B2303" s="3">
        <v>45991</v>
      </c>
      <c r="C2303" s="2" t="s">
        <v>36</v>
      </c>
      <c r="D2303" s="2" t="s">
        <v>11</v>
      </c>
      <c r="E2303" s="2" t="s">
        <v>37</v>
      </c>
      <c r="F2303" s="2" t="s">
        <v>37</v>
      </c>
      <c r="G2303" s="2" t="s">
        <v>14</v>
      </c>
      <c r="H2303" s="4">
        <v>34787</v>
      </c>
      <c r="I2303" s="4">
        <v>32200</v>
      </c>
    </row>
    <row r="2304" spans="1:9" x14ac:dyDescent="0.3">
      <c r="A2304" s="2" t="s">
        <v>2336</v>
      </c>
      <c r="B2304" s="3">
        <v>45991</v>
      </c>
      <c r="C2304" s="2" t="s">
        <v>21</v>
      </c>
      <c r="D2304" s="2" t="s">
        <v>11</v>
      </c>
      <c r="E2304" s="2" t="s">
        <v>22</v>
      </c>
      <c r="F2304" s="2" t="s">
        <v>46</v>
      </c>
      <c r="G2304" s="2" t="s">
        <v>19</v>
      </c>
      <c r="H2304" s="4">
        <v>96296</v>
      </c>
      <c r="I2304" s="4">
        <v>101000</v>
      </c>
    </row>
    <row r="2305" spans="1:9" x14ac:dyDescent="0.3">
      <c r="A2305" s="2" t="s">
        <v>2337</v>
      </c>
      <c r="B2305" s="3">
        <v>45991</v>
      </c>
      <c r="C2305" s="2" t="s">
        <v>21</v>
      </c>
      <c r="D2305" s="2" t="s">
        <v>11</v>
      </c>
      <c r="E2305" s="2" t="s">
        <v>22</v>
      </c>
      <c r="F2305" s="2" t="s">
        <v>12</v>
      </c>
      <c r="G2305" s="2" t="s">
        <v>14</v>
      </c>
      <c r="H2305" s="4">
        <v>224791</v>
      </c>
      <c r="I2305" s="4">
        <v>207200</v>
      </c>
    </row>
    <row r="2306" spans="1:9" x14ac:dyDescent="0.3">
      <c r="A2306" s="2" t="s">
        <v>2338</v>
      </c>
      <c r="B2306" s="3">
        <v>45991</v>
      </c>
      <c r="C2306" s="2" t="s">
        <v>25</v>
      </c>
      <c r="D2306" s="2" t="s">
        <v>11</v>
      </c>
      <c r="E2306" s="2" t="s">
        <v>22</v>
      </c>
      <c r="F2306" s="2" t="s">
        <v>39</v>
      </c>
      <c r="G2306" s="2" t="s">
        <v>19</v>
      </c>
      <c r="H2306" s="4">
        <v>113636</v>
      </c>
      <c r="I2306" s="4">
        <v>131400</v>
      </c>
    </row>
    <row r="2307" spans="1:9" x14ac:dyDescent="0.3">
      <c r="A2307" s="2" t="s">
        <v>2339</v>
      </c>
      <c r="B2307" s="3">
        <v>45991</v>
      </c>
      <c r="C2307" s="2" t="s">
        <v>25</v>
      </c>
      <c r="D2307" s="2" t="s">
        <v>11</v>
      </c>
      <c r="E2307" s="2" t="s">
        <v>22</v>
      </c>
      <c r="F2307" s="2" t="s">
        <v>37</v>
      </c>
      <c r="G2307" s="2" t="s">
        <v>14</v>
      </c>
      <c r="H2307" s="4">
        <v>201152</v>
      </c>
      <c r="I2307" s="4">
        <v>228600</v>
      </c>
    </row>
    <row r="2308" spans="1:9" x14ac:dyDescent="0.3">
      <c r="A2308" s="2" t="s">
        <v>2340</v>
      </c>
      <c r="B2308" s="3">
        <v>45991</v>
      </c>
      <c r="C2308" s="2" t="s">
        <v>55</v>
      </c>
      <c r="D2308" s="2" t="s">
        <v>11</v>
      </c>
      <c r="E2308" s="2" t="s">
        <v>37</v>
      </c>
      <c r="F2308" s="2" t="s">
        <v>33</v>
      </c>
      <c r="G2308" s="2" t="s">
        <v>19</v>
      </c>
      <c r="H2308" s="4">
        <v>39592</v>
      </c>
      <c r="I2308" s="4">
        <v>39700</v>
      </c>
    </row>
    <row r="2309" spans="1:9" x14ac:dyDescent="0.3">
      <c r="A2309" s="2" t="s">
        <v>2341</v>
      </c>
      <c r="B2309" s="3">
        <v>45991</v>
      </c>
      <c r="C2309" s="2" t="s">
        <v>55</v>
      </c>
      <c r="D2309" s="2" t="s">
        <v>11</v>
      </c>
      <c r="E2309" s="2" t="s">
        <v>37</v>
      </c>
      <c r="F2309" s="2" t="s">
        <v>26</v>
      </c>
      <c r="G2309" s="2" t="s">
        <v>14</v>
      </c>
      <c r="H2309" s="4">
        <v>100006</v>
      </c>
      <c r="I2309" s="4">
        <v>102100</v>
      </c>
    </row>
    <row r="2310" spans="1:9" x14ac:dyDescent="0.3">
      <c r="A2310" s="2" t="s">
        <v>2342</v>
      </c>
      <c r="B2310" s="3">
        <v>45992</v>
      </c>
      <c r="C2310" s="2" t="s">
        <v>62</v>
      </c>
      <c r="D2310" s="2" t="s">
        <v>11</v>
      </c>
      <c r="E2310" s="2" t="s">
        <v>22</v>
      </c>
      <c r="F2310" s="2" t="s">
        <v>23</v>
      </c>
      <c r="G2310" s="2" t="s">
        <v>14</v>
      </c>
      <c r="H2310" s="4">
        <v>83308</v>
      </c>
      <c r="I2310" s="4">
        <v>79900</v>
      </c>
    </row>
    <row r="2311" spans="1:9" x14ac:dyDescent="0.3">
      <c r="A2311" s="2" t="s">
        <v>2343</v>
      </c>
      <c r="B2311" s="3">
        <v>45992</v>
      </c>
      <c r="C2311" s="2" t="s">
        <v>21</v>
      </c>
      <c r="D2311" s="2" t="s">
        <v>11</v>
      </c>
      <c r="E2311" s="2" t="s">
        <v>22</v>
      </c>
      <c r="F2311" s="2" t="s">
        <v>37</v>
      </c>
      <c r="G2311" s="2" t="s">
        <v>14</v>
      </c>
      <c r="H2311" s="4">
        <v>164596</v>
      </c>
      <c r="I2311" s="4">
        <v>186700</v>
      </c>
    </row>
    <row r="2312" spans="1:9" x14ac:dyDescent="0.3">
      <c r="A2312" s="2" t="s">
        <v>2344</v>
      </c>
      <c r="B2312" s="3">
        <v>45992</v>
      </c>
      <c r="C2312" s="2" t="s">
        <v>25</v>
      </c>
      <c r="D2312" s="2" t="s">
        <v>11</v>
      </c>
      <c r="E2312" s="2" t="s">
        <v>22</v>
      </c>
      <c r="F2312" s="2" t="s">
        <v>33</v>
      </c>
      <c r="G2312" s="2" t="s">
        <v>19</v>
      </c>
      <c r="H2312" s="4">
        <v>102332</v>
      </c>
      <c r="I2312" s="4">
        <v>100100</v>
      </c>
    </row>
    <row r="2313" spans="1:9" x14ac:dyDescent="0.3">
      <c r="A2313" s="2" t="s">
        <v>2345</v>
      </c>
      <c r="B2313" s="3">
        <v>45992</v>
      </c>
      <c r="C2313" s="2" t="s">
        <v>25</v>
      </c>
      <c r="D2313" s="2" t="s">
        <v>11</v>
      </c>
      <c r="E2313" s="2" t="s">
        <v>22</v>
      </c>
      <c r="F2313" s="2" t="s">
        <v>33</v>
      </c>
      <c r="G2313" s="2" t="s">
        <v>19</v>
      </c>
      <c r="H2313" s="4">
        <v>103630</v>
      </c>
      <c r="I2313" s="4">
        <v>106800</v>
      </c>
    </row>
    <row r="2314" spans="1:9" x14ac:dyDescent="0.3">
      <c r="A2314" s="2" t="s">
        <v>2346</v>
      </c>
      <c r="B2314" s="3">
        <v>45992</v>
      </c>
      <c r="C2314" s="2" t="s">
        <v>25</v>
      </c>
      <c r="D2314" s="2" t="s">
        <v>11</v>
      </c>
      <c r="E2314" s="2" t="s">
        <v>22</v>
      </c>
      <c r="F2314" s="2" t="s">
        <v>59</v>
      </c>
      <c r="G2314" s="2" t="s">
        <v>14</v>
      </c>
      <c r="H2314" s="4">
        <v>39647</v>
      </c>
      <c r="I2314" s="4">
        <v>44000</v>
      </c>
    </row>
    <row r="2315" spans="1:9" x14ac:dyDescent="0.3">
      <c r="A2315" s="2" t="s">
        <v>2347</v>
      </c>
      <c r="B2315" s="3">
        <v>45992</v>
      </c>
      <c r="C2315" s="2" t="s">
        <v>25</v>
      </c>
      <c r="D2315" s="2" t="s">
        <v>11</v>
      </c>
      <c r="E2315" s="2" t="s">
        <v>22</v>
      </c>
      <c r="F2315" s="2" t="s">
        <v>59</v>
      </c>
      <c r="G2315" s="2" t="s">
        <v>14</v>
      </c>
      <c r="H2315" s="4">
        <v>79266</v>
      </c>
      <c r="I2315" s="4">
        <v>65800</v>
      </c>
    </row>
    <row r="2316" spans="1:9" x14ac:dyDescent="0.3">
      <c r="A2316" s="2" t="s">
        <v>2348</v>
      </c>
      <c r="B2316" s="3">
        <v>45992</v>
      </c>
      <c r="C2316" s="2" t="s">
        <v>31</v>
      </c>
      <c r="D2316" s="2" t="s">
        <v>11</v>
      </c>
      <c r="E2316" s="2" t="s">
        <v>17</v>
      </c>
      <c r="F2316" s="2" t="s">
        <v>59</v>
      </c>
      <c r="G2316" s="2" t="s">
        <v>14</v>
      </c>
      <c r="H2316" s="4">
        <v>164739</v>
      </c>
      <c r="I2316" s="4">
        <v>183700</v>
      </c>
    </row>
    <row r="2317" spans="1:9" x14ac:dyDescent="0.3">
      <c r="A2317" s="2" t="s">
        <v>2349</v>
      </c>
      <c r="B2317" s="3">
        <v>45993</v>
      </c>
      <c r="C2317" s="2" t="s">
        <v>62</v>
      </c>
      <c r="D2317" s="2" t="s">
        <v>11</v>
      </c>
      <c r="E2317" s="2" t="s">
        <v>22</v>
      </c>
      <c r="F2317" s="2" t="s">
        <v>56</v>
      </c>
      <c r="G2317" s="2" t="s">
        <v>19</v>
      </c>
      <c r="H2317" s="4">
        <v>54555</v>
      </c>
      <c r="I2317" s="4">
        <v>55300</v>
      </c>
    </row>
    <row r="2318" spans="1:9" x14ac:dyDescent="0.3">
      <c r="A2318" s="2" t="s">
        <v>2350</v>
      </c>
      <c r="B2318" s="3">
        <v>45993</v>
      </c>
      <c r="C2318" s="2" t="s">
        <v>16</v>
      </c>
      <c r="D2318" s="2" t="s">
        <v>11</v>
      </c>
      <c r="E2318" s="2" t="s">
        <v>17</v>
      </c>
      <c r="F2318" s="2" t="s">
        <v>59</v>
      </c>
      <c r="G2318" s="2" t="s">
        <v>14</v>
      </c>
      <c r="H2318" s="4">
        <v>248785</v>
      </c>
      <c r="I2318" s="4">
        <v>260300</v>
      </c>
    </row>
    <row r="2319" spans="1:9" x14ac:dyDescent="0.3">
      <c r="A2319" s="2" t="s">
        <v>2351</v>
      </c>
      <c r="B2319" s="3">
        <v>45993</v>
      </c>
      <c r="C2319" s="2" t="s">
        <v>36</v>
      </c>
      <c r="D2319" s="2" t="s">
        <v>11</v>
      </c>
      <c r="E2319" s="2" t="s">
        <v>37</v>
      </c>
      <c r="F2319" s="2" t="s">
        <v>39</v>
      </c>
      <c r="G2319" s="2" t="s">
        <v>19</v>
      </c>
      <c r="H2319" s="4">
        <v>113744</v>
      </c>
      <c r="I2319" s="4">
        <v>129200</v>
      </c>
    </row>
    <row r="2320" spans="1:9" x14ac:dyDescent="0.3">
      <c r="A2320" s="2" t="s">
        <v>2352</v>
      </c>
      <c r="B2320" s="3">
        <v>45993</v>
      </c>
      <c r="C2320" s="2" t="s">
        <v>25</v>
      </c>
      <c r="D2320" s="2" t="s">
        <v>11</v>
      </c>
      <c r="E2320" s="2" t="s">
        <v>22</v>
      </c>
      <c r="F2320" s="2" t="s">
        <v>59</v>
      </c>
      <c r="G2320" s="2" t="s">
        <v>14</v>
      </c>
      <c r="H2320" s="4">
        <v>47959</v>
      </c>
      <c r="I2320" s="4">
        <v>51500</v>
      </c>
    </row>
    <row r="2321" spans="1:9" x14ac:dyDescent="0.3">
      <c r="A2321" s="2" t="s">
        <v>2353</v>
      </c>
      <c r="B2321" s="3">
        <v>45993</v>
      </c>
      <c r="C2321" s="2" t="s">
        <v>55</v>
      </c>
      <c r="D2321" s="2" t="s">
        <v>11</v>
      </c>
      <c r="E2321" s="2" t="s">
        <v>37</v>
      </c>
      <c r="F2321" s="2" t="s">
        <v>56</v>
      </c>
      <c r="G2321" s="2" t="s">
        <v>19</v>
      </c>
      <c r="H2321" s="4">
        <v>71358</v>
      </c>
      <c r="I2321" s="4">
        <v>69000</v>
      </c>
    </row>
    <row r="2322" spans="1:9" x14ac:dyDescent="0.3">
      <c r="A2322" s="2" t="s">
        <v>2354</v>
      </c>
      <c r="B2322" s="3">
        <v>45993</v>
      </c>
      <c r="C2322" s="2" t="s">
        <v>55</v>
      </c>
      <c r="D2322" s="2" t="s">
        <v>11</v>
      </c>
      <c r="E2322" s="2" t="s">
        <v>37</v>
      </c>
      <c r="F2322" s="2" t="s">
        <v>37</v>
      </c>
      <c r="G2322" s="2" t="s">
        <v>14</v>
      </c>
      <c r="H2322" s="4">
        <v>237514</v>
      </c>
      <c r="I2322" s="4">
        <v>242500</v>
      </c>
    </row>
    <row r="2323" spans="1:9" x14ac:dyDescent="0.3">
      <c r="A2323" s="2" t="s">
        <v>2355</v>
      </c>
      <c r="B2323" s="3">
        <v>45994</v>
      </c>
      <c r="C2323" s="2" t="s">
        <v>62</v>
      </c>
      <c r="D2323" s="2" t="s">
        <v>11</v>
      </c>
      <c r="E2323" s="2" t="s">
        <v>22</v>
      </c>
      <c r="F2323" s="2" t="s">
        <v>42</v>
      </c>
      <c r="G2323" s="2" t="s">
        <v>19</v>
      </c>
      <c r="H2323" s="4">
        <v>66975</v>
      </c>
      <c r="I2323" s="4">
        <v>63500</v>
      </c>
    </row>
    <row r="2324" spans="1:9" x14ac:dyDescent="0.3">
      <c r="A2324" s="2" t="s">
        <v>2356</v>
      </c>
      <c r="B2324" s="3">
        <v>45994</v>
      </c>
      <c r="C2324" s="2" t="s">
        <v>10</v>
      </c>
      <c r="D2324" s="2" t="s">
        <v>11</v>
      </c>
      <c r="E2324" s="2" t="s">
        <v>12</v>
      </c>
      <c r="F2324" s="2" t="s">
        <v>23</v>
      </c>
      <c r="G2324" s="2" t="s">
        <v>14</v>
      </c>
      <c r="H2324" s="4">
        <v>49372</v>
      </c>
      <c r="I2324" s="4">
        <v>51500</v>
      </c>
    </row>
    <row r="2325" spans="1:9" x14ac:dyDescent="0.3">
      <c r="A2325" s="2" t="s">
        <v>2357</v>
      </c>
      <c r="B2325" s="3">
        <v>45994</v>
      </c>
      <c r="C2325" s="2" t="s">
        <v>16</v>
      </c>
      <c r="D2325" s="2" t="s">
        <v>11</v>
      </c>
      <c r="E2325" s="2" t="s">
        <v>17</v>
      </c>
      <c r="F2325" s="2" t="s">
        <v>39</v>
      </c>
      <c r="G2325" s="2" t="s">
        <v>19</v>
      </c>
      <c r="H2325" s="4">
        <v>18432</v>
      </c>
      <c r="I2325" s="4">
        <v>19200</v>
      </c>
    </row>
    <row r="2326" spans="1:9" x14ac:dyDescent="0.3">
      <c r="A2326" s="2" t="s">
        <v>2358</v>
      </c>
      <c r="B2326" s="3">
        <v>45994</v>
      </c>
      <c r="C2326" s="2" t="s">
        <v>16</v>
      </c>
      <c r="D2326" s="2" t="s">
        <v>11</v>
      </c>
      <c r="E2326" s="2" t="s">
        <v>17</v>
      </c>
      <c r="F2326" s="2" t="s">
        <v>39</v>
      </c>
      <c r="G2326" s="2" t="s">
        <v>19</v>
      </c>
      <c r="H2326" s="4">
        <v>73271</v>
      </c>
      <c r="I2326" s="4">
        <v>69000</v>
      </c>
    </row>
    <row r="2327" spans="1:9" x14ac:dyDescent="0.3">
      <c r="A2327" s="2" t="s">
        <v>2359</v>
      </c>
      <c r="B2327" s="3">
        <v>45994</v>
      </c>
      <c r="C2327" s="2" t="s">
        <v>36</v>
      </c>
      <c r="D2327" s="2" t="s">
        <v>11</v>
      </c>
      <c r="E2327" s="2" t="s">
        <v>37</v>
      </c>
      <c r="F2327" s="2" t="s">
        <v>56</v>
      </c>
      <c r="G2327" s="2" t="s">
        <v>19</v>
      </c>
      <c r="H2327" s="4">
        <v>61780</v>
      </c>
      <c r="I2327" s="4">
        <v>52400</v>
      </c>
    </row>
    <row r="2328" spans="1:9" x14ac:dyDescent="0.3">
      <c r="A2328" s="2" t="s">
        <v>2360</v>
      </c>
      <c r="B2328" s="3">
        <v>45994</v>
      </c>
      <c r="C2328" s="2" t="s">
        <v>21</v>
      </c>
      <c r="D2328" s="2" t="s">
        <v>11</v>
      </c>
      <c r="E2328" s="2" t="s">
        <v>22</v>
      </c>
      <c r="F2328" s="2" t="s">
        <v>46</v>
      </c>
      <c r="G2328" s="2" t="s">
        <v>19</v>
      </c>
      <c r="H2328" s="4">
        <v>61015</v>
      </c>
      <c r="I2328" s="4">
        <v>68000</v>
      </c>
    </row>
    <row r="2329" spans="1:9" x14ac:dyDescent="0.3">
      <c r="A2329" s="2" t="s">
        <v>2361</v>
      </c>
      <c r="B2329" s="3">
        <v>45994</v>
      </c>
      <c r="C2329" s="2" t="s">
        <v>21</v>
      </c>
      <c r="D2329" s="2" t="s">
        <v>11</v>
      </c>
      <c r="E2329" s="2" t="s">
        <v>22</v>
      </c>
      <c r="F2329" s="2" t="s">
        <v>59</v>
      </c>
      <c r="G2329" s="2" t="s">
        <v>14</v>
      </c>
      <c r="H2329" s="4">
        <v>245704</v>
      </c>
      <c r="I2329" s="4">
        <v>237200</v>
      </c>
    </row>
    <row r="2330" spans="1:9" x14ac:dyDescent="0.3">
      <c r="A2330" s="2" t="s">
        <v>2362</v>
      </c>
      <c r="B2330" s="3">
        <v>45994</v>
      </c>
      <c r="C2330" s="2" t="s">
        <v>31</v>
      </c>
      <c r="D2330" s="2" t="s">
        <v>11</v>
      </c>
      <c r="E2330" s="2" t="s">
        <v>17</v>
      </c>
      <c r="F2330" s="2" t="s">
        <v>33</v>
      </c>
      <c r="G2330" s="2" t="s">
        <v>19</v>
      </c>
      <c r="H2330" s="4">
        <v>49064</v>
      </c>
      <c r="I2330" s="4">
        <v>42400</v>
      </c>
    </row>
    <row r="2331" spans="1:9" x14ac:dyDescent="0.3">
      <c r="A2331" s="2" t="s">
        <v>2363</v>
      </c>
      <c r="B2331" s="3">
        <v>45995</v>
      </c>
      <c r="C2331" s="2" t="s">
        <v>16</v>
      </c>
      <c r="D2331" s="2" t="s">
        <v>11</v>
      </c>
      <c r="E2331" s="2" t="s">
        <v>17</v>
      </c>
      <c r="F2331" s="2" t="s">
        <v>18</v>
      </c>
      <c r="G2331" s="2" t="s">
        <v>19</v>
      </c>
      <c r="H2331" s="4">
        <v>61215</v>
      </c>
      <c r="I2331" s="4">
        <v>69900</v>
      </c>
    </row>
    <row r="2332" spans="1:9" x14ac:dyDescent="0.3">
      <c r="A2332" s="2" t="s">
        <v>2364</v>
      </c>
      <c r="B2332" s="3">
        <v>45995</v>
      </c>
      <c r="C2332" s="2" t="s">
        <v>16</v>
      </c>
      <c r="D2332" s="2" t="s">
        <v>11</v>
      </c>
      <c r="E2332" s="2" t="s">
        <v>17</v>
      </c>
      <c r="F2332" s="2" t="s">
        <v>59</v>
      </c>
      <c r="G2332" s="2" t="s">
        <v>14</v>
      </c>
      <c r="H2332" s="4">
        <v>241921</v>
      </c>
      <c r="I2332" s="4">
        <v>218700</v>
      </c>
    </row>
    <row r="2333" spans="1:9" x14ac:dyDescent="0.3">
      <c r="A2333" s="2" t="s">
        <v>2365</v>
      </c>
      <c r="B2333" s="3">
        <v>45995</v>
      </c>
      <c r="C2333" s="2" t="s">
        <v>16</v>
      </c>
      <c r="D2333" s="2" t="s">
        <v>11</v>
      </c>
      <c r="E2333" s="2" t="s">
        <v>17</v>
      </c>
      <c r="F2333" s="2" t="s">
        <v>23</v>
      </c>
      <c r="G2333" s="2" t="s">
        <v>14</v>
      </c>
      <c r="H2333" s="4">
        <v>107855</v>
      </c>
      <c r="I2333" s="4">
        <v>109200</v>
      </c>
    </row>
    <row r="2334" spans="1:9" x14ac:dyDescent="0.3">
      <c r="A2334" s="2" t="s">
        <v>2366</v>
      </c>
      <c r="B2334" s="3">
        <v>45995</v>
      </c>
      <c r="C2334" s="2" t="s">
        <v>25</v>
      </c>
      <c r="D2334" s="2" t="s">
        <v>11</v>
      </c>
      <c r="E2334" s="2" t="s">
        <v>22</v>
      </c>
      <c r="F2334" s="2" t="s">
        <v>42</v>
      </c>
      <c r="G2334" s="2" t="s">
        <v>19</v>
      </c>
      <c r="H2334" s="4">
        <v>91599</v>
      </c>
      <c r="I2334" s="4">
        <v>94100</v>
      </c>
    </row>
    <row r="2335" spans="1:9" x14ac:dyDescent="0.3">
      <c r="A2335" s="2" t="s">
        <v>2367</v>
      </c>
      <c r="B2335" s="3">
        <v>45995</v>
      </c>
      <c r="C2335" s="2" t="s">
        <v>31</v>
      </c>
      <c r="D2335" s="2" t="s">
        <v>11</v>
      </c>
      <c r="E2335" s="2" t="s">
        <v>17</v>
      </c>
      <c r="F2335" s="2" t="s">
        <v>12</v>
      </c>
      <c r="G2335" s="2" t="s">
        <v>14</v>
      </c>
      <c r="H2335" s="4">
        <v>83028</v>
      </c>
      <c r="I2335" s="4">
        <v>78600</v>
      </c>
    </row>
    <row r="2336" spans="1:9" x14ac:dyDescent="0.3">
      <c r="A2336" s="2" t="s">
        <v>2368</v>
      </c>
      <c r="B2336" s="3">
        <v>45995</v>
      </c>
      <c r="C2336" s="2" t="s">
        <v>31</v>
      </c>
      <c r="D2336" s="2" t="s">
        <v>11</v>
      </c>
      <c r="E2336" s="2" t="s">
        <v>17</v>
      </c>
      <c r="F2336" s="2" t="s">
        <v>12</v>
      </c>
      <c r="G2336" s="2" t="s">
        <v>14</v>
      </c>
      <c r="H2336" s="4">
        <v>76426</v>
      </c>
      <c r="I2336" s="4">
        <v>76500</v>
      </c>
    </row>
    <row r="2337" spans="1:9" x14ac:dyDescent="0.3">
      <c r="A2337" s="2" t="s">
        <v>2369</v>
      </c>
      <c r="B2337" s="3">
        <v>45995</v>
      </c>
      <c r="C2337" s="2" t="s">
        <v>55</v>
      </c>
      <c r="D2337" s="2" t="s">
        <v>11</v>
      </c>
      <c r="E2337" s="2" t="s">
        <v>37</v>
      </c>
      <c r="F2337" s="2" t="s">
        <v>46</v>
      </c>
      <c r="G2337" s="2" t="s">
        <v>19</v>
      </c>
      <c r="H2337" s="4">
        <v>56347</v>
      </c>
      <c r="I2337" s="4">
        <v>57300</v>
      </c>
    </row>
    <row r="2338" spans="1:9" x14ac:dyDescent="0.3">
      <c r="A2338" s="2" t="s">
        <v>2370</v>
      </c>
      <c r="B2338" s="3">
        <v>45996</v>
      </c>
      <c r="C2338" s="2" t="s">
        <v>10</v>
      </c>
      <c r="D2338" s="2" t="s">
        <v>11</v>
      </c>
      <c r="E2338" s="2" t="s">
        <v>12</v>
      </c>
      <c r="F2338" s="2" t="s">
        <v>37</v>
      </c>
      <c r="G2338" s="2" t="s">
        <v>14</v>
      </c>
      <c r="H2338" s="4">
        <v>57150</v>
      </c>
      <c r="I2338" s="4">
        <v>53700</v>
      </c>
    </row>
    <row r="2339" spans="1:9" x14ac:dyDescent="0.3">
      <c r="A2339" s="2" t="s">
        <v>2371</v>
      </c>
      <c r="B2339" s="3">
        <v>45996</v>
      </c>
      <c r="C2339" s="2" t="s">
        <v>16</v>
      </c>
      <c r="D2339" s="2" t="s">
        <v>11</v>
      </c>
      <c r="E2339" s="2" t="s">
        <v>17</v>
      </c>
      <c r="F2339" s="2" t="s">
        <v>26</v>
      </c>
      <c r="G2339" s="2" t="s">
        <v>14</v>
      </c>
      <c r="H2339" s="4">
        <v>146518</v>
      </c>
      <c r="I2339" s="4">
        <v>139000</v>
      </c>
    </row>
    <row r="2340" spans="1:9" x14ac:dyDescent="0.3">
      <c r="A2340" s="2" t="s">
        <v>2372</v>
      </c>
      <c r="B2340" s="3">
        <v>45996</v>
      </c>
      <c r="C2340" s="2" t="s">
        <v>36</v>
      </c>
      <c r="D2340" s="2" t="s">
        <v>11</v>
      </c>
      <c r="E2340" s="2" t="s">
        <v>37</v>
      </c>
      <c r="F2340" s="2" t="s">
        <v>46</v>
      </c>
      <c r="G2340" s="2" t="s">
        <v>19</v>
      </c>
      <c r="H2340" s="4">
        <v>51633</v>
      </c>
      <c r="I2340" s="4">
        <v>57200</v>
      </c>
    </row>
    <row r="2341" spans="1:9" x14ac:dyDescent="0.3">
      <c r="A2341" s="2" t="s">
        <v>2373</v>
      </c>
      <c r="B2341" s="3">
        <v>45996</v>
      </c>
      <c r="C2341" s="2" t="s">
        <v>25</v>
      </c>
      <c r="D2341" s="2" t="s">
        <v>11</v>
      </c>
      <c r="E2341" s="2" t="s">
        <v>22</v>
      </c>
      <c r="F2341" s="2" t="s">
        <v>39</v>
      </c>
      <c r="G2341" s="2" t="s">
        <v>19</v>
      </c>
      <c r="H2341" s="4">
        <v>100099</v>
      </c>
      <c r="I2341" s="4">
        <v>99400</v>
      </c>
    </row>
    <row r="2342" spans="1:9" x14ac:dyDescent="0.3">
      <c r="A2342" s="2" t="s">
        <v>2374</v>
      </c>
      <c r="B2342" s="3">
        <v>45996</v>
      </c>
      <c r="C2342" s="2" t="s">
        <v>25</v>
      </c>
      <c r="D2342" s="2" t="s">
        <v>11</v>
      </c>
      <c r="E2342" s="2" t="s">
        <v>22</v>
      </c>
      <c r="F2342" s="2" t="s">
        <v>42</v>
      </c>
      <c r="G2342" s="2" t="s">
        <v>19</v>
      </c>
      <c r="H2342" s="4">
        <v>44427</v>
      </c>
      <c r="I2342" s="4">
        <v>48500</v>
      </c>
    </row>
    <row r="2343" spans="1:9" x14ac:dyDescent="0.3">
      <c r="A2343" s="2" t="s">
        <v>2375</v>
      </c>
      <c r="B2343" s="3">
        <v>45996</v>
      </c>
      <c r="C2343" s="2" t="s">
        <v>55</v>
      </c>
      <c r="D2343" s="2" t="s">
        <v>11</v>
      </c>
      <c r="E2343" s="2" t="s">
        <v>37</v>
      </c>
      <c r="F2343" s="2" t="s">
        <v>26</v>
      </c>
      <c r="G2343" s="2" t="s">
        <v>14</v>
      </c>
      <c r="H2343" s="4">
        <v>196397</v>
      </c>
      <c r="I2343" s="4">
        <v>171400</v>
      </c>
    </row>
    <row r="2344" spans="1:9" x14ac:dyDescent="0.3">
      <c r="A2344" s="2" t="s">
        <v>2376</v>
      </c>
      <c r="B2344" s="3">
        <v>45997</v>
      </c>
      <c r="C2344" s="2" t="s">
        <v>62</v>
      </c>
      <c r="D2344" s="2" t="s">
        <v>11</v>
      </c>
      <c r="E2344" s="2" t="s">
        <v>22</v>
      </c>
      <c r="F2344" s="2" t="s">
        <v>13</v>
      </c>
      <c r="G2344" s="2" t="s">
        <v>14</v>
      </c>
      <c r="H2344" s="4">
        <v>157473</v>
      </c>
      <c r="I2344" s="4">
        <v>138300</v>
      </c>
    </row>
    <row r="2345" spans="1:9" x14ac:dyDescent="0.3">
      <c r="A2345" s="2" t="s">
        <v>2377</v>
      </c>
      <c r="B2345" s="3">
        <v>45997</v>
      </c>
      <c r="C2345" s="2" t="s">
        <v>36</v>
      </c>
      <c r="D2345" s="2" t="s">
        <v>11</v>
      </c>
      <c r="E2345" s="2" t="s">
        <v>37</v>
      </c>
      <c r="F2345" s="2" t="s">
        <v>13</v>
      </c>
      <c r="G2345" s="2" t="s">
        <v>14</v>
      </c>
      <c r="H2345" s="4">
        <v>185761</v>
      </c>
      <c r="I2345" s="4">
        <v>162500</v>
      </c>
    </row>
    <row r="2346" spans="1:9" x14ac:dyDescent="0.3">
      <c r="A2346" s="2" t="s">
        <v>2378</v>
      </c>
      <c r="B2346" s="3">
        <v>45997</v>
      </c>
      <c r="C2346" s="2" t="s">
        <v>36</v>
      </c>
      <c r="D2346" s="2" t="s">
        <v>11</v>
      </c>
      <c r="E2346" s="2" t="s">
        <v>37</v>
      </c>
      <c r="F2346" s="2" t="s">
        <v>13</v>
      </c>
      <c r="G2346" s="2" t="s">
        <v>14</v>
      </c>
      <c r="H2346" s="4">
        <v>161884</v>
      </c>
      <c r="I2346" s="4">
        <v>134700</v>
      </c>
    </row>
    <row r="2347" spans="1:9" x14ac:dyDescent="0.3">
      <c r="A2347" s="2" t="s">
        <v>2379</v>
      </c>
      <c r="B2347" s="3">
        <v>45997</v>
      </c>
      <c r="C2347" s="2" t="s">
        <v>36</v>
      </c>
      <c r="D2347" s="2" t="s">
        <v>11</v>
      </c>
      <c r="E2347" s="2" t="s">
        <v>37</v>
      </c>
      <c r="F2347" s="2" t="s">
        <v>59</v>
      </c>
      <c r="G2347" s="2" t="s">
        <v>14</v>
      </c>
      <c r="H2347" s="4">
        <v>243018</v>
      </c>
      <c r="I2347" s="4">
        <v>271600</v>
      </c>
    </row>
    <row r="2348" spans="1:9" x14ac:dyDescent="0.3">
      <c r="A2348" s="2" t="s">
        <v>2380</v>
      </c>
      <c r="B2348" s="3">
        <v>45997</v>
      </c>
      <c r="C2348" s="2" t="s">
        <v>25</v>
      </c>
      <c r="D2348" s="2" t="s">
        <v>11</v>
      </c>
      <c r="E2348" s="2" t="s">
        <v>22</v>
      </c>
      <c r="F2348" s="2" t="s">
        <v>13</v>
      </c>
      <c r="G2348" s="2" t="s">
        <v>14</v>
      </c>
      <c r="H2348" s="4">
        <v>225531</v>
      </c>
      <c r="I2348" s="4">
        <v>189500</v>
      </c>
    </row>
    <row r="2349" spans="1:9" x14ac:dyDescent="0.3">
      <c r="A2349" s="2" t="s">
        <v>2381</v>
      </c>
      <c r="B2349" s="3">
        <v>45997</v>
      </c>
      <c r="C2349" s="2" t="s">
        <v>31</v>
      </c>
      <c r="D2349" s="2" t="s">
        <v>11</v>
      </c>
      <c r="E2349" s="2" t="s">
        <v>17</v>
      </c>
      <c r="F2349" s="2" t="s">
        <v>39</v>
      </c>
      <c r="G2349" s="2" t="s">
        <v>19</v>
      </c>
      <c r="H2349" s="4">
        <v>13523</v>
      </c>
      <c r="I2349" s="4">
        <v>13500</v>
      </c>
    </row>
    <row r="2350" spans="1:9" x14ac:dyDescent="0.3">
      <c r="A2350" s="2" t="s">
        <v>2382</v>
      </c>
      <c r="B2350" s="3">
        <v>45997</v>
      </c>
      <c r="C2350" s="2" t="s">
        <v>55</v>
      </c>
      <c r="D2350" s="2" t="s">
        <v>11</v>
      </c>
      <c r="E2350" s="2" t="s">
        <v>37</v>
      </c>
      <c r="F2350" s="2" t="s">
        <v>18</v>
      </c>
      <c r="G2350" s="2" t="s">
        <v>19</v>
      </c>
      <c r="H2350" s="4">
        <v>79352</v>
      </c>
      <c r="I2350" s="4">
        <v>79400</v>
      </c>
    </row>
    <row r="2351" spans="1:9" x14ac:dyDescent="0.3">
      <c r="A2351" s="2" t="s">
        <v>2383</v>
      </c>
      <c r="B2351" s="3">
        <v>45998</v>
      </c>
      <c r="C2351" s="2" t="s">
        <v>10</v>
      </c>
      <c r="D2351" s="2" t="s">
        <v>11</v>
      </c>
      <c r="E2351" s="2" t="s">
        <v>12</v>
      </c>
      <c r="F2351" s="2" t="s">
        <v>46</v>
      </c>
      <c r="G2351" s="2" t="s">
        <v>19</v>
      </c>
      <c r="H2351" s="4">
        <v>108629</v>
      </c>
      <c r="I2351" s="4">
        <v>99200</v>
      </c>
    </row>
    <row r="2352" spans="1:9" x14ac:dyDescent="0.3">
      <c r="A2352" s="2" t="s">
        <v>2384</v>
      </c>
      <c r="B2352" s="3">
        <v>45998</v>
      </c>
      <c r="C2352" s="2" t="s">
        <v>16</v>
      </c>
      <c r="D2352" s="2" t="s">
        <v>11</v>
      </c>
      <c r="E2352" s="2" t="s">
        <v>17</v>
      </c>
      <c r="F2352" s="2" t="s">
        <v>37</v>
      </c>
      <c r="G2352" s="2" t="s">
        <v>14</v>
      </c>
      <c r="H2352" s="4">
        <v>80634</v>
      </c>
      <c r="I2352" s="4">
        <v>83800</v>
      </c>
    </row>
    <row r="2353" spans="1:9" x14ac:dyDescent="0.3">
      <c r="A2353" s="2" t="s">
        <v>2385</v>
      </c>
      <c r="B2353" s="3">
        <v>45998</v>
      </c>
      <c r="C2353" s="2" t="s">
        <v>36</v>
      </c>
      <c r="D2353" s="2" t="s">
        <v>11</v>
      </c>
      <c r="E2353" s="2" t="s">
        <v>37</v>
      </c>
      <c r="F2353" s="2" t="s">
        <v>13</v>
      </c>
      <c r="G2353" s="2" t="s">
        <v>14</v>
      </c>
      <c r="H2353" s="4">
        <v>215370</v>
      </c>
      <c r="I2353" s="4">
        <v>204200</v>
      </c>
    </row>
    <row r="2354" spans="1:9" x14ac:dyDescent="0.3">
      <c r="A2354" s="2" t="s">
        <v>2386</v>
      </c>
      <c r="B2354" s="3">
        <v>45998</v>
      </c>
      <c r="C2354" s="2" t="s">
        <v>36</v>
      </c>
      <c r="D2354" s="2" t="s">
        <v>11</v>
      </c>
      <c r="E2354" s="2" t="s">
        <v>37</v>
      </c>
      <c r="F2354" s="2" t="s">
        <v>13</v>
      </c>
      <c r="G2354" s="2" t="s">
        <v>14</v>
      </c>
      <c r="H2354" s="4">
        <v>88070</v>
      </c>
      <c r="I2354" s="4">
        <v>86100</v>
      </c>
    </row>
    <row r="2355" spans="1:9" x14ac:dyDescent="0.3">
      <c r="A2355" s="2" t="s">
        <v>2387</v>
      </c>
      <c r="B2355" s="3">
        <v>45998</v>
      </c>
      <c r="C2355" s="2" t="s">
        <v>25</v>
      </c>
      <c r="D2355" s="2" t="s">
        <v>11</v>
      </c>
      <c r="E2355" s="2" t="s">
        <v>22</v>
      </c>
      <c r="F2355" s="2" t="s">
        <v>59</v>
      </c>
      <c r="G2355" s="2" t="s">
        <v>14</v>
      </c>
      <c r="H2355" s="4">
        <v>70608</v>
      </c>
      <c r="I2355" s="4">
        <v>64100</v>
      </c>
    </row>
    <row r="2356" spans="1:9" x14ac:dyDescent="0.3">
      <c r="A2356" s="2" t="s">
        <v>2388</v>
      </c>
      <c r="B2356" s="3">
        <v>45998</v>
      </c>
      <c r="C2356" s="2" t="s">
        <v>31</v>
      </c>
      <c r="D2356" s="2" t="s">
        <v>11</v>
      </c>
      <c r="E2356" s="2" t="s">
        <v>17</v>
      </c>
      <c r="F2356" s="2" t="s">
        <v>26</v>
      </c>
      <c r="G2356" s="2" t="s">
        <v>14</v>
      </c>
      <c r="H2356" s="4">
        <v>56064</v>
      </c>
      <c r="I2356" s="4">
        <v>63700</v>
      </c>
    </row>
    <row r="2357" spans="1:9" x14ac:dyDescent="0.3">
      <c r="A2357" s="2" t="s">
        <v>2389</v>
      </c>
      <c r="B2357" s="3">
        <v>45998</v>
      </c>
      <c r="C2357" s="2" t="s">
        <v>31</v>
      </c>
      <c r="D2357" s="2" t="s">
        <v>11</v>
      </c>
      <c r="E2357" s="2" t="s">
        <v>17</v>
      </c>
      <c r="F2357" s="2" t="s">
        <v>26</v>
      </c>
      <c r="G2357" s="2" t="s">
        <v>14</v>
      </c>
      <c r="H2357" s="4">
        <v>217191</v>
      </c>
      <c r="I2357" s="4">
        <v>234200</v>
      </c>
    </row>
    <row r="2358" spans="1:9" x14ac:dyDescent="0.3">
      <c r="A2358" s="2" t="s">
        <v>2390</v>
      </c>
      <c r="B2358" s="3">
        <v>45999</v>
      </c>
      <c r="C2358" s="2" t="s">
        <v>62</v>
      </c>
      <c r="D2358" s="2" t="s">
        <v>11</v>
      </c>
      <c r="E2358" s="2" t="s">
        <v>22</v>
      </c>
      <c r="F2358" s="2" t="s">
        <v>59</v>
      </c>
      <c r="G2358" s="2" t="s">
        <v>14</v>
      </c>
      <c r="H2358" s="4">
        <v>212433</v>
      </c>
      <c r="I2358" s="4">
        <v>227800</v>
      </c>
    </row>
    <row r="2359" spans="1:9" x14ac:dyDescent="0.3">
      <c r="A2359" s="2" t="s">
        <v>2391</v>
      </c>
      <c r="B2359" s="3">
        <v>45999</v>
      </c>
      <c r="C2359" s="2" t="s">
        <v>16</v>
      </c>
      <c r="D2359" s="2" t="s">
        <v>11</v>
      </c>
      <c r="E2359" s="2" t="s">
        <v>17</v>
      </c>
      <c r="F2359" s="2" t="s">
        <v>46</v>
      </c>
      <c r="G2359" s="2" t="s">
        <v>19</v>
      </c>
      <c r="H2359" s="4">
        <v>38782</v>
      </c>
      <c r="I2359" s="4">
        <v>32400</v>
      </c>
    </row>
    <row r="2360" spans="1:9" x14ac:dyDescent="0.3">
      <c r="A2360" s="2" t="s">
        <v>2392</v>
      </c>
      <c r="B2360" s="3">
        <v>45999</v>
      </c>
      <c r="C2360" s="2" t="s">
        <v>16</v>
      </c>
      <c r="D2360" s="2" t="s">
        <v>11</v>
      </c>
      <c r="E2360" s="2" t="s">
        <v>17</v>
      </c>
      <c r="F2360" s="2" t="s">
        <v>23</v>
      </c>
      <c r="G2360" s="2" t="s">
        <v>14</v>
      </c>
      <c r="H2360" s="4">
        <v>96136</v>
      </c>
      <c r="I2360" s="4">
        <v>94300</v>
      </c>
    </row>
    <row r="2361" spans="1:9" x14ac:dyDescent="0.3">
      <c r="A2361" s="2" t="s">
        <v>2393</v>
      </c>
      <c r="B2361" s="3">
        <v>45999</v>
      </c>
      <c r="C2361" s="2" t="s">
        <v>21</v>
      </c>
      <c r="D2361" s="2" t="s">
        <v>11</v>
      </c>
      <c r="E2361" s="2" t="s">
        <v>22</v>
      </c>
      <c r="F2361" s="2" t="s">
        <v>56</v>
      </c>
      <c r="G2361" s="2" t="s">
        <v>19</v>
      </c>
      <c r="H2361" s="4">
        <v>67535</v>
      </c>
      <c r="I2361" s="4">
        <v>70200</v>
      </c>
    </row>
    <row r="2362" spans="1:9" x14ac:dyDescent="0.3">
      <c r="A2362" s="2" t="s">
        <v>2394</v>
      </c>
      <c r="B2362" s="3">
        <v>45999</v>
      </c>
      <c r="C2362" s="2" t="s">
        <v>25</v>
      </c>
      <c r="D2362" s="2" t="s">
        <v>11</v>
      </c>
      <c r="E2362" s="2" t="s">
        <v>22</v>
      </c>
      <c r="F2362" s="2" t="s">
        <v>42</v>
      </c>
      <c r="G2362" s="2" t="s">
        <v>19</v>
      </c>
      <c r="H2362" s="4">
        <v>69385</v>
      </c>
      <c r="I2362" s="4">
        <v>68500</v>
      </c>
    </row>
    <row r="2363" spans="1:9" x14ac:dyDescent="0.3">
      <c r="A2363" s="2" t="s">
        <v>2395</v>
      </c>
      <c r="B2363" s="3">
        <v>45999</v>
      </c>
      <c r="C2363" s="2" t="s">
        <v>25</v>
      </c>
      <c r="D2363" s="2" t="s">
        <v>11</v>
      </c>
      <c r="E2363" s="2" t="s">
        <v>22</v>
      </c>
      <c r="F2363" s="2" t="s">
        <v>37</v>
      </c>
      <c r="G2363" s="2" t="s">
        <v>14</v>
      </c>
      <c r="H2363" s="4">
        <v>173993</v>
      </c>
      <c r="I2363" s="4">
        <v>154400</v>
      </c>
    </row>
    <row r="2364" spans="1:9" x14ac:dyDescent="0.3">
      <c r="A2364" s="2" t="s">
        <v>2396</v>
      </c>
      <c r="B2364" s="3">
        <v>45999</v>
      </c>
      <c r="C2364" s="2" t="s">
        <v>31</v>
      </c>
      <c r="D2364" s="2" t="s">
        <v>11</v>
      </c>
      <c r="E2364" s="2" t="s">
        <v>17</v>
      </c>
      <c r="F2364" s="2" t="s">
        <v>37</v>
      </c>
      <c r="G2364" s="2" t="s">
        <v>14</v>
      </c>
      <c r="H2364" s="4">
        <v>78883</v>
      </c>
      <c r="I2364" s="4">
        <v>86900</v>
      </c>
    </row>
    <row r="2365" spans="1:9" x14ac:dyDescent="0.3">
      <c r="A2365" s="2" t="s">
        <v>2397</v>
      </c>
      <c r="B2365" s="3">
        <v>45999</v>
      </c>
      <c r="C2365" s="2" t="s">
        <v>55</v>
      </c>
      <c r="D2365" s="2" t="s">
        <v>11</v>
      </c>
      <c r="E2365" s="2" t="s">
        <v>37</v>
      </c>
      <c r="F2365" s="2" t="s">
        <v>56</v>
      </c>
      <c r="G2365" s="2" t="s">
        <v>19</v>
      </c>
      <c r="H2365" s="4">
        <v>70385</v>
      </c>
      <c r="I2365" s="4">
        <v>57900</v>
      </c>
    </row>
    <row r="2366" spans="1:9" x14ac:dyDescent="0.3">
      <c r="A2366" s="2" t="s">
        <v>2398</v>
      </c>
      <c r="B2366" s="3">
        <v>45999</v>
      </c>
      <c r="C2366" s="2" t="s">
        <v>55</v>
      </c>
      <c r="D2366" s="2" t="s">
        <v>11</v>
      </c>
      <c r="E2366" s="2" t="s">
        <v>37</v>
      </c>
      <c r="F2366" s="2" t="s">
        <v>56</v>
      </c>
      <c r="G2366" s="2" t="s">
        <v>19</v>
      </c>
      <c r="H2366" s="4">
        <v>36122</v>
      </c>
      <c r="I2366" s="4">
        <v>33300</v>
      </c>
    </row>
    <row r="2367" spans="1:9" x14ac:dyDescent="0.3">
      <c r="A2367" s="2" t="s">
        <v>2399</v>
      </c>
      <c r="B2367" s="3">
        <v>46000</v>
      </c>
      <c r="C2367" s="2" t="s">
        <v>62</v>
      </c>
      <c r="D2367" s="2" t="s">
        <v>11</v>
      </c>
      <c r="E2367" s="2" t="s">
        <v>22</v>
      </c>
      <c r="F2367" s="2" t="s">
        <v>56</v>
      </c>
      <c r="G2367" s="2" t="s">
        <v>19</v>
      </c>
      <c r="H2367" s="4">
        <v>114837</v>
      </c>
      <c r="I2367" s="4">
        <v>117400</v>
      </c>
    </row>
    <row r="2368" spans="1:9" x14ac:dyDescent="0.3">
      <c r="A2368" s="2" t="s">
        <v>2400</v>
      </c>
      <c r="B2368" s="3">
        <v>46000</v>
      </c>
      <c r="C2368" s="2" t="s">
        <v>16</v>
      </c>
      <c r="D2368" s="2" t="s">
        <v>11</v>
      </c>
      <c r="E2368" s="2" t="s">
        <v>17</v>
      </c>
      <c r="F2368" s="2" t="s">
        <v>23</v>
      </c>
      <c r="G2368" s="2" t="s">
        <v>14</v>
      </c>
      <c r="H2368" s="4">
        <v>160494</v>
      </c>
      <c r="I2368" s="4">
        <v>176400</v>
      </c>
    </row>
    <row r="2369" spans="1:9" x14ac:dyDescent="0.3">
      <c r="A2369" s="2" t="s">
        <v>2401</v>
      </c>
      <c r="B2369" s="3">
        <v>46000</v>
      </c>
      <c r="C2369" s="2" t="s">
        <v>16</v>
      </c>
      <c r="D2369" s="2" t="s">
        <v>11</v>
      </c>
      <c r="E2369" s="2" t="s">
        <v>17</v>
      </c>
      <c r="F2369" s="2" t="s">
        <v>13</v>
      </c>
      <c r="G2369" s="2" t="s">
        <v>14</v>
      </c>
      <c r="H2369" s="4">
        <v>82299</v>
      </c>
      <c r="I2369" s="4">
        <v>71600</v>
      </c>
    </row>
    <row r="2370" spans="1:9" x14ac:dyDescent="0.3">
      <c r="A2370" s="2" t="s">
        <v>2402</v>
      </c>
      <c r="B2370" s="3">
        <v>46000</v>
      </c>
      <c r="C2370" s="2" t="s">
        <v>16</v>
      </c>
      <c r="D2370" s="2" t="s">
        <v>11</v>
      </c>
      <c r="E2370" s="2" t="s">
        <v>17</v>
      </c>
      <c r="F2370" s="2" t="s">
        <v>23</v>
      </c>
      <c r="G2370" s="2" t="s">
        <v>14</v>
      </c>
      <c r="H2370" s="4">
        <v>103754</v>
      </c>
      <c r="I2370" s="4">
        <v>108700</v>
      </c>
    </row>
    <row r="2371" spans="1:9" x14ac:dyDescent="0.3">
      <c r="A2371" s="2" t="s">
        <v>2403</v>
      </c>
      <c r="B2371" s="3">
        <v>46000</v>
      </c>
      <c r="C2371" s="2" t="s">
        <v>36</v>
      </c>
      <c r="D2371" s="2" t="s">
        <v>11</v>
      </c>
      <c r="E2371" s="2" t="s">
        <v>37</v>
      </c>
      <c r="F2371" s="2" t="s">
        <v>23</v>
      </c>
      <c r="G2371" s="2" t="s">
        <v>14</v>
      </c>
      <c r="H2371" s="4">
        <v>215862</v>
      </c>
      <c r="I2371" s="4">
        <v>206300</v>
      </c>
    </row>
    <row r="2372" spans="1:9" x14ac:dyDescent="0.3">
      <c r="A2372" s="2" t="s">
        <v>2404</v>
      </c>
      <c r="B2372" s="3">
        <v>46000</v>
      </c>
      <c r="C2372" s="2" t="s">
        <v>21</v>
      </c>
      <c r="D2372" s="2" t="s">
        <v>11</v>
      </c>
      <c r="E2372" s="2" t="s">
        <v>22</v>
      </c>
      <c r="F2372" s="2" t="s">
        <v>33</v>
      </c>
      <c r="G2372" s="2" t="s">
        <v>19</v>
      </c>
      <c r="H2372" s="4">
        <v>97079</v>
      </c>
      <c r="I2372" s="4">
        <v>80600</v>
      </c>
    </row>
    <row r="2373" spans="1:9" x14ac:dyDescent="0.3">
      <c r="A2373" s="2" t="s">
        <v>2405</v>
      </c>
      <c r="B2373" s="3">
        <v>46000</v>
      </c>
      <c r="C2373" s="2" t="s">
        <v>21</v>
      </c>
      <c r="D2373" s="2" t="s">
        <v>11</v>
      </c>
      <c r="E2373" s="2" t="s">
        <v>22</v>
      </c>
      <c r="F2373" s="2" t="s">
        <v>37</v>
      </c>
      <c r="G2373" s="2" t="s">
        <v>14</v>
      </c>
      <c r="H2373" s="4">
        <v>177028</v>
      </c>
      <c r="I2373" s="4">
        <v>167700</v>
      </c>
    </row>
    <row r="2374" spans="1:9" x14ac:dyDescent="0.3">
      <c r="A2374" s="2" t="s">
        <v>2406</v>
      </c>
      <c r="B2374" s="3">
        <v>46000</v>
      </c>
      <c r="C2374" s="2" t="s">
        <v>25</v>
      </c>
      <c r="D2374" s="2" t="s">
        <v>11</v>
      </c>
      <c r="E2374" s="2" t="s">
        <v>22</v>
      </c>
      <c r="F2374" s="2" t="s">
        <v>56</v>
      </c>
      <c r="G2374" s="2" t="s">
        <v>19</v>
      </c>
      <c r="H2374" s="4">
        <v>105054</v>
      </c>
      <c r="I2374" s="4">
        <v>99700</v>
      </c>
    </row>
    <row r="2375" spans="1:9" x14ac:dyDescent="0.3">
      <c r="A2375" s="2" t="s">
        <v>2407</v>
      </c>
      <c r="B2375" s="3">
        <v>46000</v>
      </c>
      <c r="C2375" s="2" t="s">
        <v>25</v>
      </c>
      <c r="D2375" s="2" t="s">
        <v>11</v>
      </c>
      <c r="E2375" s="2" t="s">
        <v>22</v>
      </c>
      <c r="F2375" s="2" t="s">
        <v>33</v>
      </c>
      <c r="G2375" s="2" t="s">
        <v>19</v>
      </c>
      <c r="H2375" s="4">
        <v>45653</v>
      </c>
      <c r="I2375" s="4">
        <v>48400</v>
      </c>
    </row>
    <row r="2376" spans="1:9" x14ac:dyDescent="0.3">
      <c r="A2376" s="2" t="s">
        <v>2408</v>
      </c>
      <c r="B2376" s="3">
        <v>46000</v>
      </c>
      <c r="C2376" s="2" t="s">
        <v>31</v>
      </c>
      <c r="D2376" s="2" t="s">
        <v>11</v>
      </c>
      <c r="E2376" s="2" t="s">
        <v>17</v>
      </c>
      <c r="F2376" s="2" t="s">
        <v>39</v>
      </c>
      <c r="G2376" s="2" t="s">
        <v>19</v>
      </c>
      <c r="H2376" s="4">
        <v>97543</v>
      </c>
      <c r="I2376" s="4">
        <v>86500</v>
      </c>
    </row>
    <row r="2377" spans="1:9" x14ac:dyDescent="0.3">
      <c r="A2377" s="2" t="s">
        <v>2409</v>
      </c>
      <c r="B2377" s="3">
        <v>46000</v>
      </c>
      <c r="C2377" s="2" t="s">
        <v>31</v>
      </c>
      <c r="D2377" s="2" t="s">
        <v>11</v>
      </c>
      <c r="E2377" s="2" t="s">
        <v>17</v>
      </c>
      <c r="F2377" s="2" t="s">
        <v>23</v>
      </c>
      <c r="G2377" s="2" t="s">
        <v>14</v>
      </c>
      <c r="H2377" s="4">
        <v>243310</v>
      </c>
      <c r="I2377" s="4">
        <v>207300</v>
      </c>
    </row>
    <row r="2378" spans="1:9" x14ac:dyDescent="0.3">
      <c r="A2378" s="2" t="s">
        <v>2410</v>
      </c>
      <c r="B2378" s="3">
        <v>46000</v>
      </c>
      <c r="C2378" s="2" t="s">
        <v>31</v>
      </c>
      <c r="D2378" s="2" t="s">
        <v>11</v>
      </c>
      <c r="E2378" s="2" t="s">
        <v>17</v>
      </c>
      <c r="F2378" s="2" t="s">
        <v>26</v>
      </c>
      <c r="G2378" s="2" t="s">
        <v>14</v>
      </c>
      <c r="H2378" s="4">
        <v>98837</v>
      </c>
      <c r="I2378" s="4">
        <v>83500</v>
      </c>
    </row>
    <row r="2379" spans="1:9" x14ac:dyDescent="0.3">
      <c r="A2379" s="2" t="s">
        <v>2411</v>
      </c>
      <c r="B2379" s="3">
        <v>46001</v>
      </c>
      <c r="C2379" s="2" t="s">
        <v>16</v>
      </c>
      <c r="D2379" s="2" t="s">
        <v>11</v>
      </c>
      <c r="E2379" s="2" t="s">
        <v>17</v>
      </c>
      <c r="F2379" s="2" t="s">
        <v>42</v>
      </c>
      <c r="G2379" s="2" t="s">
        <v>19</v>
      </c>
      <c r="H2379" s="4">
        <v>35689</v>
      </c>
      <c r="I2379" s="4">
        <v>28000</v>
      </c>
    </row>
    <row r="2380" spans="1:9" x14ac:dyDescent="0.3">
      <c r="A2380" s="2" t="s">
        <v>2412</v>
      </c>
      <c r="B2380" s="3">
        <v>46001</v>
      </c>
      <c r="C2380" s="2" t="s">
        <v>21</v>
      </c>
      <c r="D2380" s="2" t="s">
        <v>11</v>
      </c>
      <c r="E2380" s="2" t="s">
        <v>22</v>
      </c>
      <c r="F2380" s="2" t="s">
        <v>56</v>
      </c>
      <c r="G2380" s="2" t="s">
        <v>19</v>
      </c>
      <c r="H2380" s="4">
        <v>116161</v>
      </c>
      <c r="I2380" s="4">
        <v>125700</v>
      </c>
    </row>
    <row r="2381" spans="1:9" x14ac:dyDescent="0.3">
      <c r="A2381" s="2" t="s">
        <v>2413</v>
      </c>
      <c r="B2381" s="3">
        <v>46002</v>
      </c>
      <c r="C2381" s="2" t="s">
        <v>62</v>
      </c>
      <c r="D2381" s="2" t="s">
        <v>11</v>
      </c>
      <c r="E2381" s="2" t="s">
        <v>22</v>
      </c>
      <c r="F2381" s="2" t="s">
        <v>33</v>
      </c>
      <c r="G2381" s="2" t="s">
        <v>19</v>
      </c>
      <c r="H2381" s="4">
        <v>55680</v>
      </c>
      <c r="I2381" s="4">
        <v>55700</v>
      </c>
    </row>
    <row r="2382" spans="1:9" x14ac:dyDescent="0.3">
      <c r="A2382" s="2" t="s">
        <v>2414</v>
      </c>
      <c r="B2382" s="3">
        <v>46002</v>
      </c>
      <c r="C2382" s="2" t="s">
        <v>62</v>
      </c>
      <c r="D2382" s="2" t="s">
        <v>11</v>
      </c>
      <c r="E2382" s="2" t="s">
        <v>22</v>
      </c>
      <c r="F2382" s="2" t="s">
        <v>39</v>
      </c>
      <c r="G2382" s="2" t="s">
        <v>19</v>
      </c>
      <c r="H2382" s="4">
        <v>34957</v>
      </c>
      <c r="I2382" s="4">
        <v>27000</v>
      </c>
    </row>
    <row r="2383" spans="1:9" x14ac:dyDescent="0.3">
      <c r="A2383" s="2" t="s">
        <v>2415</v>
      </c>
      <c r="B2383" s="3">
        <v>46002</v>
      </c>
      <c r="C2383" s="2" t="s">
        <v>10</v>
      </c>
      <c r="D2383" s="2" t="s">
        <v>11</v>
      </c>
      <c r="E2383" s="2" t="s">
        <v>12</v>
      </c>
      <c r="F2383" s="2" t="s">
        <v>46</v>
      </c>
      <c r="G2383" s="2" t="s">
        <v>19</v>
      </c>
      <c r="H2383" s="4">
        <v>74935</v>
      </c>
      <c r="I2383" s="4">
        <v>77600</v>
      </c>
    </row>
    <row r="2384" spans="1:9" x14ac:dyDescent="0.3">
      <c r="A2384" s="2" t="s">
        <v>2416</v>
      </c>
      <c r="B2384" s="3">
        <v>46002</v>
      </c>
      <c r="C2384" s="2" t="s">
        <v>10</v>
      </c>
      <c r="D2384" s="2" t="s">
        <v>11</v>
      </c>
      <c r="E2384" s="2" t="s">
        <v>12</v>
      </c>
      <c r="F2384" s="2" t="s">
        <v>12</v>
      </c>
      <c r="G2384" s="2" t="s">
        <v>14</v>
      </c>
      <c r="H2384" s="4">
        <v>69241</v>
      </c>
      <c r="I2384" s="4">
        <v>71800</v>
      </c>
    </row>
    <row r="2385" spans="1:9" x14ac:dyDescent="0.3">
      <c r="A2385" s="2" t="s">
        <v>2417</v>
      </c>
      <c r="B2385" s="3">
        <v>46002</v>
      </c>
      <c r="C2385" s="2" t="s">
        <v>36</v>
      </c>
      <c r="D2385" s="2" t="s">
        <v>11</v>
      </c>
      <c r="E2385" s="2" t="s">
        <v>37</v>
      </c>
      <c r="F2385" s="2" t="s">
        <v>42</v>
      </c>
      <c r="G2385" s="2" t="s">
        <v>19</v>
      </c>
      <c r="H2385" s="4">
        <v>32711</v>
      </c>
      <c r="I2385" s="4">
        <v>30300</v>
      </c>
    </row>
    <row r="2386" spans="1:9" x14ac:dyDescent="0.3">
      <c r="A2386" s="2" t="s">
        <v>2418</v>
      </c>
      <c r="B2386" s="3">
        <v>46002</v>
      </c>
      <c r="C2386" s="2" t="s">
        <v>36</v>
      </c>
      <c r="D2386" s="2" t="s">
        <v>11</v>
      </c>
      <c r="E2386" s="2" t="s">
        <v>37</v>
      </c>
      <c r="F2386" s="2" t="s">
        <v>37</v>
      </c>
      <c r="G2386" s="2" t="s">
        <v>14</v>
      </c>
      <c r="H2386" s="4">
        <v>160676</v>
      </c>
      <c r="I2386" s="4">
        <v>139200</v>
      </c>
    </row>
    <row r="2387" spans="1:9" x14ac:dyDescent="0.3">
      <c r="A2387" s="2" t="s">
        <v>2419</v>
      </c>
      <c r="B2387" s="3">
        <v>46002</v>
      </c>
      <c r="C2387" s="2" t="s">
        <v>25</v>
      </c>
      <c r="D2387" s="2" t="s">
        <v>11</v>
      </c>
      <c r="E2387" s="2" t="s">
        <v>22</v>
      </c>
      <c r="F2387" s="2" t="s">
        <v>33</v>
      </c>
      <c r="G2387" s="2" t="s">
        <v>19</v>
      </c>
      <c r="H2387" s="4">
        <v>12417</v>
      </c>
      <c r="I2387" s="4">
        <v>11900</v>
      </c>
    </row>
    <row r="2388" spans="1:9" x14ac:dyDescent="0.3">
      <c r="A2388" s="2" t="s">
        <v>2420</v>
      </c>
      <c r="B2388" s="3">
        <v>46002</v>
      </c>
      <c r="C2388" s="2" t="s">
        <v>31</v>
      </c>
      <c r="D2388" s="2" t="s">
        <v>11</v>
      </c>
      <c r="E2388" s="2" t="s">
        <v>17</v>
      </c>
      <c r="F2388" s="2" t="s">
        <v>39</v>
      </c>
      <c r="G2388" s="2" t="s">
        <v>19</v>
      </c>
      <c r="H2388" s="4">
        <v>59533</v>
      </c>
      <c r="I2388" s="4">
        <v>49500</v>
      </c>
    </row>
    <row r="2389" spans="1:9" x14ac:dyDescent="0.3">
      <c r="A2389" s="2" t="s">
        <v>2421</v>
      </c>
      <c r="B2389" s="3">
        <v>46002</v>
      </c>
      <c r="C2389" s="2" t="s">
        <v>55</v>
      </c>
      <c r="D2389" s="2" t="s">
        <v>11</v>
      </c>
      <c r="E2389" s="2" t="s">
        <v>37</v>
      </c>
      <c r="F2389" s="2" t="s">
        <v>59</v>
      </c>
      <c r="G2389" s="2" t="s">
        <v>14</v>
      </c>
      <c r="H2389" s="4">
        <v>183578</v>
      </c>
      <c r="I2389" s="4">
        <v>173700</v>
      </c>
    </row>
    <row r="2390" spans="1:9" x14ac:dyDescent="0.3">
      <c r="A2390" s="2" t="s">
        <v>2422</v>
      </c>
      <c r="B2390" s="3">
        <v>46003</v>
      </c>
      <c r="C2390" s="2" t="s">
        <v>25</v>
      </c>
      <c r="D2390" s="2" t="s">
        <v>11</v>
      </c>
      <c r="E2390" s="2" t="s">
        <v>22</v>
      </c>
      <c r="F2390" s="2" t="s">
        <v>42</v>
      </c>
      <c r="G2390" s="2" t="s">
        <v>19</v>
      </c>
      <c r="H2390" s="4">
        <v>60052</v>
      </c>
      <c r="I2390" s="4">
        <v>60600</v>
      </c>
    </row>
    <row r="2391" spans="1:9" x14ac:dyDescent="0.3">
      <c r="A2391" s="2" t="s">
        <v>2423</v>
      </c>
      <c r="B2391" s="3">
        <v>46003</v>
      </c>
      <c r="C2391" s="2" t="s">
        <v>31</v>
      </c>
      <c r="D2391" s="2" t="s">
        <v>11</v>
      </c>
      <c r="E2391" s="2" t="s">
        <v>17</v>
      </c>
      <c r="F2391" s="2" t="s">
        <v>39</v>
      </c>
      <c r="G2391" s="2" t="s">
        <v>19</v>
      </c>
      <c r="H2391" s="4">
        <v>15502</v>
      </c>
      <c r="I2391" s="4">
        <v>15100</v>
      </c>
    </row>
    <row r="2392" spans="1:9" x14ac:dyDescent="0.3">
      <c r="A2392" s="2" t="s">
        <v>2424</v>
      </c>
      <c r="B2392" s="3">
        <v>46003</v>
      </c>
      <c r="C2392" s="2" t="s">
        <v>55</v>
      </c>
      <c r="D2392" s="2" t="s">
        <v>11</v>
      </c>
      <c r="E2392" s="2" t="s">
        <v>37</v>
      </c>
      <c r="F2392" s="2" t="s">
        <v>13</v>
      </c>
      <c r="G2392" s="2" t="s">
        <v>14</v>
      </c>
      <c r="H2392" s="4">
        <v>186010</v>
      </c>
      <c r="I2392" s="4">
        <v>192700</v>
      </c>
    </row>
    <row r="2393" spans="1:9" x14ac:dyDescent="0.3">
      <c r="A2393" s="2" t="s">
        <v>2425</v>
      </c>
      <c r="B2393" s="3">
        <v>46004</v>
      </c>
      <c r="C2393" s="2" t="s">
        <v>16</v>
      </c>
      <c r="D2393" s="2" t="s">
        <v>11</v>
      </c>
      <c r="E2393" s="2" t="s">
        <v>17</v>
      </c>
      <c r="F2393" s="2" t="s">
        <v>33</v>
      </c>
      <c r="G2393" s="2" t="s">
        <v>19</v>
      </c>
      <c r="H2393" s="4">
        <v>15425</v>
      </c>
      <c r="I2393" s="4">
        <v>16400</v>
      </c>
    </row>
    <row r="2394" spans="1:9" x14ac:dyDescent="0.3">
      <c r="A2394" s="2" t="s">
        <v>2426</v>
      </c>
      <c r="B2394" s="3">
        <v>46004</v>
      </c>
      <c r="C2394" s="2" t="s">
        <v>16</v>
      </c>
      <c r="D2394" s="2" t="s">
        <v>11</v>
      </c>
      <c r="E2394" s="2" t="s">
        <v>17</v>
      </c>
      <c r="F2394" s="2" t="s">
        <v>42</v>
      </c>
      <c r="G2394" s="2" t="s">
        <v>19</v>
      </c>
      <c r="H2394" s="4">
        <v>94504</v>
      </c>
      <c r="I2394" s="4">
        <v>107600</v>
      </c>
    </row>
    <row r="2395" spans="1:9" x14ac:dyDescent="0.3">
      <c r="A2395" s="2" t="s">
        <v>2427</v>
      </c>
      <c r="B2395" s="3">
        <v>46004</v>
      </c>
      <c r="C2395" s="2" t="s">
        <v>16</v>
      </c>
      <c r="D2395" s="2" t="s">
        <v>11</v>
      </c>
      <c r="E2395" s="2" t="s">
        <v>17</v>
      </c>
      <c r="F2395" s="2" t="s">
        <v>46</v>
      </c>
      <c r="G2395" s="2" t="s">
        <v>19</v>
      </c>
      <c r="H2395" s="4">
        <v>77641</v>
      </c>
      <c r="I2395" s="4">
        <v>76900</v>
      </c>
    </row>
    <row r="2396" spans="1:9" x14ac:dyDescent="0.3">
      <c r="A2396" s="2" t="s">
        <v>2428</v>
      </c>
      <c r="B2396" s="3">
        <v>46004</v>
      </c>
      <c r="C2396" s="2" t="s">
        <v>25</v>
      </c>
      <c r="D2396" s="2" t="s">
        <v>11</v>
      </c>
      <c r="E2396" s="2" t="s">
        <v>22</v>
      </c>
      <c r="F2396" s="2" t="s">
        <v>33</v>
      </c>
      <c r="G2396" s="2" t="s">
        <v>19</v>
      </c>
      <c r="H2396" s="4">
        <v>32328</v>
      </c>
      <c r="I2396" s="4">
        <v>37600</v>
      </c>
    </row>
    <row r="2397" spans="1:9" x14ac:dyDescent="0.3">
      <c r="A2397" s="2" t="s">
        <v>2429</v>
      </c>
      <c r="B2397" s="3">
        <v>46004</v>
      </c>
      <c r="C2397" s="2" t="s">
        <v>25</v>
      </c>
      <c r="D2397" s="2" t="s">
        <v>11</v>
      </c>
      <c r="E2397" s="2" t="s">
        <v>22</v>
      </c>
      <c r="F2397" s="2" t="s">
        <v>26</v>
      </c>
      <c r="G2397" s="2" t="s">
        <v>14</v>
      </c>
      <c r="H2397" s="4">
        <v>160000</v>
      </c>
      <c r="I2397" s="4">
        <v>141300</v>
      </c>
    </row>
    <row r="2398" spans="1:9" x14ac:dyDescent="0.3">
      <c r="A2398" s="2" t="s">
        <v>2430</v>
      </c>
      <c r="B2398" s="3">
        <v>46004</v>
      </c>
      <c r="C2398" s="2" t="s">
        <v>31</v>
      </c>
      <c r="D2398" s="2" t="s">
        <v>11</v>
      </c>
      <c r="E2398" s="2" t="s">
        <v>17</v>
      </c>
      <c r="F2398" s="2" t="s">
        <v>23</v>
      </c>
      <c r="G2398" s="2" t="s">
        <v>14</v>
      </c>
      <c r="H2398" s="4">
        <v>74761</v>
      </c>
      <c r="I2398" s="4">
        <v>84700</v>
      </c>
    </row>
    <row r="2399" spans="1:9" x14ac:dyDescent="0.3">
      <c r="A2399" s="2" t="s">
        <v>2431</v>
      </c>
      <c r="B2399" s="3">
        <v>46005</v>
      </c>
      <c r="C2399" s="2" t="s">
        <v>16</v>
      </c>
      <c r="D2399" s="2" t="s">
        <v>11</v>
      </c>
      <c r="E2399" s="2" t="s">
        <v>17</v>
      </c>
      <c r="F2399" s="2" t="s">
        <v>56</v>
      </c>
      <c r="G2399" s="2" t="s">
        <v>19</v>
      </c>
      <c r="H2399" s="4">
        <v>39542</v>
      </c>
      <c r="I2399" s="4">
        <v>34500</v>
      </c>
    </row>
    <row r="2400" spans="1:9" x14ac:dyDescent="0.3">
      <c r="A2400" s="2" t="s">
        <v>2432</v>
      </c>
      <c r="B2400" s="3">
        <v>46005</v>
      </c>
      <c r="C2400" s="2" t="s">
        <v>16</v>
      </c>
      <c r="D2400" s="2" t="s">
        <v>11</v>
      </c>
      <c r="E2400" s="2" t="s">
        <v>17</v>
      </c>
      <c r="F2400" s="2" t="s">
        <v>39</v>
      </c>
      <c r="G2400" s="2" t="s">
        <v>19</v>
      </c>
      <c r="H2400" s="4">
        <v>90971</v>
      </c>
      <c r="I2400" s="4">
        <v>89200</v>
      </c>
    </row>
    <row r="2401" spans="1:9" x14ac:dyDescent="0.3">
      <c r="A2401" s="2" t="s">
        <v>2433</v>
      </c>
      <c r="B2401" s="3">
        <v>46005</v>
      </c>
      <c r="C2401" s="2" t="s">
        <v>25</v>
      </c>
      <c r="D2401" s="2" t="s">
        <v>11</v>
      </c>
      <c r="E2401" s="2" t="s">
        <v>22</v>
      </c>
      <c r="F2401" s="2" t="s">
        <v>37</v>
      </c>
      <c r="G2401" s="2" t="s">
        <v>14</v>
      </c>
      <c r="H2401" s="4">
        <v>82723</v>
      </c>
      <c r="I2401" s="4">
        <v>89900</v>
      </c>
    </row>
    <row r="2402" spans="1:9" x14ac:dyDescent="0.3">
      <c r="A2402" s="2" t="s">
        <v>2434</v>
      </c>
      <c r="B2402" s="3">
        <v>46005</v>
      </c>
      <c r="C2402" s="2" t="s">
        <v>55</v>
      </c>
      <c r="D2402" s="2" t="s">
        <v>11</v>
      </c>
      <c r="E2402" s="2" t="s">
        <v>37</v>
      </c>
      <c r="F2402" s="2" t="s">
        <v>18</v>
      </c>
      <c r="G2402" s="2" t="s">
        <v>19</v>
      </c>
      <c r="H2402" s="4">
        <v>33497</v>
      </c>
      <c r="I2402" s="4">
        <v>36200</v>
      </c>
    </row>
    <row r="2403" spans="1:9" x14ac:dyDescent="0.3">
      <c r="A2403" s="2" t="s">
        <v>2435</v>
      </c>
      <c r="B2403" s="3">
        <v>46005</v>
      </c>
      <c r="C2403" s="2" t="s">
        <v>55</v>
      </c>
      <c r="D2403" s="2" t="s">
        <v>11</v>
      </c>
      <c r="E2403" s="2" t="s">
        <v>37</v>
      </c>
      <c r="F2403" s="2" t="s">
        <v>46</v>
      </c>
      <c r="G2403" s="2" t="s">
        <v>19</v>
      </c>
      <c r="H2403" s="4">
        <v>58107</v>
      </c>
      <c r="I2403" s="4">
        <v>57200</v>
      </c>
    </row>
    <row r="2404" spans="1:9" x14ac:dyDescent="0.3">
      <c r="A2404" s="2" t="s">
        <v>2436</v>
      </c>
      <c r="B2404" s="3">
        <v>46006</v>
      </c>
      <c r="C2404" s="2" t="s">
        <v>62</v>
      </c>
      <c r="D2404" s="2" t="s">
        <v>11</v>
      </c>
      <c r="E2404" s="2" t="s">
        <v>22</v>
      </c>
      <c r="F2404" s="2" t="s">
        <v>56</v>
      </c>
      <c r="G2404" s="2" t="s">
        <v>19</v>
      </c>
      <c r="H2404" s="4">
        <v>111943</v>
      </c>
      <c r="I2404" s="4">
        <v>121100</v>
      </c>
    </row>
    <row r="2405" spans="1:9" x14ac:dyDescent="0.3">
      <c r="A2405" s="2" t="s">
        <v>2437</v>
      </c>
      <c r="B2405" s="3">
        <v>46006</v>
      </c>
      <c r="C2405" s="2" t="s">
        <v>16</v>
      </c>
      <c r="D2405" s="2" t="s">
        <v>11</v>
      </c>
      <c r="E2405" s="2" t="s">
        <v>17</v>
      </c>
      <c r="F2405" s="2" t="s">
        <v>46</v>
      </c>
      <c r="G2405" s="2" t="s">
        <v>19</v>
      </c>
      <c r="H2405" s="4">
        <v>57680</v>
      </c>
      <c r="I2405" s="4">
        <v>54600</v>
      </c>
    </row>
    <row r="2406" spans="1:9" x14ac:dyDescent="0.3">
      <c r="A2406" s="2" t="s">
        <v>2438</v>
      </c>
      <c r="B2406" s="3">
        <v>46006</v>
      </c>
      <c r="C2406" s="2" t="s">
        <v>21</v>
      </c>
      <c r="D2406" s="2" t="s">
        <v>11</v>
      </c>
      <c r="E2406" s="2" t="s">
        <v>22</v>
      </c>
      <c r="F2406" s="2" t="s">
        <v>18</v>
      </c>
      <c r="G2406" s="2" t="s">
        <v>19</v>
      </c>
      <c r="H2406" s="4">
        <v>97388</v>
      </c>
      <c r="I2406" s="4">
        <v>95500</v>
      </c>
    </row>
    <row r="2407" spans="1:9" x14ac:dyDescent="0.3">
      <c r="A2407" s="2" t="s">
        <v>2439</v>
      </c>
      <c r="B2407" s="3">
        <v>46006</v>
      </c>
      <c r="C2407" s="2" t="s">
        <v>55</v>
      </c>
      <c r="D2407" s="2" t="s">
        <v>11</v>
      </c>
      <c r="E2407" s="2" t="s">
        <v>37</v>
      </c>
      <c r="F2407" s="2" t="s">
        <v>56</v>
      </c>
      <c r="G2407" s="2" t="s">
        <v>19</v>
      </c>
      <c r="H2407" s="4">
        <v>39331</v>
      </c>
      <c r="I2407" s="4">
        <v>32400</v>
      </c>
    </row>
    <row r="2408" spans="1:9" x14ac:dyDescent="0.3">
      <c r="A2408" s="2" t="s">
        <v>2440</v>
      </c>
      <c r="B2408" s="3">
        <v>46007</v>
      </c>
      <c r="C2408" s="2" t="s">
        <v>36</v>
      </c>
      <c r="D2408" s="2" t="s">
        <v>11</v>
      </c>
      <c r="E2408" s="2" t="s">
        <v>37</v>
      </c>
      <c r="F2408" s="2" t="s">
        <v>59</v>
      </c>
      <c r="G2408" s="2" t="s">
        <v>14</v>
      </c>
      <c r="H2408" s="4">
        <v>100068</v>
      </c>
      <c r="I2408" s="4">
        <v>96700</v>
      </c>
    </row>
    <row r="2409" spans="1:9" x14ac:dyDescent="0.3">
      <c r="A2409" s="2" t="s">
        <v>2441</v>
      </c>
      <c r="B2409" s="3">
        <v>46007</v>
      </c>
      <c r="C2409" s="2" t="s">
        <v>21</v>
      </c>
      <c r="D2409" s="2" t="s">
        <v>11</v>
      </c>
      <c r="E2409" s="2" t="s">
        <v>22</v>
      </c>
      <c r="F2409" s="2" t="s">
        <v>39</v>
      </c>
      <c r="G2409" s="2" t="s">
        <v>19</v>
      </c>
      <c r="H2409" s="4">
        <v>43511</v>
      </c>
      <c r="I2409" s="4">
        <v>37200</v>
      </c>
    </row>
    <row r="2410" spans="1:9" x14ac:dyDescent="0.3">
      <c r="A2410" s="2" t="s">
        <v>2442</v>
      </c>
      <c r="B2410" s="3">
        <v>46007</v>
      </c>
      <c r="C2410" s="2" t="s">
        <v>21</v>
      </c>
      <c r="D2410" s="2" t="s">
        <v>11</v>
      </c>
      <c r="E2410" s="2" t="s">
        <v>22</v>
      </c>
      <c r="F2410" s="2" t="s">
        <v>33</v>
      </c>
      <c r="G2410" s="2" t="s">
        <v>19</v>
      </c>
      <c r="H2410" s="4">
        <v>108948</v>
      </c>
      <c r="I2410" s="4">
        <v>109900</v>
      </c>
    </row>
    <row r="2411" spans="1:9" x14ac:dyDescent="0.3">
      <c r="A2411" s="2" t="s">
        <v>2443</v>
      </c>
      <c r="B2411" s="3">
        <v>46007</v>
      </c>
      <c r="C2411" s="2" t="s">
        <v>21</v>
      </c>
      <c r="D2411" s="2" t="s">
        <v>11</v>
      </c>
      <c r="E2411" s="2" t="s">
        <v>22</v>
      </c>
      <c r="F2411" s="2" t="s">
        <v>26</v>
      </c>
      <c r="G2411" s="2" t="s">
        <v>14</v>
      </c>
      <c r="H2411" s="4">
        <v>89567</v>
      </c>
      <c r="I2411" s="4">
        <v>78000</v>
      </c>
    </row>
    <row r="2412" spans="1:9" x14ac:dyDescent="0.3">
      <c r="A2412" s="2" t="s">
        <v>2444</v>
      </c>
      <c r="B2412" s="3">
        <v>46007</v>
      </c>
      <c r="C2412" s="2" t="s">
        <v>25</v>
      </c>
      <c r="D2412" s="2" t="s">
        <v>11</v>
      </c>
      <c r="E2412" s="2" t="s">
        <v>22</v>
      </c>
      <c r="F2412" s="2" t="s">
        <v>46</v>
      </c>
      <c r="G2412" s="2" t="s">
        <v>19</v>
      </c>
      <c r="H2412" s="4">
        <v>16913</v>
      </c>
      <c r="I2412" s="4">
        <v>17100</v>
      </c>
    </row>
    <row r="2413" spans="1:9" x14ac:dyDescent="0.3">
      <c r="A2413" s="2" t="s">
        <v>2445</v>
      </c>
      <c r="B2413" s="3">
        <v>46007</v>
      </c>
      <c r="C2413" s="2" t="s">
        <v>31</v>
      </c>
      <c r="D2413" s="2" t="s">
        <v>11</v>
      </c>
      <c r="E2413" s="2" t="s">
        <v>17</v>
      </c>
      <c r="F2413" s="2" t="s">
        <v>42</v>
      </c>
      <c r="G2413" s="2" t="s">
        <v>19</v>
      </c>
      <c r="H2413" s="4">
        <v>53848</v>
      </c>
      <c r="I2413" s="4">
        <v>50700</v>
      </c>
    </row>
    <row r="2414" spans="1:9" x14ac:dyDescent="0.3">
      <c r="A2414" s="2" t="s">
        <v>2446</v>
      </c>
      <c r="B2414" s="3">
        <v>46008</v>
      </c>
      <c r="C2414" s="2" t="s">
        <v>36</v>
      </c>
      <c r="D2414" s="2" t="s">
        <v>11</v>
      </c>
      <c r="E2414" s="2" t="s">
        <v>37</v>
      </c>
      <c r="F2414" s="2" t="s">
        <v>59</v>
      </c>
      <c r="G2414" s="2" t="s">
        <v>14</v>
      </c>
      <c r="H2414" s="4">
        <v>89809</v>
      </c>
      <c r="I2414" s="4">
        <v>85300</v>
      </c>
    </row>
    <row r="2415" spans="1:9" x14ac:dyDescent="0.3">
      <c r="A2415" s="2" t="s">
        <v>2447</v>
      </c>
      <c r="B2415" s="3">
        <v>46008</v>
      </c>
      <c r="C2415" s="2" t="s">
        <v>21</v>
      </c>
      <c r="D2415" s="2" t="s">
        <v>11</v>
      </c>
      <c r="E2415" s="2" t="s">
        <v>22</v>
      </c>
      <c r="F2415" s="2" t="s">
        <v>26</v>
      </c>
      <c r="G2415" s="2" t="s">
        <v>14</v>
      </c>
      <c r="H2415" s="4">
        <v>193461</v>
      </c>
      <c r="I2415" s="4">
        <v>201200</v>
      </c>
    </row>
    <row r="2416" spans="1:9" x14ac:dyDescent="0.3">
      <c r="A2416" s="2" t="s">
        <v>2448</v>
      </c>
      <c r="B2416" s="3">
        <v>46008</v>
      </c>
      <c r="C2416" s="2" t="s">
        <v>25</v>
      </c>
      <c r="D2416" s="2" t="s">
        <v>11</v>
      </c>
      <c r="E2416" s="2" t="s">
        <v>22</v>
      </c>
      <c r="F2416" s="2" t="s">
        <v>39</v>
      </c>
      <c r="G2416" s="2" t="s">
        <v>19</v>
      </c>
      <c r="H2416" s="4">
        <v>92124</v>
      </c>
      <c r="I2416" s="4">
        <v>106100</v>
      </c>
    </row>
    <row r="2417" spans="1:9" x14ac:dyDescent="0.3">
      <c r="A2417" s="2" t="s">
        <v>2449</v>
      </c>
      <c r="B2417" s="3">
        <v>46008</v>
      </c>
      <c r="C2417" s="2" t="s">
        <v>31</v>
      </c>
      <c r="D2417" s="2" t="s">
        <v>11</v>
      </c>
      <c r="E2417" s="2" t="s">
        <v>17</v>
      </c>
      <c r="F2417" s="2" t="s">
        <v>59</v>
      </c>
      <c r="G2417" s="2" t="s">
        <v>14</v>
      </c>
      <c r="H2417" s="4">
        <v>134691</v>
      </c>
      <c r="I2417" s="4">
        <v>113400</v>
      </c>
    </row>
    <row r="2418" spans="1:9" x14ac:dyDescent="0.3">
      <c r="A2418" s="2" t="s">
        <v>2450</v>
      </c>
      <c r="B2418" s="3">
        <v>46008</v>
      </c>
      <c r="C2418" s="2" t="s">
        <v>31</v>
      </c>
      <c r="D2418" s="2" t="s">
        <v>11</v>
      </c>
      <c r="E2418" s="2" t="s">
        <v>17</v>
      </c>
      <c r="F2418" s="2" t="s">
        <v>37</v>
      </c>
      <c r="G2418" s="2" t="s">
        <v>14</v>
      </c>
      <c r="H2418" s="4">
        <v>33581</v>
      </c>
      <c r="I2418" s="4">
        <v>36900</v>
      </c>
    </row>
    <row r="2419" spans="1:9" x14ac:dyDescent="0.3">
      <c r="A2419" s="2" t="s">
        <v>2451</v>
      </c>
      <c r="B2419" s="3">
        <v>46008</v>
      </c>
      <c r="C2419" s="2" t="s">
        <v>55</v>
      </c>
      <c r="D2419" s="2" t="s">
        <v>11</v>
      </c>
      <c r="E2419" s="2" t="s">
        <v>37</v>
      </c>
      <c r="F2419" s="2" t="s">
        <v>33</v>
      </c>
      <c r="G2419" s="2" t="s">
        <v>19</v>
      </c>
      <c r="H2419" s="4">
        <v>94143</v>
      </c>
      <c r="I2419" s="4">
        <v>84700</v>
      </c>
    </row>
    <row r="2420" spans="1:9" x14ac:dyDescent="0.3">
      <c r="A2420" s="2" t="s">
        <v>2452</v>
      </c>
      <c r="B2420" s="3">
        <v>46009</v>
      </c>
      <c r="C2420" s="2" t="s">
        <v>62</v>
      </c>
      <c r="D2420" s="2" t="s">
        <v>11</v>
      </c>
      <c r="E2420" s="2" t="s">
        <v>22</v>
      </c>
      <c r="F2420" s="2" t="s">
        <v>59</v>
      </c>
      <c r="G2420" s="2" t="s">
        <v>14</v>
      </c>
      <c r="H2420" s="4">
        <v>173755</v>
      </c>
      <c r="I2420" s="4">
        <v>175300</v>
      </c>
    </row>
    <row r="2421" spans="1:9" x14ac:dyDescent="0.3">
      <c r="A2421" s="2" t="s">
        <v>2453</v>
      </c>
      <c r="B2421" s="3">
        <v>46009</v>
      </c>
      <c r="C2421" s="2" t="s">
        <v>16</v>
      </c>
      <c r="D2421" s="2" t="s">
        <v>11</v>
      </c>
      <c r="E2421" s="2" t="s">
        <v>17</v>
      </c>
      <c r="F2421" s="2" t="s">
        <v>56</v>
      </c>
      <c r="G2421" s="2" t="s">
        <v>19</v>
      </c>
      <c r="H2421" s="4">
        <v>71724</v>
      </c>
      <c r="I2421" s="4">
        <v>80000</v>
      </c>
    </row>
    <row r="2422" spans="1:9" x14ac:dyDescent="0.3">
      <c r="A2422" s="2" t="s">
        <v>2454</v>
      </c>
      <c r="B2422" s="3">
        <v>46009</v>
      </c>
      <c r="C2422" s="2" t="s">
        <v>21</v>
      </c>
      <c r="D2422" s="2" t="s">
        <v>11</v>
      </c>
      <c r="E2422" s="2" t="s">
        <v>22</v>
      </c>
      <c r="F2422" s="2" t="s">
        <v>33</v>
      </c>
      <c r="G2422" s="2" t="s">
        <v>19</v>
      </c>
      <c r="H2422" s="4">
        <v>118946</v>
      </c>
      <c r="I2422" s="4">
        <v>140700</v>
      </c>
    </row>
    <row r="2423" spans="1:9" x14ac:dyDescent="0.3">
      <c r="A2423" s="2" t="s">
        <v>2455</v>
      </c>
      <c r="B2423" s="3">
        <v>46009</v>
      </c>
      <c r="C2423" s="2" t="s">
        <v>25</v>
      </c>
      <c r="D2423" s="2" t="s">
        <v>11</v>
      </c>
      <c r="E2423" s="2" t="s">
        <v>22</v>
      </c>
      <c r="F2423" s="2" t="s">
        <v>56</v>
      </c>
      <c r="G2423" s="2" t="s">
        <v>19</v>
      </c>
      <c r="H2423" s="4">
        <v>73758</v>
      </c>
      <c r="I2423" s="4">
        <v>73900</v>
      </c>
    </row>
    <row r="2424" spans="1:9" x14ac:dyDescent="0.3">
      <c r="A2424" s="2" t="s">
        <v>2456</v>
      </c>
      <c r="B2424" s="3">
        <v>46009</v>
      </c>
      <c r="C2424" s="2" t="s">
        <v>25</v>
      </c>
      <c r="D2424" s="2" t="s">
        <v>11</v>
      </c>
      <c r="E2424" s="2" t="s">
        <v>22</v>
      </c>
      <c r="F2424" s="2" t="s">
        <v>18</v>
      </c>
      <c r="G2424" s="2" t="s">
        <v>19</v>
      </c>
      <c r="H2424" s="4">
        <v>69630</v>
      </c>
      <c r="I2424" s="4">
        <v>56800</v>
      </c>
    </row>
    <row r="2425" spans="1:9" x14ac:dyDescent="0.3">
      <c r="A2425" s="2" t="s">
        <v>2457</v>
      </c>
      <c r="B2425" s="3">
        <v>46009</v>
      </c>
      <c r="C2425" s="2" t="s">
        <v>31</v>
      </c>
      <c r="D2425" s="2" t="s">
        <v>11</v>
      </c>
      <c r="E2425" s="2" t="s">
        <v>17</v>
      </c>
      <c r="F2425" s="2" t="s">
        <v>18</v>
      </c>
      <c r="G2425" s="2" t="s">
        <v>19</v>
      </c>
      <c r="H2425" s="4">
        <v>90472</v>
      </c>
      <c r="I2425" s="4">
        <v>77200</v>
      </c>
    </row>
    <row r="2426" spans="1:9" x14ac:dyDescent="0.3">
      <c r="A2426" s="2" t="s">
        <v>2458</v>
      </c>
      <c r="B2426" s="3">
        <v>46010</v>
      </c>
      <c r="C2426" s="2" t="s">
        <v>62</v>
      </c>
      <c r="D2426" s="2" t="s">
        <v>11</v>
      </c>
      <c r="E2426" s="2" t="s">
        <v>22</v>
      </c>
      <c r="F2426" s="2" t="s">
        <v>59</v>
      </c>
      <c r="G2426" s="2" t="s">
        <v>14</v>
      </c>
      <c r="H2426" s="4">
        <v>118389</v>
      </c>
      <c r="I2426" s="4">
        <v>123000</v>
      </c>
    </row>
    <row r="2427" spans="1:9" x14ac:dyDescent="0.3">
      <c r="A2427" s="2" t="s">
        <v>2459</v>
      </c>
      <c r="B2427" s="3">
        <v>46010</v>
      </c>
      <c r="C2427" s="2" t="s">
        <v>10</v>
      </c>
      <c r="D2427" s="2" t="s">
        <v>11</v>
      </c>
      <c r="E2427" s="2" t="s">
        <v>12</v>
      </c>
      <c r="F2427" s="2" t="s">
        <v>13</v>
      </c>
      <c r="G2427" s="2" t="s">
        <v>14</v>
      </c>
      <c r="H2427" s="4">
        <v>106187</v>
      </c>
      <c r="I2427" s="4">
        <v>98700</v>
      </c>
    </row>
    <row r="2428" spans="1:9" x14ac:dyDescent="0.3">
      <c r="A2428" s="2" t="s">
        <v>2460</v>
      </c>
      <c r="B2428" s="3">
        <v>46010</v>
      </c>
      <c r="C2428" s="2" t="s">
        <v>16</v>
      </c>
      <c r="D2428" s="2" t="s">
        <v>11</v>
      </c>
      <c r="E2428" s="2" t="s">
        <v>17</v>
      </c>
      <c r="F2428" s="2" t="s">
        <v>37</v>
      </c>
      <c r="G2428" s="2" t="s">
        <v>14</v>
      </c>
      <c r="H2428" s="4">
        <v>141320</v>
      </c>
      <c r="I2428" s="4">
        <v>136800</v>
      </c>
    </row>
    <row r="2429" spans="1:9" x14ac:dyDescent="0.3">
      <c r="A2429" s="2" t="s">
        <v>2461</v>
      </c>
      <c r="B2429" s="3">
        <v>46010</v>
      </c>
      <c r="C2429" s="2" t="s">
        <v>31</v>
      </c>
      <c r="D2429" s="2" t="s">
        <v>11</v>
      </c>
      <c r="E2429" s="2" t="s">
        <v>17</v>
      </c>
      <c r="F2429" s="2" t="s">
        <v>56</v>
      </c>
      <c r="G2429" s="2" t="s">
        <v>19</v>
      </c>
      <c r="H2429" s="4">
        <v>26461</v>
      </c>
      <c r="I2429" s="4">
        <v>29400</v>
      </c>
    </row>
    <row r="2430" spans="1:9" x14ac:dyDescent="0.3">
      <c r="A2430" s="2" t="s">
        <v>2462</v>
      </c>
      <c r="B2430" s="3">
        <v>46010</v>
      </c>
      <c r="C2430" s="2" t="s">
        <v>55</v>
      </c>
      <c r="D2430" s="2" t="s">
        <v>11</v>
      </c>
      <c r="E2430" s="2" t="s">
        <v>37</v>
      </c>
      <c r="F2430" s="2" t="s">
        <v>33</v>
      </c>
      <c r="G2430" s="2" t="s">
        <v>19</v>
      </c>
      <c r="H2430" s="4">
        <v>118945</v>
      </c>
      <c r="I2430" s="4">
        <v>119900</v>
      </c>
    </row>
    <row r="2431" spans="1:9" x14ac:dyDescent="0.3">
      <c r="A2431" s="2" t="s">
        <v>2463</v>
      </c>
      <c r="B2431" s="3">
        <v>46011</v>
      </c>
      <c r="C2431" s="2" t="s">
        <v>62</v>
      </c>
      <c r="D2431" s="2" t="s">
        <v>11</v>
      </c>
      <c r="E2431" s="2" t="s">
        <v>22</v>
      </c>
      <c r="F2431" s="2" t="s">
        <v>37</v>
      </c>
      <c r="G2431" s="2" t="s">
        <v>14</v>
      </c>
      <c r="H2431" s="4">
        <v>189143</v>
      </c>
      <c r="I2431" s="4">
        <v>192900</v>
      </c>
    </row>
    <row r="2432" spans="1:9" x14ac:dyDescent="0.3">
      <c r="A2432" s="2" t="s">
        <v>2464</v>
      </c>
      <c r="B2432" s="3">
        <v>46011</v>
      </c>
      <c r="C2432" s="2" t="s">
        <v>36</v>
      </c>
      <c r="D2432" s="2" t="s">
        <v>11</v>
      </c>
      <c r="E2432" s="2" t="s">
        <v>37</v>
      </c>
      <c r="F2432" s="2" t="s">
        <v>56</v>
      </c>
      <c r="G2432" s="2" t="s">
        <v>19</v>
      </c>
      <c r="H2432" s="4">
        <v>78832</v>
      </c>
      <c r="I2432" s="4">
        <v>70000</v>
      </c>
    </row>
    <row r="2433" spans="1:9" x14ac:dyDescent="0.3">
      <c r="A2433" s="2" t="s">
        <v>2465</v>
      </c>
      <c r="B2433" s="3">
        <v>46011</v>
      </c>
      <c r="C2433" s="2" t="s">
        <v>21</v>
      </c>
      <c r="D2433" s="2" t="s">
        <v>11</v>
      </c>
      <c r="E2433" s="2" t="s">
        <v>22</v>
      </c>
      <c r="F2433" s="2" t="s">
        <v>26</v>
      </c>
      <c r="G2433" s="2" t="s">
        <v>14</v>
      </c>
      <c r="H2433" s="4">
        <v>115442</v>
      </c>
      <c r="I2433" s="4">
        <v>118300</v>
      </c>
    </row>
    <row r="2434" spans="1:9" x14ac:dyDescent="0.3">
      <c r="A2434" s="2" t="s">
        <v>2466</v>
      </c>
      <c r="B2434" s="3">
        <v>46011</v>
      </c>
      <c r="C2434" s="2" t="s">
        <v>25</v>
      </c>
      <c r="D2434" s="2" t="s">
        <v>11</v>
      </c>
      <c r="E2434" s="2" t="s">
        <v>22</v>
      </c>
      <c r="F2434" s="2" t="s">
        <v>18</v>
      </c>
      <c r="G2434" s="2" t="s">
        <v>19</v>
      </c>
      <c r="H2434" s="4">
        <v>40019</v>
      </c>
      <c r="I2434" s="4">
        <v>35000</v>
      </c>
    </row>
    <row r="2435" spans="1:9" x14ac:dyDescent="0.3">
      <c r="A2435" s="2" t="s">
        <v>2467</v>
      </c>
      <c r="B2435" s="3">
        <v>46011</v>
      </c>
      <c r="C2435" s="2" t="s">
        <v>31</v>
      </c>
      <c r="D2435" s="2" t="s">
        <v>11</v>
      </c>
      <c r="E2435" s="2" t="s">
        <v>17</v>
      </c>
      <c r="F2435" s="2" t="s">
        <v>42</v>
      </c>
      <c r="G2435" s="2" t="s">
        <v>19</v>
      </c>
      <c r="H2435" s="4">
        <v>43726</v>
      </c>
      <c r="I2435" s="4">
        <v>41900</v>
      </c>
    </row>
    <row r="2436" spans="1:9" x14ac:dyDescent="0.3">
      <c r="A2436" s="2" t="s">
        <v>2468</v>
      </c>
      <c r="B2436" s="3">
        <v>46012</v>
      </c>
      <c r="C2436" s="2" t="s">
        <v>62</v>
      </c>
      <c r="D2436" s="2" t="s">
        <v>11</v>
      </c>
      <c r="E2436" s="2" t="s">
        <v>22</v>
      </c>
      <c r="F2436" s="2" t="s">
        <v>42</v>
      </c>
      <c r="G2436" s="2" t="s">
        <v>19</v>
      </c>
      <c r="H2436" s="4">
        <v>54623</v>
      </c>
      <c r="I2436" s="4">
        <v>46600</v>
      </c>
    </row>
    <row r="2437" spans="1:9" x14ac:dyDescent="0.3">
      <c r="A2437" s="2" t="s">
        <v>2469</v>
      </c>
      <c r="B2437" s="3">
        <v>46012</v>
      </c>
      <c r="C2437" s="2" t="s">
        <v>10</v>
      </c>
      <c r="D2437" s="2" t="s">
        <v>11</v>
      </c>
      <c r="E2437" s="2" t="s">
        <v>12</v>
      </c>
      <c r="F2437" s="2" t="s">
        <v>26</v>
      </c>
      <c r="G2437" s="2" t="s">
        <v>14</v>
      </c>
      <c r="H2437" s="4">
        <v>31692</v>
      </c>
      <c r="I2437" s="4">
        <v>34200</v>
      </c>
    </row>
    <row r="2438" spans="1:9" x14ac:dyDescent="0.3">
      <c r="A2438" s="2" t="s">
        <v>2470</v>
      </c>
      <c r="B2438" s="3">
        <v>46012</v>
      </c>
      <c r="C2438" s="2" t="s">
        <v>16</v>
      </c>
      <c r="D2438" s="2" t="s">
        <v>11</v>
      </c>
      <c r="E2438" s="2" t="s">
        <v>17</v>
      </c>
      <c r="F2438" s="2" t="s">
        <v>26</v>
      </c>
      <c r="G2438" s="2" t="s">
        <v>14</v>
      </c>
      <c r="H2438" s="4">
        <v>144688</v>
      </c>
      <c r="I2438" s="4">
        <v>153300</v>
      </c>
    </row>
    <row r="2439" spans="1:9" x14ac:dyDescent="0.3">
      <c r="A2439" s="2" t="s">
        <v>2471</v>
      </c>
      <c r="B2439" s="3">
        <v>46012</v>
      </c>
      <c r="C2439" s="2" t="s">
        <v>16</v>
      </c>
      <c r="D2439" s="2" t="s">
        <v>11</v>
      </c>
      <c r="E2439" s="2" t="s">
        <v>17</v>
      </c>
      <c r="F2439" s="2" t="s">
        <v>23</v>
      </c>
      <c r="G2439" s="2" t="s">
        <v>14</v>
      </c>
      <c r="H2439" s="4">
        <v>241006</v>
      </c>
      <c r="I2439" s="4">
        <v>225400</v>
      </c>
    </row>
    <row r="2440" spans="1:9" x14ac:dyDescent="0.3">
      <c r="A2440" s="2" t="s">
        <v>2472</v>
      </c>
      <c r="B2440" s="3">
        <v>46012</v>
      </c>
      <c r="C2440" s="2" t="s">
        <v>21</v>
      </c>
      <c r="D2440" s="2" t="s">
        <v>11</v>
      </c>
      <c r="E2440" s="2" t="s">
        <v>22</v>
      </c>
      <c r="F2440" s="2" t="s">
        <v>26</v>
      </c>
      <c r="G2440" s="2" t="s">
        <v>14</v>
      </c>
      <c r="H2440" s="4">
        <v>194874</v>
      </c>
      <c r="I2440" s="4">
        <v>188900</v>
      </c>
    </row>
    <row r="2441" spans="1:9" x14ac:dyDescent="0.3">
      <c r="A2441" s="2" t="s">
        <v>2473</v>
      </c>
      <c r="B2441" s="3">
        <v>46012</v>
      </c>
      <c r="C2441" s="2" t="s">
        <v>55</v>
      </c>
      <c r="D2441" s="2" t="s">
        <v>11</v>
      </c>
      <c r="E2441" s="2" t="s">
        <v>37</v>
      </c>
      <c r="F2441" s="2" t="s">
        <v>56</v>
      </c>
      <c r="G2441" s="2" t="s">
        <v>19</v>
      </c>
      <c r="H2441" s="4">
        <v>104427</v>
      </c>
      <c r="I2441" s="4">
        <v>114100</v>
      </c>
    </row>
    <row r="2442" spans="1:9" x14ac:dyDescent="0.3">
      <c r="A2442" s="2" t="s">
        <v>2474</v>
      </c>
      <c r="B2442" s="3">
        <v>46012</v>
      </c>
      <c r="C2442" s="2" t="s">
        <v>55</v>
      </c>
      <c r="D2442" s="2" t="s">
        <v>11</v>
      </c>
      <c r="E2442" s="2" t="s">
        <v>37</v>
      </c>
      <c r="F2442" s="2" t="s">
        <v>13</v>
      </c>
      <c r="G2442" s="2" t="s">
        <v>14</v>
      </c>
      <c r="H2442" s="4">
        <v>122835</v>
      </c>
      <c r="I2442" s="4">
        <v>133900</v>
      </c>
    </row>
    <row r="2443" spans="1:9" x14ac:dyDescent="0.3">
      <c r="A2443" s="2" t="s">
        <v>2475</v>
      </c>
      <c r="B2443" s="3">
        <v>46013</v>
      </c>
      <c r="C2443" s="2" t="s">
        <v>21</v>
      </c>
      <c r="D2443" s="2" t="s">
        <v>11</v>
      </c>
      <c r="E2443" s="2" t="s">
        <v>22</v>
      </c>
      <c r="F2443" s="2" t="s">
        <v>33</v>
      </c>
      <c r="G2443" s="2" t="s">
        <v>19</v>
      </c>
      <c r="H2443" s="4">
        <v>73507</v>
      </c>
      <c r="I2443" s="4">
        <v>64900</v>
      </c>
    </row>
    <row r="2444" spans="1:9" x14ac:dyDescent="0.3">
      <c r="A2444" s="2" t="s">
        <v>2476</v>
      </c>
      <c r="B2444" s="3">
        <v>46013</v>
      </c>
      <c r="C2444" s="2" t="s">
        <v>21</v>
      </c>
      <c r="D2444" s="2" t="s">
        <v>11</v>
      </c>
      <c r="E2444" s="2" t="s">
        <v>22</v>
      </c>
      <c r="F2444" s="2" t="s">
        <v>42</v>
      </c>
      <c r="G2444" s="2" t="s">
        <v>19</v>
      </c>
      <c r="H2444" s="4">
        <v>41594</v>
      </c>
      <c r="I2444" s="4">
        <v>41000</v>
      </c>
    </row>
    <row r="2445" spans="1:9" x14ac:dyDescent="0.3">
      <c r="A2445" s="2" t="s">
        <v>2477</v>
      </c>
      <c r="B2445" s="3">
        <v>46013</v>
      </c>
      <c r="C2445" s="2" t="s">
        <v>21</v>
      </c>
      <c r="D2445" s="2" t="s">
        <v>11</v>
      </c>
      <c r="E2445" s="2" t="s">
        <v>22</v>
      </c>
      <c r="F2445" s="2" t="s">
        <v>37</v>
      </c>
      <c r="G2445" s="2" t="s">
        <v>14</v>
      </c>
      <c r="H2445" s="4">
        <v>212451</v>
      </c>
      <c r="I2445" s="4">
        <v>236500</v>
      </c>
    </row>
    <row r="2446" spans="1:9" x14ac:dyDescent="0.3">
      <c r="A2446" s="2" t="s">
        <v>2478</v>
      </c>
      <c r="B2446" s="3">
        <v>46013</v>
      </c>
      <c r="C2446" s="2" t="s">
        <v>25</v>
      </c>
      <c r="D2446" s="2" t="s">
        <v>11</v>
      </c>
      <c r="E2446" s="2" t="s">
        <v>22</v>
      </c>
      <c r="F2446" s="2" t="s">
        <v>13</v>
      </c>
      <c r="G2446" s="2" t="s">
        <v>14</v>
      </c>
      <c r="H2446" s="4">
        <v>118488</v>
      </c>
      <c r="I2446" s="4">
        <v>126000</v>
      </c>
    </row>
    <row r="2447" spans="1:9" x14ac:dyDescent="0.3">
      <c r="A2447" s="2" t="s">
        <v>2479</v>
      </c>
      <c r="B2447" s="3">
        <v>46013</v>
      </c>
      <c r="C2447" s="2" t="s">
        <v>31</v>
      </c>
      <c r="D2447" s="2" t="s">
        <v>11</v>
      </c>
      <c r="E2447" s="2" t="s">
        <v>17</v>
      </c>
      <c r="F2447" s="2" t="s">
        <v>39</v>
      </c>
      <c r="G2447" s="2" t="s">
        <v>19</v>
      </c>
      <c r="H2447" s="4">
        <v>109911</v>
      </c>
      <c r="I2447" s="4">
        <v>118300</v>
      </c>
    </row>
    <row r="2448" spans="1:9" x14ac:dyDescent="0.3">
      <c r="A2448" s="2" t="s">
        <v>2480</v>
      </c>
      <c r="B2448" s="3">
        <v>46013</v>
      </c>
      <c r="C2448" s="2" t="s">
        <v>31</v>
      </c>
      <c r="D2448" s="2" t="s">
        <v>11</v>
      </c>
      <c r="E2448" s="2" t="s">
        <v>17</v>
      </c>
      <c r="F2448" s="2" t="s">
        <v>23</v>
      </c>
      <c r="G2448" s="2" t="s">
        <v>14</v>
      </c>
      <c r="H2448" s="4">
        <v>156418</v>
      </c>
      <c r="I2448" s="4">
        <v>144000</v>
      </c>
    </row>
    <row r="2449" spans="1:9" x14ac:dyDescent="0.3">
      <c r="A2449" s="2" t="s">
        <v>2481</v>
      </c>
      <c r="B2449" s="3">
        <v>46013</v>
      </c>
      <c r="C2449" s="2" t="s">
        <v>55</v>
      </c>
      <c r="D2449" s="2" t="s">
        <v>11</v>
      </c>
      <c r="E2449" s="2" t="s">
        <v>37</v>
      </c>
      <c r="F2449" s="2" t="s">
        <v>42</v>
      </c>
      <c r="G2449" s="2" t="s">
        <v>19</v>
      </c>
      <c r="H2449" s="4">
        <v>60353</v>
      </c>
      <c r="I2449" s="4">
        <v>59400</v>
      </c>
    </row>
    <row r="2450" spans="1:9" x14ac:dyDescent="0.3">
      <c r="A2450" s="2" t="s">
        <v>2482</v>
      </c>
      <c r="B2450" s="3">
        <v>46014</v>
      </c>
      <c r="C2450" s="2" t="s">
        <v>31</v>
      </c>
      <c r="D2450" s="2" t="s">
        <v>11</v>
      </c>
      <c r="E2450" s="2" t="s">
        <v>17</v>
      </c>
      <c r="F2450" s="2" t="s">
        <v>56</v>
      </c>
      <c r="G2450" s="2" t="s">
        <v>19</v>
      </c>
      <c r="H2450" s="4">
        <v>34606</v>
      </c>
      <c r="I2450" s="4">
        <v>34600</v>
      </c>
    </row>
    <row r="2451" spans="1:9" x14ac:dyDescent="0.3">
      <c r="A2451" s="2" t="s">
        <v>2483</v>
      </c>
      <c r="B2451" s="3">
        <v>46015</v>
      </c>
      <c r="C2451" s="2" t="s">
        <v>10</v>
      </c>
      <c r="D2451" s="2" t="s">
        <v>11</v>
      </c>
      <c r="E2451" s="2" t="s">
        <v>12</v>
      </c>
      <c r="F2451" s="2" t="s">
        <v>33</v>
      </c>
      <c r="G2451" s="2" t="s">
        <v>19</v>
      </c>
      <c r="H2451" s="4">
        <v>93266</v>
      </c>
      <c r="I2451" s="4">
        <v>113000</v>
      </c>
    </row>
    <row r="2452" spans="1:9" x14ac:dyDescent="0.3">
      <c r="A2452" s="2" t="s">
        <v>2484</v>
      </c>
      <c r="B2452" s="3">
        <v>46015</v>
      </c>
      <c r="C2452" s="2" t="s">
        <v>16</v>
      </c>
      <c r="D2452" s="2" t="s">
        <v>11</v>
      </c>
      <c r="E2452" s="2" t="s">
        <v>17</v>
      </c>
      <c r="F2452" s="2" t="s">
        <v>37</v>
      </c>
      <c r="G2452" s="2" t="s">
        <v>14</v>
      </c>
      <c r="H2452" s="4">
        <v>77255</v>
      </c>
      <c r="I2452" s="4">
        <v>72900</v>
      </c>
    </row>
    <row r="2453" spans="1:9" x14ac:dyDescent="0.3">
      <c r="A2453" s="2" t="s">
        <v>2485</v>
      </c>
      <c r="B2453" s="3">
        <v>46015</v>
      </c>
      <c r="C2453" s="2" t="s">
        <v>36</v>
      </c>
      <c r="D2453" s="2" t="s">
        <v>11</v>
      </c>
      <c r="E2453" s="2" t="s">
        <v>37</v>
      </c>
      <c r="F2453" s="2" t="s">
        <v>37</v>
      </c>
      <c r="G2453" s="2" t="s">
        <v>14</v>
      </c>
      <c r="H2453" s="4">
        <v>247271</v>
      </c>
      <c r="I2453" s="4">
        <v>247500</v>
      </c>
    </row>
    <row r="2454" spans="1:9" x14ac:dyDescent="0.3">
      <c r="A2454" s="2" t="s">
        <v>2486</v>
      </c>
      <c r="B2454" s="3">
        <v>46015</v>
      </c>
      <c r="C2454" s="2" t="s">
        <v>21</v>
      </c>
      <c r="D2454" s="2" t="s">
        <v>11</v>
      </c>
      <c r="E2454" s="2" t="s">
        <v>22</v>
      </c>
      <c r="F2454" s="2" t="s">
        <v>12</v>
      </c>
      <c r="G2454" s="2" t="s">
        <v>14</v>
      </c>
      <c r="H2454" s="4">
        <v>245271</v>
      </c>
      <c r="I2454" s="4">
        <v>253900</v>
      </c>
    </row>
    <row r="2455" spans="1:9" x14ac:dyDescent="0.3">
      <c r="A2455" s="2" t="s">
        <v>2487</v>
      </c>
      <c r="B2455" s="3">
        <v>46015</v>
      </c>
      <c r="C2455" s="2" t="s">
        <v>55</v>
      </c>
      <c r="D2455" s="2" t="s">
        <v>11</v>
      </c>
      <c r="E2455" s="2" t="s">
        <v>37</v>
      </c>
      <c r="F2455" s="2" t="s">
        <v>39</v>
      </c>
      <c r="G2455" s="2" t="s">
        <v>19</v>
      </c>
      <c r="H2455" s="4">
        <v>57932</v>
      </c>
      <c r="I2455" s="4">
        <v>63000</v>
      </c>
    </row>
    <row r="2456" spans="1:9" x14ac:dyDescent="0.3">
      <c r="A2456" s="2" t="s">
        <v>2488</v>
      </c>
      <c r="B2456" s="3">
        <v>46016</v>
      </c>
      <c r="C2456" s="2" t="s">
        <v>62</v>
      </c>
      <c r="D2456" s="2" t="s">
        <v>11</v>
      </c>
      <c r="E2456" s="2" t="s">
        <v>22</v>
      </c>
      <c r="F2456" s="2" t="s">
        <v>46</v>
      </c>
      <c r="G2456" s="2" t="s">
        <v>19</v>
      </c>
      <c r="H2456" s="4">
        <v>43187</v>
      </c>
      <c r="I2456" s="4">
        <v>45700</v>
      </c>
    </row>
    <row r="2457" spans="1:9" x14ac:dyDescent="0.3">
      <c r="A2457" s="2" t="s">
        <v>2489</v>
      </c>
      <c r="B2457" s="3">
        <v>46016</v>
      </c>
      <c r="C2457" s="2" t="s">
        <v>21</v>
      </c>
      <c r="D2457" s="2" t="s">
        <v>11</v>
      </c>
      <c r="E2457" s="2" t="s">
        <v>22</v>
      </c>
      <c r="F2457" s="2" t="s">
        <v>42</v>
      </c>
      <c r="G2457" s="2" t="s">
        <v>19</v>
      </c>
      <c r="H2457" s="4">
        <v>99046</v>
      </c>
      <c r="I2457" s="4">
        <v>98500</v>
      </c>
    </row>
    <row r="2458" spans="1:9" x14ac:dyDescent="0.3">
      <c r="A2458" s="2" t="s">
        <v>2490</v>
      </c>
      <c r="B2458" s="3">
        <v>46016</v>
      </c>
      <c r="C2458" s="2" t="s">
        <v>25</v>
      </c>
      <c r="D2458" s="2" t="s">
        <v>11</v>
      </c>
      <c r="E2458" s="2" t="s">
        <v>22</v>
      </c>
      <c r="F2458" s="2" t="s">
        <v>26</v>
      </c>
      <c r="G2458" s="2" t="s">
        <v>14</v>
      </c>
      <c r="H2458" s="4">
        <v>113091</v>
      </c>
      <c r="I2458" s="4">
        <v>114300</v>
      </c>
    </row>
    <row r="2459" spans="1:9" x14ac:dyDescent="0.3">
      <c r="A2459" s="2" t="s">
        <v>2491</v>
      </c>
      <c r="B2459" s="3">
        <v>46016</v>
      </c>
      <c r="C2459" s="2" t="s">
        <v>31</v>
      </c>
      <c r="D2459" s="2" t="s">
        <v>11</v>
      </c>
      <c r="E2459" s="2" t="s">
        <v>17</v>
      </c>
      <c r="F2459" s="2" t="s">
        <v>42</v>
      </c>
      <c r="G2459" s="2" t="s">
        <v>19</v>
      </c>
      <c r="H2459" s="4">
        <v>110364</v>
      </c>
      <c r="I2459" s="4">
        <v>113900</v>
      </c>
    </row>
    <row r="2460" spans="1:9" x14ac:dyDescent="0.3">
      <c r="A2460" s="2" t="s">
        <v>2492</v>
      </c>
      <c r="B2460" s="3">
        <v>46017</v>
      </c>
      <c r="C2460" s="2" t="s">
        <v>16</v>
      </c>
      <c r="D2460" s="2" t="s">
        <v>11</v>
      </c>
      <c r="E2460" s="2" t="s">
        <v>17</v>
      </c>
      <c r="F2460" s="2" t="s">
        <v>12</v>
      </c>
      <c r="G2460" s="2" t="s">
        <v>14</v>
      </c>
      <c r="H2460" s="4">
        <v>25245</v>
      </c>
      <c r="I2460" s="4">
        <v>28800</v>
      </c>
    </row>
    <row r="2461" spans="1:9" x14ac:dyDescent="0.3">
      <c r="A2461" s="2" t="s">
        <v>2493</v>
      </c>
      <c r="B2461" s="3">
        <v>46017</v>
      </c>
      <c r="C2461" s="2" t="s">
        <v>16</v>
      </c>
      <c r="D2461" s="2" t="s">
        <v>11</v>
      </c>
      <c r="E2461" s="2" t="s">
        <v>17</v>
      </c>
      <c r="F2461" s="2" t="s">
        <v>12</v>
      </c>
      <c r="G2461" s="2" t="s">
        <v>14</v>
      </c>
      <c r="H2461" s="4">
        <v>146420</v>
      </c>
      <c r="I2461" s="4">
        <v>150200</v>
      </c>
    </row>
    <row r="2462" spans="1:9" x14ac:dyDescent="0.3">
      <c r="A2462" s="2" t="s">
        <v>2494</v>
      </c>
      <c r="B2462" s="3">
        <v>46017</v>
      </c>
      <c r="C2462" s="2" t="s">
        <v>21</v>
      </c>
      <c r="D2462" s="2" t="s">
        <v>11</v>
      </c>
      <c r="E2462" s="2" t="s">
        <v>22</v>
      </c>
      <c r="F2462" s="2" t="s">
        <v>42</v>
      </c>
      <c r="G2462" s="2" t="s">
        <v>19</v>
      </c>
      <c r="H2462" s="4">
        <v>107280</v>
      </c>
      <c r="I2462" s="4">
        <v>110200</v>
      </c>
    </row>
    <row r="2463" spans="1:9" x14ac:dyDescent="0.3">
      <c r="A2463" s="2" t="s">
        <v>2495</v>
      </c>
      <c r="B2463" s="3">
        <v>46018</v>
      </c>
      <c r="C2463" s="2" t="s">
        <v>62</v>
      </c>
      <c r="D2463" s="2" t="s">
        <v>11</v>
      </c>
      <c r="E2463" s="2" t="s">
        <v>22</v>
      </c>
      <c r="F2463" s="2" t="s">
        <v>12</v>
      </c>
      <c r="G2463" s="2" t="s">
        <v>14</v>
      </c>
      <c r="H2463" s="4">
        <v>117797</v>
      </c>
      <c r="I2463" s="4">
        <v>109200</v>
      </c>
    </row>
    <row r="2464" spans="1:9" x14ac:dyDescent="0.3">
      <c r="A2464" s="2" t="s">
        <v>2496</v>
      </c>
      <c r="B2464" s="3">
        <v>46018</v>
      </c>
      <c r="C2464" s="2" t="s">
        <v>62</v>
      </c>
      <c r="D2464" s="2" t="s">
        <v>11</v>
      </c>
      <c r="E2464" s="2" t="s">
        <v>22</v>
      </c>
      <c r="F2464" s="2" t="s">
        <v>12</v>
      </c>
      <c r="G2464" s="2" t="s">
        <v>14</v>
      </c>
      <c r="H2464" s="4">
        <v>137642</v>
      </c>
      <c r="I2464" s="4">
        <v>146000</v>
      </c>
    </row>
    <row r="2465" spans="1:9" x14ac:dyDescent="0.3">
      <c r="A2465" s="2" t="s">
        <v>2497</v>
      </c>
      <c r="B2465" s="3">
        <v>46018</v>
      </c>
      <c r="C2465" s="2" t="s">
        <v>16</v>
      </c>
      <c r="D2465" s="2" t="s">
        <v>11</v>
      </c>
      <c r="E2465" s="2" t="s">
        <v>17</v>
      </c>
      <c r="F2465" s="2" t="s">
        <v>42</v>
      </c>
      <c r="G2465" s="2" t="s">
        <v>19</v>
      </c>
      <c r="H2465" s="4">
        <v>50809</v>
      </c>
      <c r="I2465" s="4">
        <v>49300</v>
      </c>
    </row>
    <row r="2466" spans="1:9" x14ac:dyDescent="0.3">
      <c r="A2466" s="2" t="s">
        <v>2498</v>
      </c>
      <c r="B2466" s="3">
        <v>46018</v>
      </c>
      <c r="C2466" s="2" t="s">
        <v>36</v>
      </c>
      <c r="D2466" s="2" t="s">
        <v>11</v>
      </c>
      <c r="E2466" s="2" t="s">
        <v>37</v>
      </c>
      <c r="F2466" s="2" t="s">
        <v>42</v>
      </c>
      <c r="G2466" s="2" t="s">
        <v>19</v>
      </c>
      <c r="H2466" s="4">
        <v>36277</v>
      </c>
      <c r="I2466" s="4">
        <v>31600</v>
      </c>
    </row>
    <row r="2467" spans="1:9" x14ac:dyDescent="0.3">
      <c r="A2467" s="2" t="s">
        <v>2499</v>
      </c>
      <c r="B2467" s="3">
        <v>46018</v>
      </c>
      <c r="C2467" s="2" t="s">
        <v>25</v>
      </c>
      <c r="D2467" s="2" t="s">
        <v>11</v>
      </c>
      <c r="E2467" s="2" t="s">
        <v>22</v>
      </c>
      <c r="F2467" s="2" t="s">
        <v>56</v>
      </c>
      <c r="G2467" s="2" t="s">
        <v>19</v>
      </c>
      <c r="H2467" s="4">
        <v>53412</v>
      </c>
      <c r="I2467" s="4">
        <v>51100</v>
      </c>
    </row>
    <row r="2468" spans="1:9" x14ac:dyDescent="0.3">
      <c r="A2468" s="2" t="s">
        <v>2500</v>
      </c>
      <c r="B2468" s="3">
        <v>46018</v>
      </c>
      <c r="C2468" s="2" t="s">
        <v>31</v>
      </c>
      <c r="D2468" s="2" t="s">
        <v>11</v>
      </c>
      <c r="E2468" s="2" t="s">
        <v>17</v>
      </c>
      <c r="F2468" s="2" t="s">
        <v>33</v>
      </c>
      <c r="G2468" s="2" t="s">
        <v>19</v>
      </c>
      <c r="H2468" s="4">
        <v>30110</v>
      </c>
      <c r="I2468" s="4">
        <v>35600</v>
      </c>
    </row>
    <row r="2469" spans="1:9" x14ac:dyDescent="0.3">
      <c r="A2469" s="2" t="s">
        <v>2501</v>
      </c>
      <c r="B2469" s="3">
        <v>46018</v>
      </c>
      <c r="C2469" s="2" t="s">
        <v>31</v>
      </c>
      <c r="D2469" s="2" t="s">
        <v>11</v>
      </c>
      <c r="E2469" s="2" t="s">
        <v>17</v>
      </c>
      <c r="F2469" s="2" t="s">
        <v>39</v>
      </c>
      <c r="G2469" s="2" t="s">
        <v>19</v>
      </c>
      <c r="H2469" s="4">
        <v>87496</v>
      </c>
      <c r="I2469" s="4">
        <v>94200</v>
      </c>
    </row>
    <row r="2470" spans="1:9" x14ac:dyDescent="0.3">
      <c r="A2470" s="2" t="s">
        <v>2502</v>
      </c>
      <c r="B2470" s="3">
        <v>46018</v>
      </c>
      <c r="C2470" s="2" t="s">
        <v>55</v>
      </c>
      <c r="D2470" s="2" t="s">
        <v>11</v>
      </c>
      <c r="E2470" s="2" t="s">
        <v>37</v>
      </c>
      <c r="F2470" s="2" t="s">
        <v>42</v>
      </c>
      <c r="G2470" s="2" t="s">
        <v>19</v>
      </c>
      <c r="H2470" s="4">
        <v>116186</v>
      </c>
      <c r="I2470" s="4">
        <v>99800</v>
      </c>
    </row>
    <row r="2471" spans="1:9" x14ac:dyDescent="0.3">
      <c r="A2471" s="2" t="s">
        <v>2503</v>
      </c>
      <c r="B2471" s="3">
        <v>46019</v>
      </c>
      <c r="C2471" s="2" t="s">
        <v>10</v>
      </c>
      <c r="D2471" s="2" t="s">
        <v>11</v>
      </c>
      <c r="E2471" s="2" t="s">
        <v>12</v>
      </c>
      <c r="F2471" s="2" t="s">
        <v>37</v>
      </c>
      <c r="G2471" s="2" t="s">
        <v>14</v>
      </c>
      <c r="H2471" s="4">
        <v>147391</v>
      </c>
      <c r="I2471" s="4">
        <v>162700</v>
      </c>
    </row>
    <row r="2472" spans="1:9" x14ac:dyDescent="0.3">
      <c r="A2472" s="2" t="s">
        <v>2504</v>
      </c>
      <c r="B2472" s="3">
        <v>46019</v>
      </c>
      <c r="C2472" s="2" t="s">
        <v>16</v>
      </c>
      <c r="D2472" s="2" t="s">
        <v>11</v>
      </c>
      <c r="E2472" s="2" t="s">
        <v>17</v>
      </c>
      <c r="F2472" s="2" t="s">
        <v>46</v>
      </c>
      <c r="G2472" s="2" t="s">
        <v>19</v>
      </c>
      <c r="H2472" s="4">
        <v>86673</v>
      </c>
      <c r="I2472" s="4">
        <v>101300</v>
      </c>
    </row>
    <row r="2473" spans="1:9" x14ac:dyDescent="0.3">
      <c r="A2473" s="2" t="s">
        <v>2505</v>
      </c>
      <c r="B2473" s="3">
        <v>46019</v>
      </c>
      <c r="C2473" s="2" t="s">
        <v>16</v>
      </c>
      <c r="D2473" s="2" t="s">
        <v>11</v>
      </c>
      <c r="E2473" s="2" t="s">
        <v>17</v>
      </c>
      <c r="F2473" s="2" t="s">
        <v>18</v>
      </c>
      <c r="G2473" s="2" t="s">
        <v>19</v>
      </c>
      <c r="H2473" s="4">
        <v>42301</v>
      </c>
      <c r="I2473" s="4">
        <v>35800</v>
      </c>
    </row>
    <row r="2474" spans="1:9" x14ac:dyDescent="0.3">
      <c r="A2474" s="2" t="s">
        <v>2506</v>
      </c>
      <c r="B2474" s="3">
        <v>46019</v>
      </c>
      <c r="C2474" s="2" t="s">
        <v>16</v>
      </c>
      <c r="D2474" s="2" t="s">
        <v>11</v>
      </c>
      <c r="E2474" s="2" t="s">
        <v>17</v>
      </c>
      <c r="F2474" s="2" t="s">
        <v>23</v>
      </c>
      <c r="G2474" s="2" t="s">
        <v>14</v>
      </c>
      <c r="H2474" s="4">
        <v>50578</v>
      </c>
      <c r="I2474" s="4">
        <v>52500</v>
      </c>
    </row>
    <row r="2475" spans="1:9" x14ac:dyDescent="0.3">
      <c r="A2475" s="2" t="s">
        <v>2507</v>
      </c>
      <c r="B2475" s="3">
        <v>46019</v>
      </c>
      <c r="C2475" s="2" t="s">
        <v>36</v>
      </c>
      <c r="D2475" s="2" t="s">
        <v>11</v>
      </c>
      <c r="E2475" s="2" t="s">
        <v>37</v>
      </c>
      <c r="F2475" s="2" t="s">
        <v>26</v>
      </c>
      <c r="G2475" s="2" t="s">
        <v>14</v>
      </c>
      <c r="H2475" s="4">
        <v>211949</v>
      </c>
      <c r="I2475" s="4">
        <v>200600</v>
      </c>
    </row>
    <row r="2476" spans="1:9" x14ac:dyDescent="0.3">
      <c r="A2476" s="2" t="s">
        <v>2508</v>
      </c>
      <c r="B2476" s="3">
        <v>46019</v>
      </c>
      <c r="C2476" s="2" t="s">
        <v>21</v>
      </c>
      <c r="D2476" s="2" t="s">
        <v>11</v>
      </c>
      <c r="E2476" s="2" t="s">
        <v>22</v>
      </c>
      <c r="F2476" s="2" t="s">
        <v>42</v>
      </c>
      <c r="G2476" s="2" t="s">
        <v>19</v>
      </c>
      <c r="H2476" s="4">
        <v>74946</v>
      </c>
      <c r="I2476" s="4">
        <v>75500</v>
      </c>
    </row>
    <row r="2477" spans="1:9" x14ac:dyDescent="0.3">
      <c r="A2477" s="2" t="s">
        <v>2509</v>
      </c>
      <c r="B2477" s="3">
        <v>46019</v>
      </c>
      <c r="C2477" s="2" t="s">
        <v>21</v>
      </c>
      <c r="D2477" s="2" t="s">
        <v>11</v>
      </c>
      <c r="E2477" s="2" t="s">
        <v>22</v>
      </c>
      <c r="F2477" s="2" t="s">
        <v>13</v>
      </c>
      <c r="G2477" s="2" t="s">
        <v>14</v>
      </c>
      <c r="H2477" s="4">
        <v>153103</v>
      </c>
      <c r="I2477" s="4">
        <v>137200</v>
      </c>
    </row>
    <row r="2478" spans="1:9" x14ac:dyDescent="0.3">
      <c r="A2478" s="2" t="s">
        <v>2510</v>
      </c>
      <c r="B2478" s="3">
        <v>46019</v>
      </c>
      <c r="C2478" s="2" t="s">
        <v>25</v>
      </c>
      <c r="D2478" s="2" t="s">
        <v>11</v>
      </c>
      <c r="E2478" s="2" t="s">
        <v>22</v>
      </c>
      <c r="F2478" s="2" t="s">
        <v>59</v>
      </c>
      <c r="G2478" s="2" t="s">
        <v>14</v>
      </c>
      <c r="H2478" s="4">
        <v>72227</v>
      </c>
      <c r="I2478" s="4">
        <v>66500</v>
      </c>
    </row>
    <row r="2479" spans="1:9" x14ac:dyDescent="0.3">
      <c r="A2479" s="2" t="s">
        <v>2511</v>
      </c>
      <c r="B2479" s="3">
        <v>46019</v>
      </c>
      <c r="C2479" s="2" t="s">
        <v>31</v>
      </c>
      <c r="D2479" s="2" t="s">
        <v>11</v>
      </c>
      <c r="E2479" s="2" t="s">
        <v>17</v>
      </c>
      <c r="F2479" s="2" t="s">
        <v>46</v>
      </c>
      <c r="G2479" s="2" t="s">
        <v>19</v>
      </c>
      <c r="H2479" s="4">
        <v>17699</v>
      </c>
      <c r="I2479" s="4">
        <v>16600</v>
      </c>
    </row>
    <row r="2480" spans="1:9" x14ac:dyDescent="0.3">
      <c r="A2480" s="2" t="s">
        <v>2512</v>
      </c>
      <c r="B2480" s="3">
        <v>46019</v>
      </c>
      <c r="C2480" s="2" t="s">
        <v>31</v>
      </c>
      <c r="D2480" s="2" t="s">
        <v>11</v>
      </c>
      <c r="E2480" s="2" t="s">
        <v>17</v>
      </c>
      <c r="F2480" s="2" t="s">
        <v>42</v>
      </c>
      <c r="G2480" s="2" t="s">
        <v>19</v>
      </c>
      <c r="H2480" s="4">
        <v>78762</v>
      </c>
      <c r="I2480" s="4">
        <v>77600</v>
      </c>
    </row>
    <row r="2481" spans="1:9" x14ac:dyDescent="0.3">
      <c r="A2481" s="2" t="s">
        <v>2513</v>
      </c>
      <c r="B2481" s="3">
        <v>46019</v>
      </c>
      <c r="C2481" s="2" t="s">
        <v>55</v>
      </c>
      <c r="D2481" s="2" t="s">
        <v>11</v>
      </c>
      <c r="E2481" s="2" t="s">
        <v>37</v>
      </c>
      <c r="F2481" s="2" t="s">
        <v>56</v>
      </c>
      <c r="G2481" s="2" t="s">
        <v>19</v>
      </c>
      <c r="H2481" s="4">
        <v>33368</v>
      </c>
      <c r="I2481" s="4">
        <v>32700</v>
      </c>
    </row>
    <row r="2482" spans="1:9" x14ac:dyDescent="0.3">
      <c r="A2482" s="2" t="s">
        <v>2514</v>
      </c>
      <c r="B2482" s="3">
        <v>46020</v>
      </c>
      <c r="C2482" s="2" t="s">
        <v>62</v>
      </c>
      <c r="D2482" s="2" t="s">
        <v>11</v>
      </c>
      <c r="E2482" s="2" t="s">
        <v>22</v>
      </c>
      <c r="F2482" s="2" t="s">
        <v>18</v>
      </c>
      <c r="G2482" s="2" t="s">
        <v>19</v>
      </c>
      <c r="H2482" s="4">
        <v>17816</v>
      </c>
      <c r="I2482" s="4">
        <v>15000</v>
      </c>
    </row>
    <row r="2483" spans="1:9" x14ac:dyDescent="0.3">
      <c r="A2483" s="2" t="s">
        <v>2515</v>
      </c>
      <c r="B2483" s="3">
        <v>46020</v>
      </c>
      <c r="C2483" s="2" t="s">
        <v>10</v>
      </c>
      <c r="D2483" s="2" t="s">
        <v>11</v>
      </c>
      <c r="E2483" s="2" t="s">
        <v>12</v>
      </c>
      <c r="F2483" s="2" t="s">
        <v>39</v>
      </c>
      <c r="G2483" s="2" t="s">
        <v>19</v>
      </c>
      <c r="H2483" s="4">
        <v>96994</v>
      </c>
      <c r="I2483" s="4">
        <v>114000</v>
      </c>
    </row>
    <row r="2484" spans="1:9" x14ac:dyDescent="0.3">
      <c r="A2484" s="2" t="s">
        <v>2516</v>
      </c>
      <c r="B2484" s="3">
        <v>46020</v>
      </c>
      <c r="C2484" s="2" t="s">
        <v>36</v>
      </c>
      <c r="D2484" s="2" t="s">
        <v>11</v>
      </c>
      <c r="E2484" s="2" t="s">
        <v>37</v>
      </c>
      <c r="F2484" s="2" t="s">
        <v>33</v>
      </c>
      <c r="G2484" s="2" t="s">
        <v>19</v>
      </c>
      <c r="H2484" s="4">
        <v>54671</v>
      </c>
      <c r="I2484" s="4">
        <v>54500</v>
      </c>
    </row>
    <row r="2485" spans="1:9" x14ac:dyDescent="0.3">
      <c r="A2485" s="2" t="s">
        <v>2517</v>
      </c>
      <c r="B2485" s="3">
        <v>46020</v>
      </c>
      <c r="C2485" s="2" t="s">
        <v>25</v>
      </c>
      <c r="D2485" s="2" t="s">
        <v>11</v>
      </c>
      <c r="E2485" s="2" t="s">
        <v>22</v>
      </c>
      <c r="F2485" s="2" t="s">
        <v>12</v>
      </c>
      <c r="G2485" s="2" t="s">
        <v>14</v>
      </c>
      <c r="H2485" s="4">
        <v>136526</v>
      </c>
      <c r="I2485" s="4">
        <v>150500</v>
      </c>
    </row>
    <row r="2486" spans="1:9" x14ac:dyDescent="0.3">
      <c r="A2486" s="2" t="s">
        <v>2518</v>
      </c>
      <c r="B2486" s="3">
        <v>46020</v>
      </c>
      <c r="C2486" s="2" t="s">
        <v>55</v>
      </c>
      <c r="D2486" s="2" t="s">
        <v>11</v>
      </c>
      <c r="E2486" s="2" t="s">
        <v>37</v>
      </c>
      <c r="F2486" s="2" t="s">
        <v>39</v>
      </c>
      <c r="G2486" s="2" t="s">
        <v>19</v>
      </c>
      <c r="H2486" s="4">
        <v>70310</v>
      </c>
      <c r="I2486" s="4">
        <v>66800</v>
      </c>
    </row>
    <row r="2487" spans="1:9" x14ac:dyDescent="0.3">
      <c r="A2487" s="2" t="s">
        <v>2519</v>
      </c>
      <c r="B2487" s="3">
        <v>46020</v>
      </c>
      <c r="C2487" s="2" t="s">
        <v>55</v>
      </c>
      <c r="D2487" s="2" t="s">
        <v>11</v>
      </c>
      <c r="E2487" s="2" t="s">
        <v>37</v>
      </c>
      <c r="F2487" s="2" t="s">
        <v>46</v>
      </c>
      <c r="G2487" s="2" t="s">
        <v>19</v>
      </c>
      <c r="H2487" s="4">
        <v>64096</v>
      </c>
      <c r="I2487" s="4">
        <v>67100</v>
      </c>
    </row>
    <row r="2488" spans="1:9" x14ac:dyDescent="0.3">
      <c r="A2488" s="2" t="s">
        <v>2520</v>
      </c>
      <c r="B2488" s="3">
        <v>46020</v>
      </c>
      <c r="C2488" s="2" t="s">
        <v>55</v>
      </c>
      <c r="D2488" s="2" t="s">
        <v>11</v>
      </c>
      <c r="E2488" s="2" t="s">
        <v>37</v>
      </c>
      <c r="F2488" s="2" t="s">
        <v>23</v>
      </c>
      <c r="G2488" s="2" t="s">
        <v>14</v>
      </c>
      <c r="H2488" s="4">
        <v>30395</v>
      </c>
      <c r="I2488" s="4">
        <v>27300</v>
      </c>
    </row>
    <row r="2489" spans="1:9" x14ac:dyDescent="0.3">
      <c r="A2489" s="2" t="s">
        <v>2521</v>
      </c>
      <c r="B2489" s="3">
        <v>46020</v>
      </c>
      <c r="C2489" s="2" t="s">
        <v>55</v>
      </c>
      <c r="D2489" s="2" t="s">
        <v>11</v>
      </c>
      <c r="E2489" s="2" t="s">
        <v>37</v>
      </c>
      <c r="F2489" s="2" t="s">
        <v>23</v>
      </c>
      <c r="G2489" s="2" t="s">
        <v>14</v>
      </c>
      <c r="H2489" s="4">
        <v>209451</v>
      </c>
      <c r="I2489" s="4">
        <v>230200</v>
      </c>
    </row>
    <row r="2490" spans="1:9" x14ac:dyDescent="0.3">
      <c r="A2490" s="2" t="s">
        <v>2522</v>
      </c>
      <c r="B2490" s="3">
        <v>46021</v>
      </c>
      <c r="C2490" s="2" t="s">
        <v>21</v>
      </c>
      <c r="D2490" s="2" t="s">
        <v>11</v>
      </c>
      <c r="E2490" s="2" t="s">
        <v>22</v>
      </c>
      <c r="F2490" s="2" t="s">
        <v>39</v>
      </c>
      <c r="G2490" s="2" t="s">
        <v>19</v>
      </c>
      <c r="H2490" s="4">
        <v>42605</v>
      </c>
      <c r="I2490" s="4">
        <v>41100</v>
      </c>
    </row>
    <row r="2491" spans="1:9" x14ac:dyDescent="0.3">
      <c r="A2491" s="2" t="s">
        <v>2523</v>
      </c>
      <c r="B2491" s="3">
        <v>46021</v>
      </c>
      <c r="C2491" s="2" t="s">
        <v>25</v>
      </c>
      <c r="D2491" s="2" t="s">
        <v>11</v>
      </c>
      <c r="E2491" s="2" t="s">
        <v>22</v>
      </c>
      <c r="F2491" s="2" t="s">
        <v>13</v>
      </c>
      <c r="G2491" s="2" t="s">
        <v>14</v>
      </c>
      <c r="H2491" s="4">
        <v>164949</v>
      </c>
      <c r="I2491" s="4">
        <v>150300</v>
      </c>
    </row>
    <row r="2492" spans="1:9" x14ac:dyDescent="0.3">
      <c r="A2492" s="2" t="s">
        <v>2524</v>
      </c>
      <c r="B2492" s="3">
        <v>46021</v>
      </c>
      <c r="C2492" s="2" t="s">
        <v>25</v>
      </c>
      <c r="D2492" s="2" t="s">
        <v>11</v>
      </c>
      <c r="E2492" s="2" t="s">
        <v>22</v>
      </c>
      <c r="F2492" s="2" t="s">
        <v>12</v>
      </c>
      <c r="G2492" s="2" t="s">
        <v>14</v>
      </c>
      <c r="H2492" s="4">
        <v>244751</v>
      </c>
      <c r="I2492" s="4">
        <v>244200</v>
      </c>
    </row>
    <row r="2493" spans="1:9" x14ac:dyDescent="0.3">
      <c r="A2493" s="2" t="s">
        <v>2525</v>
      </c>
      <c r="B2493" s="3">
        <v>46021</v>
      </c>
      <c r="C2493" s="2" t="s">
        <v>55</v>
      </c>
      <c r="D2493" s="2" t="s">
        <v>11</v>
      </c>
      <c r="E2493" s="2" t="s">
        <v>37</v>
      </c>
      <c r="F2493" s="2" t="s">
        <v>12</v>
      </c>
      <c r="G2493" s="2" t="s">
        <v>14</v>
      </c>
      <c r="H2493" s="4">
        <v>174105</v>
      </c>
      <c r="I2493" s="4">
        <v>180600</v>
      </c>
    </row>
    <row r="2494" spans="1:9" x14ac:dyDescent="0.3">
      <c r="A2494" s="2" t="s">
        <v>2526</v>
      </c>
      <c r="B2494" s="3">
        <v>46022</v>
      </c>
      <c r="C2494" s="2" t="s">
        <v>62</v>
      </c>
      <c r="D2494" s="2" t="s">
        <v>11</v>
      </c>
      <c r="E2494" s="2" t="s">
        <v>22</v>
      </c>
      <c r="F2494" s="2" t="s">
        <v>18</v>
      </c>
      <c r="G2494" s="2" t="s">
        <v>19</v>
      </c>
      <c r="H2494" s="4">
        <v>33073</v>
      </c>
      <c r="I2494" s="4">
        <v>34800</v>
      </c>
    </row>
    <row r="2495" spans="1:9" x14ac:dyDescent="0.3">
      <c r="A2495" s="2" t="s">
        <v>2527</v>
      </c>
      <c r="B2495" s="3">
        <v>46022</v>
      </c>
      <c r="C2495" s="2" t="s">
        <v>10</v>
      </c>
      <c r="D2495" s="2" t="s">
        <v>11</v>
      </c>
      <c r="E2495" s="2" t="s">
        <v>12</v>
      </c>
      <c r="F2495" s="2" t="s">
        <v>26</v>
      </c>
      <c r="G2495" s="2" t="s">
        <v>14</v>
      </c>
      <c r="H2495" s="4">
        <v>100462</v>
      </c>
      <c r="I2495" s="4">
        <v>102900</v>
      </c>
    </row>
    <row r="2496" spans="1:9" x14ac:dyDescent="0.3">
      <c r="A2496" s="2" t="s">
        <v>2528</v>
      </c>
      <c r="B2496" s="3">
        <v>46022</v>
      </c>
      <c r="C2496" s="2" t="s">
        <v>10</v>
      </c>
      <c r="D2496" s="2" t="s">
        <v>11</v>
      </c>
      <c r="E2496" s="2" t="s">
        <v>12</v>
      </c>
      <c r="F2496" s="2" t="s">
        <v>23</v>
      </c>
      <c r="G2496" s="2" t="s">
        <v>14</v>
      </c>
      <c r="H2496" s="4">
        <v>148993</v>
      </c>
      <c r="I2496" s="4">
        <v>167900</v>
      </c>
    </row>
    <row r="2497" spans="1:9" x14ac:dyDescent="0.3">
      <c r="A2497" s="2" t="s">
        <v>2529</v>
      </c>
      <c r="B2497" s="3">
        <v>46022</v>
      </c>
      <c r="C2497" s="2" t="s">
        <v>16</v>
      </c>
      <c r="D2497" s="2" t="s">
        <v>11</v>
      </c>
      <c r="E2497" s="2" t="s">
        <v>17</v>
      </c>
      <c r="F2497" s="2" t="s">
        <v>33</v>
      </c>
      <c r="G2497" s="2" t="s">
        <v>19</v>
      </c>
      <c r="H2497" s="4">
        <v>27225</v>
      </c>
      <c r="I2497" s="4">
        <v>27300</v>
      </c>
    </row>
    <row r="2498" spans="1:9" x14ac:dyDescent="0.3">
      <c r="A2498" s="2" t="s">
        <v>2530</v>
      </c>
      <c r="B2498" s="3">
        <v>46022</v>
      </c>
      <c r="C2498" s="2" t="s">
        <v>16</v>
      </c>
      <c r="D2498" s="2" t="s">
        <v>11</v>
      </c>
      <c r="E2498" s="2" t="s">
        <v>17</v>
      </c>
      <c r="F2498" s="2" t="s">
        <v>42</v>
      </c>
      <c r="G2498" s="2" t="s">
        <v>19</v>
      </c>
      <c r="H2498" s="4">
        <v>89829</v>
      </c>
      <c r="I2498" s="4">
        <v>78100</v>
      </c>
    </row>
    <row r="2499" spans="1:9" x14ac:dyDescent="0.3">
      <c r="A2499" s="2" t="s">
        <v>2531</v>
      </c>
      <c r="B2499" s="3">
        <v>46022</v>
      </c>
      <c r="C2499" s="2" t="s">
        <v>16</v>
      </c>
      <c r="D2499" s="2" t="s">
        <v>11</v>
      </c>
      <c r="E2499" s="2" t="s">
        <v>17</v>
      </c>
      <c r="F2499" s="2" t="s">
        <v>56</v>
      </c>
      <c r="G2499" s="2" t="s">
        <v>19</v>
      </c>
      <c r="H2499" s="4">
        <v>95466</v>
      </c>
      <c r="I2499" s="4">
        <v>87100</v>
      </c>
    </row>
    <row r="2500" spans="1:9" x14ac:dyDescent="0.3">
      <c r="A2500" s="2" t="s">
        <v>2532</v>
      </c>
      <c r="B2500" s="3">
        <v>46022</v>
      </c>
      <c r="C2500" s="2" t="s">
        <v>31</v>
      </c>
      <c r="D2500" s="2" t="s">
        <v>11</v>
      </c>
      <c r="E2500" s="2" t="s">
        <v>17</v>
      </c>
      <c r="F2500" s="2" t="s">
        <v>33</v>
      </c>
      <c r="G2500" s="2" t="s">
        <v>19</v>
      </c>
      <c r="H2500" s="4">
        <v>82375</v>
      </c>
      <c r="I2500" s="4">
        <v>87700</v>
      </c>
    </row>
    <row r="2501" spans="1:9" x14ac:dyDescent="0.3">
      <c r="A2501" s="2" t="s">
        <v>2533</v>
      </c>
      <c r="B2501" s="3">
        <v>46022</v>
      </c>
      <c r="C2501" s="2" t="s">
        <v>31</v>
      </c>
      <c r="D2501" s="2" t="s">
        <v>11</v>
      </c>
      <c r="E2501" s="2" t="s">
        <v>17</v>
      </c>
      <c r="F2501" s="2" t="s">
        <v>37</v>
      </c>
      <c r="G2501" s="2" t="s">
        <v>14</v>
      </c>
      <c r="H2501" s="4">
        <v>129402</v>
      </c>
      <c r="I2501" s="4">
        <v>141300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7ED7F-C24C-465A-B7FE-69DE3CBD8729}">
  <sheetPr codeName="Sheet3"/>
  <dimension ref="A1:K16"/>
  <sheetViews>
    <sheetView showGridLines="0" workbookViewId="0">
      <selection activeCell="B22" sqref="B22"/>
    </sheetView>
  </sheetViews>
  <sheetFormatPr defaultRowHeight="14.4" x14ac:dyDescent="0.3"/>
  <cols>
    <col min="1" max="1" width="42.77734375" bestFit="1" customWidth="1"/>
    <col min="2" max="2" width="13.88671875" bestFit="1" customWidth="1"/>
    <col min="3" max="3" width="13.33203125" bestFit="1" customWidth="1"/>
    <col min="4" max="4" width="15.21875" bestFit="1" customWidth="1"/>
    <col min="5" max="5" width="7.6640625" bestFit="1" customWidth="1"/>
    <col min="6" max="6" width="18.77734375" bestFit="1" customWidth="1"/>
    <col min="7" max="7" width="13.6640625" bestFit="1" customWidth="1"/>
    <col min="8" max="8" width="13.109375" bestFit="1" customWidth="1"/>
    <col min="9" max="9" width="14.88671875" bestFit="1" customWidth="1"/>
    <col min="10" max="10" width="7.6640625" bestFit="1" customWidth="1"/>
    <col min="11" max="11" width="18.77734375" bestFit="1" customWidth="1"/>
  </cols>
  <sheetData>
    <row r="1" spans="1:11" ht="18.600000000000001" thickBot="1" x14ac:dyDescent="0.4">
      <c r="A1" s="13" t="s">
        <v>2564</v>
      </c>
      <c r="B1" s="13"/>
      <c r="C1" s="13"/>
      <c r="D1" s="13"/>
      <c r="E1" s="13"/>
      <c r="F1" s="13"/>
      <c r="G1" s="13"/>
      <c r="H1" s="13"/>
      <c r="I1" s="13"/>
      <c r="J1" s="13"/>
      <c r="K1" s="16"/>
    </row>
    <row r="2" spans="1:11" ht="15" thickTop="1" x14ac:dyDescent="0.3">
      <c r="A2" t="s">
        <v>2555</v>
      </c>
    </row>
    <row r="3" spans="1:11" x14ac:dyDescent="0.3">
      <c r="A3" s="14" t="s">
        <v>2554</v>
      </c>
      <c r="B3" s="14" t="s">
        <v>2556</v>
      </c>
      <c r="C3" s="14" t="s">
        <v>2557</v>
      </c>
      <c r="D3" s="14" t="s">
        <v>2558</v>
      </c>
      <c r="E3" s="14" t="s">
        <v>2562</v>
      </c>
      <c r="F3" s="14" t="s">
        <v>2561</v>
      </c>
      <c r="G3" s="14" t="s">
        <v>2559</v>
      </c>
      <c r="H3" s="14" t="s">
        <v>2560</v>
      </c>
      <c r="I3" s="14" t="s">
        <v>2563</v>
      </c>
      <c r="J3" s="14" t="s">
        <v>2562</v>
      </c>
      <c r="K3" s="14" t="s">
        <v>2561</v>
      </c>
    </row>
    <row r="4" spans="1:11" x14ac:dyDescent="0.3">
      <c r="A4" s="7" t="s">
        <v>62</v>
      </c>
      <c r="B4" s="1" cm="1">
        <f t="array" ref="B4:B11">SUMIFS('CLEANED DATA'!$H:$H,'CLEANED DATA'!$C:$C,'DEPARTMENT-FINANCIAL ANALYSIS'!A4:A11,'CLEANED DATA'!$G:$G,"Revenue")</f>
        <v>26741056</v>
      </c>
      <c r="C4" s="1" cm="1">
        <f t="array" ref="C4:C11">SUMIFS('CLEANED DATA'!$I:$I,'CLEANED DATA'!$C:$C,'DEPARTMENT-FINANCIAL ANALYSIS'!A4:A11,'CLEANED DATA'!$G:$G,"Revenue")</f>
        <v>26825000</v>
      </c>
      <c r="D4" s="1">
        <f>C4-B4</f>
        <v>83944</v>
      </c>
      <c r="E4" s="15">
        <f>(C4-B4)/B4</f>
        <v>3.1391430465573236E-3</v>
      </c>
      <c r="F4" s="19" t="str">
        <f>IF(C4&gt;B4,"Favorable","Unfavorable")</f>
        <v>Favorable</v>
      </c>
      <c r="G4" s="1" cm="1">
        <f t="array" ref="G4:G11">SUMIFS('CLEANED DATA'!$H:$H,'CLEANED DATA'!$C:$C,'DEPARTMENT-FINANCIAL ANALYSIS'!A4:A11,'CLEANED DATA'!$G:$G,"Expense")</f>
        <v>11084849</v>
      </c>
      <c r="H4" s="1" cm="1">
        <f t="array" ref="H4:H11">SUMIFS('CLEANED DATA'!$I:$I,'CLEANED DATA'!$C:$C,'DEPARTMENT-FINANCIAL ANALYSIS'!A4:A11,'CLEANED DATA'!$G:$G,"Expense")</f>
        <v>10939000</v>
      </c>
      <c r="I4" s="6">
        <f>G4-H4</f>
        <v>145849</v>
      </c>
      <c r="J4" s="15">
        <f>I4/G4</f>
        <v>1.3157508956594718E-2</v>
      </c>
      <c r="K4" s="18" t="str">
        <f>IF(G4&gt;H4,"Favorable","Unfavorable")</f>
        <v>Favorable</v>
      </c>
    </row>
    <row r="5" spans="1:11" x14ac:dyDescent="0.3">
      <c r="A5" s="7" t="s">
        <v>10</v>
      </c>
      <c r="B5" s="1">
        <v>16417217</v>
      </c>
      <c r="C5" s="1">
        <v>16312100</v>
      </c>
      <c r="D5" s="1">
        <f t="shared" ref="D5:D11" si="0">C5-B5</f>
        <v>-105117</v>
      </c>
      <c r="E5" s="15">
        <f t="shared" ref="E5:E11" si="1">(C5-B5)/B5</f>
        <v>-6.40285134806953E-3</v>
      </c>
      <c r="F5" s="19" t="str">
        <f t="shared" ref="F5:F11" si="2">IF(C5&gt;B5,"Favorable","Unfavorable")</f>
        <v>Unfavorable</v>
      </c>
      <c r="G5" s="1">
        <v>9326324</v>
      </c>
      <c r="H5" s="1">
        <v>9358200</v>
      </c>
      <c r="I5" s="6">
        <f t="shared" ref="I5:I11" si="3">G5-H5</f>
        <v>-31876</v>
      </c>
      <c r="J5" s="15">
        <f t="shared" ref="J5:J11" si="4">I5/G5</f>
        <v>-3.4178525215293829E-3</v>
      </c>
      <c r="K5" s="18" t="str">
        <f t="shared" ref="K5:K11" si="5">IF(G5&gt;H5,"Favorable","Unfavorable")</f>
        <v>Unfavorable</v>
      </c>
    </row>
    <row r="6" spans="1:11" x14ac:dyDescent="0.3">
      <c r="A6" s="7" t="s">
        <v>16</v>
      </c>
      <c r="B6" s="1">
        <v>23837386</v>
      </c>
      <c r="C6" s="1">
        <v>23845700</v>
      </c>
      <c r="D6" s="1">
        <f t="shared" si="0"/>
        <v>8314</v>
      </c>
      <c r="E6" s="15">
        <f t="shared" si="1"/>
        <v>3.4877985362992403E-4</v>
      </c>
      <c r="F6" s="19" t="str">
        <f t="shared" si="2"/>
        <v>Favorable</v>
      </c>
      <c r="G6" s="1">
        <v>13025079</v>
      </c>
      <c r="H6" s="1">
        <v>13121000</v>
      </c>
      <c r="I6" s="6">
        <f t="shared" si="3"/>
        <v>-95921</v>
      </c>
      <c r="J6" s="15">
        <f t="shared" si="4"/>
        <v>-7.3643315330371509E-3</v>
      </c>
      <c r="K6" s="18" t="str">
        <f t="shared" si="5"/>
        <v>Unfavorable</v>
      </c>
    </row>
    <row r="7" spans="1:11" x14ac:dyDescent="0.3">
      <c r="A7" s="7" t="s">
        <v>36</v>
      </c>
      <c r="B7" s="1">
        <v>20399434</v>
      </c>
      <c r="C7" s="1">
        <v>20357000</v>
      </c>
      <c r="D7" s="1">
        <f t="shared" si="0"/>
        <v>-42434</v>
      </c>
      <c r="E7" s="15">
        <f t="shared" si="1"/>
        <v>-2.0801557533409996E-3</v>
      </c>
      <c r="F7" s="19" t="str">
        <f t="shared" si="2"/>
        <v>Unfavorable</v>
      </c>
      <c r="G7" s="1">
        <v>9027509</v>
      </c>
      <c r="H7" s="1">
        <v>8914000</v>
      </c>
      <c r="I7" s="6">
        <f t="shared" si="3"/>
        <v>113509</v>
      </c>
      <c r="J7" s="15">
        <f t="shared" si="4"/>
        <v>1.257367896282352E-2</v>
      </c>
      <c r="K7" s="18" t="str">
        <f t="shared" si="5"/>
        <v>Favorable</v>
      </c>
    </row>
    <row r="8" spans="1:11" x14ac:dyDescent="0.3">
      <c r="A8" s="7" t="s">
        <v>21</v>
      </c>
      <c r="B8" s="1">
        <v>23418063</v>
      </c>
      <c r="C8" s="1">
        <v>23640600</v>
      </c>
      <c r="D8" s="1">
        <f t="shared" si="0"/>
        <v>222537</v>
      </c>
      <c r="E8" s="15">
        <f t="shared" si="1"/>
        <v>9.5027927800860387E-3</v>
      </c>
      <c r="F8" s="19" t="str">
        <f t="shared" si="2"/>
        <v>Favorable</v>
      </c>
      <c r="G8" s="1">
        <v>11213837</v>
      </c>
      <c r="H8" s="1">
        <v>11174500</v>
      </c>
      <c r="I8" s="6">
        <f t="shared" si="3"/>
        <v>39337</v>
      </c>
      <c r="J8" s="15">
        <f t="shared" si="4"/>
        <v>3.5078983224029383E-3</v>
      </c>
      <c r="K8" s="18" t="str">
        <f t="shared" si="5"/>
        <v>Favorable</v>
      </c>
    </row>
    <row r="9" spans="1:11" x14ac:dyDescent="0.3">
      <c r="A9" s="7" t="s">
        <v>25</v>
      </c>
      <c r="B9" s="1">
        <v>22281731</v>
      </c>
      <c r="C9" s="1">
        <v>21791300</v>
      </c>
      <c r="D9" s="1">
        <f t="shared" si="0"/>
        <v>-490431</v>
      </c>
      <c r="E9" s="15">
        <f t="shared" si="1"/>
        <v>-2.2010453317114365E-2</v>
      </c>
      <c r="F9" s="19" t="str">
        <f t="shared" si="2"/>
        <v>Unfavorable</v>
      </c>
      <c r="G9" s="1">
        <v>11413641</v>
      </c>
      <c r="H9" s="1">
        <v>11500600</v>
      </c>
      <c r="I9" s="6">
        <f t="shared" si="3"/>
        <v>-86959</v>
      </c>
      <c r="J9" s="15">
        <f t="shared" si="4"/>
        <v>-7.6188658816235769E-3</v>
      </c>
      <c r="K9" s="18" t="str">
        <f t="shared" si="5"/>
        <v>Unfavorable</v>
      </c>
    </row>
    <row r="10" spans="1:11" x14ac:dyDescent="0.3">
      <c r="A10" s="7" t="s">
        <v>31</v>
      </c>
      <c r="B10" s="1">
        <v>16659198</v>
      </c>
      <c r="C10" s="1">
        <v>16483400</v>
      </c>
      <c r="D10" s="1">
        <f t="shared" si="0"/>
        <v>-175798</v>
      </c>
      <c r="E10" s="15">
        <f t="shared" si="1"/>
        <v>-1.0552608835071172E-2</v>
      </c>
      <c r="F10" s="19" t="str">
        <f t="shared" si="2"/>
        <v>Unfavorable</v>
      </c>
      <c r="G10" s="1">
        <v>10824005</v>
      </c>
      <c r="H10" s="1">
        <v>10735000</v>
      </c>
      <c r="I10" s="6">
        <f t="shared" si="3"/>
        <v>89005</v>
      </c>
      <c r="J10" s="15">
        <f t="shared" si="4"/>
        <v>8.2229267262903145E-3</v>
      </c>
      <c r="K10" s="18" t="str">
        <f t="shared" si="5"/>
        <v>Favorable</v>
      </c>
    </row>
    <row r="11" spans="1:11" x14ac:dyDescent="0.3">
      <c r="A11" s="7" t="s">
        <v>55</v>
      </c>
      <c r="B11" s="1">
        <v>17664878</v>
      </c>
      <c r="C11" s="1">
        <v>17480000</v>
      </c>
      <c r="D11" s="1">
        <f t="shared" si="0"/>
        <v>-184878</v>
      </c>
      <c r="E11" s="15">
        <f t="shared" si="1"/>
        <v>-1.0465852070985149E-2</v>
      </c>
      <c r="F11" s="19" t="str">
        <f t="shared" si="2"/>
        <v>Unfavorable</v>
      </c>
      <c r="G11" s="1">
        <v>9363408</v>
      </c>
      <c r="H11" s="1">
        <v>9430200</v>
      </c>
      <c r="I11" s="6">
        <f t="shared" si="3"/>
        <v>-66792</v>
      </c>
      <c r="J11" s="15">
        <f t="shared" si="4"/>
        <v>-7.1333001830102888E-3</v>
      </c>
      <c r="K11" s="18" t="str">
        <f t="shared" si="5"/>
        <v>Unfavorable</v>
      </c>
    </row>
    <row r="14" spans="1:11" x14ac:dyDescent="0.3">
      <c r="A14" s="17" t="s">
        <v>2565</v>
      </c>
    </row>
    <row r="15" spans="1:11" x14ac:dyDescent="0.3">
      <c r="A15" s="17" t="s">
        <v>2566</v>
      </c>
    </row>
    <row r="16" spans="1:11" x14ac:dyDescent="0.3">
      <c r="A16" s="17" t="s">
        <v>2567</v>
      </c>
    </row>
  </sheetData>
  <conditionalFormatting sqref="E4:E11">
    <cfRule type="colorScale" priority="3">
      <colorScale>
        <cfvo type="min"/>
        <cfvo type="percentile" val="50"/>
        <cfvo type="max"/>
        <color rgb="FFF8696B"/>
        <color rgb="FFFCFCFF"/>
        <color rgb="FF63BE7B"/>
      </colorScale>
    </cfRule>
    <cfRule type="colorScale" priority="4">
      <colorScale>
        <cfvo type="min"/>
        <cfvo type="max"/>
        <color rgb="FFFE3030"/>
        <color theme="9" tint="0.59999389629810485"/>
      </colorScale>
    </cfRule>
  </conditionalFormatting>
  <conditionalFormatting sqref="J4:J11">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B921D-362A-4B84-A65E-9A2270E00E6A}">
  <sheetPr codeName="Sheet4"/>
  <dimension ref="A1:F26"/>
  <sheetViews>
    <sheetView zoomScaleNormal="100" workbookViewId="0">
      <selection activeCell="A38" sqref="A38"/>
    </sheetView>
  </sheetViews>
  <sheetFormatPr defaultRowHeight="14.4" x14ac:dyDescent="0.3"/>
  <cols>
    <col min="1" max="1" width="42.77734375" bestFit="1" customWidth="1"/>
    <col min="2" max="3" width="15.33203125" bestFit="1" customWidth="1"/>
    <col min="4" max="4" width="15.21875" bestFit="1" customWidth="1"/>
    <col min="5" max="5" width="18.77734375" bestFit="1" customWidth="1"/>
    <col min="6" max="6" width="18.77734375" customWidth="1"/>
    <col min="7" max="7" width="18.77734375" bestFit="1" customWidth="1"/>
    <col min="8" max="8" width="13.6640625" bestFit="1" customWidth="1"/>
    <col min="9" max="9" width="13.109375" bestFit="1" customWidth="1"/>
    <col min="10" max="10" width="14.88671875" bestFit="1" customWidth="1"/>
    <col min="11" max="11" width="7.6640625" bestFit="1" customWidth="1"/>
    <col min="12" max="12" width="18.77734375" bestFit="1" customWidth="1"/>
  </cols>
  <sheetData>
    <row r="1" spans="1:6" ht="18.600000000000001" thickBot="1" x14ac:dyDescent="0.4">
      <c r="A1" s="13" t="s">
        <v>2568</v>
      </c>
      <c r="B1" s="13"/>
      <c r="C1" s="13"/>
      <c r="D1" s="13"/>
      <c r="E1" s="13"/>
      <c r="F1" s="13"/>
    </row>
    <row r="2" spans="1:6" ht="15" thickTop="1" x14ac:dyDescent="0.3">
      <c r="A2" t="s">
        <v>2555</v>
      </c>
    </row>
    <row r="3" spans="1:6" x14ac:dyDescent="0.3">
      <c r="A3" s="14" t="s">
        <v>2568</v>
      </c>
      <c r="B3" s="14" t="s">
        <v>2556</v>
      </c>
      <c r="C3" s="14" t="s">
        <v>2557</v>
      </c>
      <c r="D3" s="14" t="s">
        <v>2558</v>
      </c>
      <c r="E3" s="14" t="s">
        <v>2562</v>
      </c>
      <c r="F3" s="14" t="s">
        <v>2561</v>
      </c>
    </row>
    <row r="4" spans="1:6" x14ac:dyDescent="0.3">
      <c r="A4" s="7" t="s">
        <v>13</v>
      </c>
      <c r="B4" s="1" cm="1">
        <f t="array" ref="B4:B9">SUMIFS('CLEANED DATA'!$H:$H,'CLEANED DATA'!$F:$F,'CATEGORY-FINANCIAL ANALYSIS'!A4:A9,'CLEANED DATA'!$G:$G,"Revenue")</f>
        <v>27015191</v>
      </c>
      <c r="C4" s="1" cm="1">
        <f t="array" ref="C4:C9">SUMIFS('CLEANED DATA'!$I:$I,'CLEANED DATA'!$F:$F,'CATEGORY-FINANCIAL ANALYSIS'!A4:A9,'CLEANED DATA'!$G:$G,"Revenue")</f>
        <v>26643300</v>
      </c>
      <c r="D4" s="6">
        <f>C4-B4</f>
        <v>-371891</v>
      </c>
      <c r="E4" s="15">
        <f>D4/B4</f>
        <v>-1.3765995583743976E-2</v>
      </c>
      <c r="F4" s="18" t="str">
        <f>IF(C4&gt;B4,"Favorable","Unfavorable")</f>
        <v>Unfavorable</v>
      </c>
    </row>
    <row r="5" spans="1:6" x14ac:dyDescent="0.3">
      <c r="A5" s="7" t="s">
        <v>37</v>
      </c>
      <c r="B5" s="1">
        <v>28450338</v>
      </c>
      <c r="C5" s="1">
        <v>28248500</v>
      </c>
      <c r="D5" s="6">
        <f t="shared" ref="D5:D9" si="0">C5-B5</f>
        <v>-201838</v>
      </c>
      <c r="E5" s="15">
        <f t="shared" ref="E5:E9" si="1">D5/B5</f>
        <v>-7.094397261642375E-3</v>
      </c>
      <c r="F5" s="18" t="str">
        <f t="shared" ref="F5:F9" si="2">IF(C5&gt;B5,"Favorable","Unfavorable")</f>
        <v>Unfavorable</v>
      </c>
    </row>
    <row r="6" spans="1:6" x14ac:dyDescent="0.3">
      <c r="A6" s="7" t="s">
        <v>12</v>
      </c>
      <c r="B6" s="1">
        <v>26771145</v>
      </c>
      <c r="C6" s="1">
        <v>26666800</v>
      </c>
      <c r="D6" s="6">
        <f t="shared" si="0"/>
        <v>-104345</v>
      </c>
      <c r="E6" s="15">
        <f t="shared" si="1"/>
        <v>-3.8976666855302603E-3</v>
      </c>
      <c r="F6" s="18" t="str">
        <f t="shared" si="2"/>
        <v>Unfavorable</v>
      </c>
    </row>
    <row r="7" spans="1:6" x14ac:dyDescent="0.3">
      <c r="A7" s="7" t="s">
        <v>26</v>
      </c>
      <c r="B7" s="1">
        <v>27653613</v>
      </c>
      <c r="C7" s="1">
        <v>27624500</v>
      </c>
      <c r="D7" s="6">
        <f t="shared" si="0"/>
        <v>-29113</v>
      </c>
      <c r="E7" s="15">
        <f t="shared" si="1"/>
        <v>-1.0527738274199469E-3</v>
      </c>
      <c r="F7" s="18" t="str">
        <f t="shared" si="2"/>
        <v>Unfavorable</v>
      </c>
    </row>
    <row r="8" spans="1:6" x14ac:dyDescent="0.3">
      <c r="A8" s="7" t="s">
        <v>59</v>
      </c>
      <c r="B8" s="1">
        <v>27681806</v>
      </c>
      <c r="C8" s="1">
        <v>27397000</v>
      </c>
      <c r="D8" s="6">
        <f t="shared" si="0"/>
        <v>-284806</v>
      </c>
      <c r="E8" s="15">
        <f t="shared" si="1"/>
        <v>-1.0288562819925838E-2</v>
      </c>
      <c r="F8" s="18" t="str">
        <f t="shared" si="2"/>
        <v>Unfavorable</v>
      </c>
    </row>
    <row r="9" spans="1:6" x14ac:dyDescent="0.3">
      <c r="A9" s="7" t="s">
        <v>23</v>
      </c>
      <c r="B9" s="1">
        <v>29846870</v>
      </c>
      <c r="C9" s="1">
        <v>30155000</v>
      </c>
      <c r="D9" s="6">
        <f t="shared" si="0"/>
        <v>308130</v>
      </c>
      <c r="E9" s="15">
        <f t="shared" si="1"/>
        <v>1.0323695583489995E-2</v>
      </c>
      <c r="F9" s="18" t="str">
        <f t="shared" si="2"/>
        <v>Favorable</v>
      </c>
    </row>
    <row r="13" spans="1:6" ht="18.600000000000001" thickBot="1" x14ac:dyDescent="0.4">
      <c r="A13" s="13" t="s">
        <v>2568</v>
      </c>
      <c r="B13" s="13"/>
      <c r="C13" s="13"/>
      <c r="D13" s="13"/>
      <c r="E13" s="13"/>
      <c r="F13" s="13"/>
    </row>
    <row r="14" spans="1:6" ht="15" thickTop="1" x14ac:dyDescent="0.3"/>
    <row r="15" spans="1:6" x14ac:dyDescent="0.3">
      <c r="A15" s="14" t="s">
        <v>2568</v>
      </c>
      <c r="B15" s="14" t="s">
        <v>2569</v>
      </c>
      <c r="C15" s="14" t="s">
        <v>2560</v>
      </c>
      <c r="D15" s="14" t="s">
        <v>2570</v>
      </c>
      <c r="E15" s="14" t="s">
        <v>2562</v>
      </c>
      <c r="F15" s="14" t="s">
        <v>2561</v>
      </c>
    </row>
    <row r="16" spans="1:6" x14ac:dyDescent="0.3">
      <c r="A16" s="7" t="s">
        <v>18</v>
      </c>
      <c r="B16" s="1" cm="1">
        <f t="array" ref="B16:B21">SUMIFS('CLEANED DATA'!$H:$H,'CLEANED DATA'!$F:$F,'CATEGORY-FINANCIAL ANALYSIS'!A16:A21,'CLEANED DATA'!$G:$G,"Expense")</f>
        <v>14030572</v>
      </c>
      <c r="C16" s="1" cm="1">
        <f t="array" ref="C16:C21">SUMIFS('CLEANED DATA'!$I:$I,'CLEANED DATA'!$F:$F,'CATEGORY-FINANCIAL ANALYSIS'!A16:A21,'CLEANED DATA'!$G:$G,"Expense")</f>
        <v>13946200</v>
      </c>
      <c r="D16" s="6">
        <f>B16-C16</f>
        <v>84372</v>
      </c>
      <c r="E16" s="15">
        <f>D16/B16</f>
        <v>6.0134397941865808E-3</v>
      </c>
      <c r="F16" s="18" t="str">
        <f>IF(C16&gt;B16,"Unfavorable","Favorable")</f>
        <v>Favorable</v>
      </c>
    </row>
    <row r="17" spans="1:6" x14ac:dyDescent="0.3">
      <c r="A17" s="7" t="s">
        <v>56</v>
      </c>
      <c r="B17" s="1">
        <v>14839128</v>
      </c>
      <c r="C17" s="1">
        <v>14849100</v>
      </c>
      <c r="D17" s="6">
        <f t="shared" ref="D17:D21" si="3">C17-B17</f>
        <v>9972</v>
      </c>
      <c r="E17" s="15">
        <f t="shared" ref="E17:E21" si="4">D17/B17</f>
        <v>6.7200714219865212E-4</v>
      </c>
      <c r="F17" s="18" t="str">
        <f t="shared" ref="F17:F21" si="5">IF(C17&gt;B17,"Unfavorable","Favorable")</f>
        <v>Unfavorable</v>
      </c>
    </row>
    <row r="18" spans="1:6" x14ac:dyDescent="0.3">
      <c r="A18" s="7" t="s">
        <v>39</v>
      </c>
      <c r="B18" s="1">
        <v>14773519</v>
      </c>
      <c r="C18" s="1">
        <v>14734300</v>
      </c>
      <c r="D18" s="6">
        <f t="shared" si="3"/>
        <v>-39219</v>
      </c>
      <c r="E18" s="15">
        <f t="shared" si="4"/>
        <v>-2.6546823407476582E-3</v>
      </c>
      <c r="F18" s="18" t="str">
        <f t="shared" si="5"/>
        <v>Favorable</v>
      </c>
    </row>
    <row r="19" spans="1:6" x14ac:dyDescent="0.3">
      <c r="A19" s="7" t="s">
        <v>33</v>
      </c>
      <c r="B19" s="1">
        <v>15812372</v>
      </c>
      <c r="C19" s="1">
        <v>15972800</v>
      </c>
      <c r="D19" s="6">
        <f t="shared" si="3"/>
        <v>160428</v>
      </c>
      <c r="E19" s="15">
        <f t="shared" si="4"/>
        <v>1.0145726397026329E-2</v>
      </c>
      <c r="F19" s="18" t="str">
        <f t="shared" si="5"/>
        <v>Unfavorable</v>
      </c>
    </row>
    <row r="20" spans="1:6" x14ac:dyDescent="0.3">
      <c r="A20" s="7" t="s">
        <v>46</v>
      </c>
      <c r="B20" s="1">
        <v>12736074</v>
      </c>
      <c r="C20" s="1">
        <v>12729400</v>
      </c>
      <c r="D20" s="6">
        <f t="shared" si="3"/>
        <v>-6674</v>
      </c>
      <c r="E20" s="15">
        <f t="shared" si="4"/>
        <v>-5.2402333717596172E-4</v>
      </c>
      <c r="F20" s="18" t="str">
        <f t="shared" si="5"/>
        <v>Favorable</v>
      </c>
    </row>
    <row r="21" spans="1:6" x14ac:dyDescent="0.3">
      <c r="A21" s="7" t="s">
        <v>42</v>
      </c>
      <c r="B21" s="1">
        <v>13086987</v>
      </c>
      <c r="C21" s="1">
        <v>12940700</v>
      </c>
      <c r="D21" s="6">
        <f t="shared" si="3"/>
        <v>-146287</v>
      </c>
      <c r="E21" s="15">
        <f t="shared" si="4"/>
        <v>-1.1178050379357754E-2</v>
      </c>
      <c r="F21" s="18" t="str">
        <f t="shared" si="5"/>
        <v>Favorable</v>
      </c>
    </row>
    <row r="24" spans="1:6" x14ac:dyDescent="0.3">
      <c r="A24" s="17" t="s">
        <v>2565</v>
      </c>
    </row>
    <row r="25" spans="1:6" x14ac:dyDescent="0.3">
      <c r="A25" s="17" t="s">
        <v>2566</v>
      </c>
    </row>
    <row r="26" spans="1:6" x14ac:dyDescent="0.3">
      <c r="A26" s="17" t="s">
        <v>2567</v>
      </c>
    </row>
  </sheetData>
  <conditionalFormatting sqref="E4:E9">
    <cfRule type="colorScale" priority="2">
      <colorScale>
        <cfvo type="min"/>
        <cfvo type="percentile" val="50"/>
        <cfvo type="max"/>
        <color rgb="FFF8696B"/>
        <color rgb="FFFCFCFF"/>
        <color rgb="FF63BE7B"/>
      </colorScale>
    </cfRule>
  </conditionalFormatting>
  <conditionalFormatting sqref="E16:E21">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9D588-BDAB-4800-BF87-2F9C7E6348E8}">
  <sheetPr codeName="Sheet5"/>
  <dimension ref="A1:K12"/>
  <sheetViews>
    <sheetView showGridLines="0" workbookViewId="0">
      <selection activeCell="A2" sqref="A2"/>
    </sheetView>
  </sheetViews>
  <sheetFormatPr defaultRowHeight="14.4" x14ac:dyDescent="0.3"/>
  <cols>
    <col min="1" max="1" width="45.5546875" bestFit="1" customWidth="1"/>
    <col min="2" max="3" width="15.33203125" bestFit="1" customWidth="1"/>
    <col min="4" max="4" width="15.21875" bestFit="1" customWidth="1"/>
    <col min="5" max="5" width="7.6640625" bestFit="1" customWidth="1"/>
    <col min="6" max="6" width="18.77734375" bestFit="1" customWidth="1"/>
    <col min="7" max="8" width="15.33203125" bestFit="1" customWidth="1"/>
    <col min="9" max="9" width="14.88671875" bestFit="1" customWidth="1"/>
    <col min="10" max="10" width="7.6640625" bestFit="1" customWidth="1"/>
    <col min="11" max="11" width="18.77734375" bestFit="1" customWidth="1"/>
  </cols>
  <sheetData>
    <row r="1" spans="1:11" ht="18.600000000000001" thickBot="1" x14ac:dyDescent="0.4">
      <c r="A1" s="13" t="s">
        <v>2572</v>
      </c>
      <c r="B1" s="13"/>
      <c r="C1" s="13"/>
      <c r="D1" s="13"/>
      <c r="E1" s="13"/>
      <c r="F1" s="13"/>
      <c r="G1" s="13"/>
      <c r="H1" s="13"/>
      <c r="I1" s="13"/>
      <c r="J1" s="13"/>
      <c r="K1" s="16"/>
    </row>
    <row r="2" spans="1:11" ht="15" thickTop="1" x14ac:dyDescent="0.3">
      <c r="A2" t="s">
        <v>2555</v>
      </c>
    </row>
    <row r="3" spans="1:11" x14ac:dyDescent="0.3">
      <c r="A3" s="14" t="s">
        <v>2571</v>
      </c>
      <c r="B3" s="14" t="s">
        <v>2556</v>
      </c>
      <c r="C3" s="14" t="s">
        <v>2557</v>
      </c>
      <c r="D3" s="14" t="s">
        <v>2558</v>
      </c>
      <c r="E3" s="14" t="s">
        <v>2562</v>
      </c>
      <c r="F3" s="14" t="s">
        <v>2561</v>
      </c>
      <c r="G3" s="14" t="s">
        <v>2559</v>
      </c>
      <c r="H3" s="14" t="s">
        <v>2560</v>
      </c>
      <c r="I3" s="14" t="s">
        <v>2563</v>
      </c>
      <c r="J3" s="14" t="s">
        <v>2562</v>
      </c>
      <c r="K3" s="14" t="s">
        <v>2561</v>
      </c>
    </row>
    <row r="4" spans="1:11" x14ac:dyDescent="0.3">
      <c r="A4" s="7" t="s">
        <v>37</v>
      </c>
      <c r="B4" s="1" cm="1">
        <f t="array" ref="B4:B7">SUMIFS('CLEANED DATA'!$H:$H,'CLEANED DATA'!$E:$E,'UNIT -FINANCIAL ANALYSIS'!A4:A7,'CLEANED DATA'!$G:$G,"Revenue")</f>
        <v>38064312</v>
      </c>
      <c r="C4" s="1" cm="1">
        <f t="array" ref="C4:C7">SUMIFS('CLEANED DATA'!$I:$I,'CLEANED DATA'!$E:$E,'UNIT -FINANCIAL ANALYSIS'!A4:A7,'CLEANED DATA'!$G:$G,"Revenue")</f>
        <v>37837000</v>
      </c>
      <c r="D4" s="6">
        <f>C4-B4</f>
        <v>-227312</v>
      </c>
      <c r="E4" s="20">
        <f>D4/B4</f>
        <v>-5.9717879571815199E-3</v>
      </c>
      <c r="F4" s="18" t="str">
        <f>IF(C4&gt;B4,"Favorable","Unfavorable")</f>
        <v>Unfavorable</v>
      </c>
      <c r="G4" s="1" cm="1">
        <f t="array" ref="G4:G7">SUMIFS('CLEANED DATA'!$H:$H,'CLEANED DATA'!$E:$E,'UNIT -FINANCIAL ANALYSIS'!A4:A7,'CLEANED DATA'!$G:$G,"Expense")</f>
        <v>18390917</v>
      </c>
      <c r="H4" s="1" cm="1">
        <f t="array" ref="H4:H7">SUMIFS('CLEANED DATA'!$I:$I,'CLEANED DATA'!$E:$E,'UNIT -FINANCIAL ANALYSIS'!A4:A7,'CLEANED DATA'!$G:$G,"Expense")</f>
        <v>18344200</v>
      </c>
      <c r="I4">
        <f>G4-H4</f>
        <v>46717</v>
      </c>
      <c r="J4" s="20">
        <f>I4/G4</f>
        <v>2.5402213494846396E-3</v>
      </c>
      <c r="K4" s="18" t="str">
        <f>IF(H4&gt;G4,"Unfavorable","Favorable")</f>
        <v>Favorable</v>
      </c>
    </row>
    <row r="5" spans="1:11" x14ac:dyDescent="0.3">
      <c r="A5" s="7" t="s">
        <v>12</v>
      </c>
      <c r="B5" s="1">
        <v>16417217</v>
      </c>
      <c r="C5" s="1">
        <v>16312100</v>
      </c>
      <c r="D5" s="6">
        <f t="shared" ref="D5:D7" si="0">C5-B5</f>
        <v>-105117</v>
      </c>
      <c r="E5" s="20">
        <f t="shared" ref="E5:E7" si="1">D5/B5</f>
        <v>-6.40285134806953E-3</v>
      </c>
      <c r="F5" s="18" t="str">
        <f t="shared" ref="F5:F7" si="2">IF(C5&gt;B5,"Favorable","Unfavorable")</f>
        <v>Unfavorable</v>
      </c>
      <c r="G5" s="1">
        <v>9326324</v>
      </c>
      <c r="H5" s="1">
        <v>9358200</v>
      </c>
      <c r="I5">
        <f t="shared" ref="I5:I7" si="3">G5-H5</f>
        <v>-31876</v>
      </c>
      <c r="J5" s="20">
        <f t="shared" ref="J5:J7" si="4">I5/G5</f>
        <v>-3.4178525215293829E-3</v>
      </c>
      <c r="K5" s="18" t="str">
        <f t="shared" ref="K5:K7" si="5">IF(H5&gt;G5,"Unfavorable","Favorable")</f>
        <v>Unfavorable</v>
      </c>
    </row>
    <row r="6" spans="1:11" x14ac:dyDescent="0.3">
      <c r="A6" s="7" t="s">
        <v>22</v>
      </c>
      <c r="B6" s="1">
        <v>72440850</v>
      </c>
      <c r="C6" s="1">
        <v>72256900</v>
      </c>
      <c r="D6" s="6">
        <f t="shared" si="0"/>
        <v>-183950</v>
      </c>
      <c r="E6" s="20">
        <f t="shared" si="1"/>
        <v>-2.5393131085568433E-3</v>
      </c>
      <c r="F6" s="18" t="str">
        <f t="shared" si="2"/>
        <v>Unfavorable</v>
      </c>
      <c r="G6" s="1">
        <v>33712327</v>
      </c>
      <c r="H6" s="1">
        <v>33614100</v>
      </c>
      <c r="I6">
        <f t="shared" si="3"/>
        <v>98227</v>
      </c>
      <c r="J6" s="20">
        <f t="shared" si="4"/>
        <v>2.9136819893803238E-3</v>
      </c>
      <c r="K6" s="18" t="str">
        <f t="shared" si="5"/>
        <v>Favorable</v>
      </c>
    </row>
    <row r="7" spans="1:11" x14ac:dyDescent="0.3">
      <c r="A7" s="7" t="s">
        <v>17</v>
      </c>
      <c r="B7" s="1">
        <v>40496584</v>
      </c>
      <c r="C7" s="1">
        <v>40329100</v>
      </c>
      <c r="D7" s="6">
        <f t="shared" si="0"/>
        <v>-167484</v>
      </c>
      <c r="E7" s="20">
        <f t="shared" si="1"/>
        <v>-4.1357562405757485E-3</v>
      </c>
      <c r="F7" s="18" t="str">
        <f t="shared" si="2"/>
        <v>Unfavorable</v>
      </c>
      <c r="G7" s="1">
        <v>23849084</v>
      </c>
      <c r="H7" s="1">
        <v>23856000</v>
      </c>
      <c r="I7">
        <f t="shared" si="3"/>
        <v>-6916</v>
      </c>
      <c r="J7" s="20">
        <f t="shared" si="4"/>
        <v>-2.8999017320749089E-4</v>
      </c>
      <c r="K7" s="18" t="str">
        <f t="shared" si="5"/>
        <v>Unfavorable</v>
      </c>
    </row>
    <row r="10" spans="1:11" x14ac:dyDescent="0.3">
      <c r="A10" s="17" t="s">
        <v>2565</v>
      </c>
    </row>
    <row r="11" spans="1:11" x14ac:dyDescent="0.3">
      <c r="A11" s="17" t="s">
        <v>2566</v>
      </c>
    </row>
    <row r="12" spans="1:11" x14ac:dyDescent="0.3">
      <c r="A12" s="17" t="s">
        <v>2567</v>
      </c>
    </row>
  </sheetData>
  <conditionalFormatting sqref="E4:E7">
    <cfRule type="dataBar" priority="3">
      <dataBar>
        <cfvo type="min"/>
        <cfvo type="max"/>
        <color rgb="FF63C384"/>
      </dataBar>
      <extLst>
        <ext xmlns:x14="http://schemas.microsoft.com/office/spreadsheetml/2009/9/main" uri="{B025F937-C7B1-47D3-B67F-A62EFF666E3E}">
          <x14:id>{77E9D68D-9023-4608-9FC4-B45723F2527F}</x14:id>
        </ext>
      </extLst>
    </cfRule>
  </conditionalFormatting>
  <conditionalFormatting sqref="J4:J7">
    <cfRule type="colorScale" priority="1">
      <colorScale>
        <cfvo type="min"/>
        <cfvo type="percentile" val="50"/>
        <cfvo type="max"/>
        <color rgb="FFF8696B"/>
        <color rgb="FFFCFCFF"/>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7E9D68D-9023-4608-9FC4-B45723F2527F}">
            <x14:dataBar minLength="0" maxLength="100" border="1" negativeBarBorderColorSameAsPositive="0">
              <x14:cfvo type="autoMin"/>
              <x14:cfvo type="autoMax"/>
              <x14:borderColor rgb="FF63C384"/>
              <x14:negativeFillColor rgb="FFFF0000"/>
              <x14:negativeBorderColor rgb="FFFF0000"/>
              <x14:axisColor rgb="FF000000"/>
            </x14:dataBar>
          </x14:cfRule>
          <xm:sqref>E4:E7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F693-DC66-4DF8-9331-51551994CB98}">
  <sheetPr codeName="Sheet6"/>
  <dimension ref="A2:P19"/>
  <sheetViews>
    <sheetView showGridLines="0" topLeftCell="G1" workbookViewId="0">
      <selection activeCell="N7" sqref="N7"/>
    </sheetView>
  </sheetViews>
  <sheetFormatPr defaultColWidth="9" defaultRowHeight="14.4" x14ac:dyDescent="0.3"/>
  <cols>
    <col min="1" max="1" width="5.6640625" hidden="1" customWidth="1"/>
    <col min="2" max="6" width="9" hidden="1" customWidth="1"/>
    <col min="7" max="7" width="33.77734375" bestFit="1" customWidth="1"/>
    <col min="10" max="10" width="33.77734375" bestFit="1" customWidth="1"/>
    <col min="11" max="11" width="13.77734375" bestFit="1" customWidth="1"/>
    <col min="12" max="12" width="35.21875" bestFit="1" customWidth="1"/>
    <col min="15" max="15" width="22.88671875" bestFit="1" customWidth="1"/>
    <col min="16" max="16" width="12" bestFit="1" customWidth="1"/>
  </cols>
  <sheetData>
    <row r="2" spans="10:16" ht="21" x14ac:dyDescent="0.4">
      <c r="J2" s="21" t="s">
        <v>2573</v>
      </c>
      <c r="K2" s="21">
        <v>2025</v>
      </c>
      <c r="L2" s="21" t="s">
        <v>2580</v>
      </c>
    </row>
    <row r="3" spans="10:16" x14ac:dyDescent="0.3">
      <c r="J3" s="22" t="s">
        <v>2574</v>
      </c>
      <c r="K3" s="23">
        <f>SUMIF('CLEANED DATA'!$G:$G,"Revenue",'CLEANED DATA'!$I:$I)</f>
        <v>166735100</v>
      </c>
      <c r="L3" s="51" t="s">
        <v>2581</v>
      </c>
      <c r="O3" s="28" t="s">
        <v>2534</v>
      </c>
      <c r="P3" t="s">
        <v>2590</v>
      </c>
    </row>
    <row r="4" spans="10:16" x14ac:dyDescent="0.3">
      <c r="J4" s="22"/>
      <c r="K4" s="23"/>
      <c r="L4" s="52"/>
      <c r="O4" s="10" t="s">
        <v>2579</v>
      </c>
      <c r="P4" s="69">
        <v>1.2447663924143643E-3</v>
      </c>
    </row>
    <row r="5" spans="10:16" x14ac:dyDescent="0.3">
      <c r="J5" s="22" t="s">
        <v>2575</v>
      </c>
      <c r="K5" s="23">
        <f>SUMIF('CLEANED DATA'!$G:$G,"Revenue",'CLEANED DATA'!$H:$H)</f>
        <v>167418963</v>
      </c>
      <c r="L5" s="52"/>
      <c r="O5" s="10" t="s">
        <v>2576</v>
      </c>
      <c r="P5" s="69">
        <v>-4.0847403886977848E-3</v>
      </c>
    </row>
    <row r="6" spans="10:16" x14ac:dyDescent="0.3">
      <c r="J6" s="22"/>
      <c r="K6" s="23"/>
      <c r="L6" s="52"/>
      <c r="O6" s="10" t="s">
        <v>2577</v>
      </c>
      <c r="P6">
        <v>85172500</v>
      </c>
    </row>
    <row r="7" spans="10:16" x14ac:dyDescent="0.3">
      <c r="J7" s="22" t="s">
        <v>2576</v>
      </c>
      <c r="K7" s="24">
        <f>(K3-K5)/K5</f>
        <v>-4.0847403886977848E-3</v>
      </c>
      <c r="L7" s="53"/>
      <c r="O7" s="10" t="s">
        <v>2574</v>
      </c>
      <c r="P7">
        <v>166735100</v>
      </c>
    </row>
    <row r="8" spans="10:16" x14ac:dyDescent="0.3">
      <c r="J8" s="22"/>
      <c r="K8" s="24"/>
      <c r="L8" s="24"/>
      <c r="O8" s="10" t="s">
        <v>2578</v>
      </c>
      <c r="P8">
        <v>85278652</v>
      </c>
    </row>
    <row r="9" spans="10:16" x14ac:dyDescent="0.3">
      <c r="J9" s="22" t="s">
        <v>2577</v>
      </c>
      <c r="K9" s="23">
        <f>SUMIF('CLEANED DATA'!$G:$G,"Expense",'CLEANED DATA'!$I:$I)</f>
        <v>85172500</v>
      </c>
      <c r="L9" s="54" t="s">
        <v>2582</v>
      </c>
      <c r="O9" s="10" t="s">
        <v>2575</v>
      </c>
      <c r="P9">
        <v>167418963</v>
      </c>
    </row>
    <row r="10" spans="10:16" x14ac:dyDescent="0.3">
      <c r="J10" s="22"/>
      <c r="K10" s="23"/>
      <c r="L10" s="55"/>
      <c r="O10" s="10" t="s">
        <v>2591</v>
      </c>
    </row>
    <row r="11" spans="10:16" x14ac:dyDescent="0.3">
      <c r="J11" s="22" t="s">
        <v>2578</v>
      </c>
      <c r="K11" s="23">
        <f>SUMIF('CLEANED DATA'!$G:$G,"Expense",'CLEANED DATA'!$H:$H)</f>
        <v>85278652</v>
      </c>
      <c r="L11" s="55"/>
      <c r="O11" s="10" t="s">
        <v>2535</v>
      </c>
      <c r="P11">
        <v>504605214.99716002</v>
      </c>
    </row>
    <row r="12" spans="10:16" x14ac:dyDescent="0.3">
      <c r="J12" s="22"/>
      <c r="K12" s="23"/>
      <c r="L12" s="55"/>
      <c r="O12" s="66"/>
    </row>
    <row r="13" spans="10:16" x14ac:dyDescent="0.3">
      <c r="J13" s="22" t="s">
        <v>2579</v>
      </c>
      <c r="K13" s="24">
        <f>ABS(K9-K11)/K11</f>
        <v>1.2447663924143643E-3</v>
      </c>
      <c r="L13" s="56"/>
      <c r="O13" s="67">
        <v>85172500</v>
      </c>
    </row>
    <row r="14" spans="10:16" x14ac:dyDescent="0.3">
      <c r="O14" s="67">
        <v>166735100</v>
      </c>
    </row>
    <row r="15" spans="10:16" x14ac:dyDescent="0.3">
      <c r="O15" s="67">
        <v>85278652</v>
      </c>
    </row>
    <row r="16" spans="10:16" x14ac:dyDescent="0.3">
      <c r="O16" s="68">
        <v>167418963</v>
      </c>
    </row>
    <row r="17" spans="10:10" x14ac:dyDescent="0.3">
      <c r="J17" s="17" t="s">
        <v>2565</v>
      </c>
    </row>
    <row r="18" spans="10:10" x14ac:dyDescent="0.3">
      <c r="J18" s="17" t="s">
        <v>2566</v>
      </c>
    </row>
    <row r="19" spans="10:10" x14ac:dyDescent="0.3">
      <c r="J19" s="17" t="s">
        <v>2567</v>
      </c>
    </row>
  </sheetData>
  <mergeCells count="2">
    <mergeCell ref="L3:L7"/>
    <mergeCell ref="L9:L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B84E6-E54F-48D5-BC05-349DF0BA1D7A}">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B7055-73C3-4517-8EE9-35D9BE74C8CD}">
  <sheetPr codeName="Sheet7"/>
  <dimension ref="A1:P397"/>
  <sheetViews>
    <sheetView showGridLines="0" topLeftCell="H6" workbookViewId="0">
      <selection activeCell="J9" sqref="J9"/>
    </sheetView>
  </sheetViews>
  <sheetFormatPr defaultColWidth="22.33203125" defaultRowHeight="14.4" x14ac:dyDescent="0.3"/>
  <cols>
    <col min="1" max="1" width="21.21875" bestFit="1" customWidth="1"/>
    <col min="2" max="2" width="19.77734375" bestFit="1" customWidth="1"/>
    <col min="3" max="3" width="19.33203125" bestFit="1" customWidth="1"/>
    <col min="6" max="6" width="22.21875" bestFit="1" customWidth="1"/>
    <col min="7" max="7" width="19.77734375" bestFit="1" customWidth="1"/>
    <col min="8" max="8" width="19.33203125" bestFit="1" customWidth="1"/>
    <col min="10" max="10" width="10.5546875" bestFit="1" customWidth="1"/>
    <col min="11" max="11" width="19.77734375" bestFit="1" customWidth="1"/>
    <col min="12" max="12" width="19.33203125" bestFit="1" customWidth="1"/>
    <col min="14" max="14" width="17.21875" bestFit="1" customWidth="1"/>
    <col min="15" max="15" width="19.77734375" bestFit="1" customWidth="1"/>
    <col min="16" max="16" width="19.33203125" bestFit="1" customWidth="1"/>
  </cols>
  <sheetData>
    <row r="1" spans="1:16" ht="15" thickBot="1" x14ac:dyDescent="0.35"/>
    <row r="2" spans="1:16" ht="15" thickBot="1" x14ac:dyDescent="0.35">
      <c r="A2" s="60" t="s">
        <v>2550</v>
      </c>
      <c r="B2" s="61"/>
      <c r="C2" s="62"/>
      <c r="F2" s="60" t="s">
        <v>2587</v>
      </c>
      <c r="G2" s="61"/>
      <c r="H2" s="62"/>
    </row>
    <row r="3" spans="1:16" ht="15" thickBot="1" x14ac:dyDescent="0.35">
      <c r="A3" s="39" t="s">
        <v>2534</v>
      </c>
      <c r="B3" s="43" t="s">
        <v>2536</v>
      </c>
      <c r="C3" s="44" t="s">
        <v>2537</v>
      </c>
      <c r="F3" s="48" t="s">
        <v>2534</v>
      </c>
      <c r="G3" s="26" t="s">
        <v>2536</v>
      </c>
      <c r="H3" s="27" t="s">
        <v>2537</v>
      </c>
    </row>
    <row r="4" spans="1:16" ht="15" thickBot="1" x14ac:dyDescent="0.35">
      <c r="A4" s="40" t="s">
        <v>62</v>
      </c>
      <c r="B4" s="35">
        <v>37825905</v>
      </c>
      <c r="C4" s="36">
        <v>37764000</v>
      </c>
      <c r="F4" s="40" t="s">
        <v>37</v>
      </c>
      <c r="G4" s="30">
        <v>56455229</v>
      </c>
      <c r="H4" s="31">
        <v>56181200</v>
      </c>
      <c r="N4" s="60" t="s">
        <v>2589</v>
      </c>
      <c r="O4" s="61"/>
      <c r="P4" s="62"/>
    </row>
    <row r="5" spans="1:16" ht="15" thickBot="1" x14ac:dyDescent="0.35">
      <c r="A5" s="41" t="s">
        <v>10</v>
      </c>
      <c r="B5" s="37">
        <v>25743541</v>
      </c>
      <c r="C5" s="8">
        <v>25670300</v>
      </c>
      <c r="F5" s="41" t="s">
        <v>12</v>
      </c>
      <c r="G5" s="32">
        <v>25743541</v>
      </c>
      <c r="H5" s="11">
        <v>25670300</v>
      </c>
      <c r="N5" s="29" t="s">
        <v>2534</v>
      </c>
      <c r="O5" s="26" t="s">
        <v>2536</v>
      </c>
      <c r="P5" s="27" t="s">
        <v>2537</v>
      </c>
    </row>
    <row r="6" spans="1:16" ht="15" thickBot="1" x14ac:dyDescent="0.35">
      <c r="A6" s="41" t="s">
        <v>16</v>
      </c>
      <c r="B6" s="37">
        <v>36862465</v>
      </c>
      <c r="C6" s="8">
        <v>36966700</v>
      </c>
      <c r="F6" s="41" t="s">
        <v>22</v>
      </c>
      <c r="G6" s="32">
        <v>106153177</v>
      </c>
      <c r="H6" s="11">
        <v>105871000</v>
      </c>
      <c r="N6" s="7" t="s">
        <v>2538</v>
      </c>
      <c r="O6" s="30">
        <v>21535639</v>
      </c>
      <c r="P6" s="31">
        <v>21611000</v>
      </c>
    </row>
    <row r="7" spans="1:16" ht="15" thickBot="1" x14ac:dyDescent="0.35">
      <c r="A7" s="41" t="s">
        <v>36</v>
      </c>
      <c r="B7" s="37">
        <v>29426943</v>
      </c>
      <c r="C7" s="8">
        <v>29271000</v>
      </c>
      <c r="F7" s="42" t="s">
        <v>17</v>
      </c>
      <c r="G7" s="32">
        <v>64345668</v>
      </c>
      <c r="H7" s="11">
        <v>64185100</v>
      </c>
      <c r="J7" s="60" t="s">
        <v>2588</v>
      </c>
      <c r="K7" s="61"/>
      <c r="L7" s="62"/>
      <c r="N7" s="7" t="s">
        <v>2539</v>
      </c>
      <c r="O7" s="32">
        <v>20377643</v>
      </c>
      <c r="P7" s="11">
        <v>19929600</v>
      </c>
    </row>
    <row r="8" spans="1:16" ht="15" thickBot="1" x14ac:dyDescent="0.35">
      <c r="A8" s="41" t="s">
        <v>21</v>
      </c>
      <c r="B8" s="37">
        <v>34631900</v>
      </c>
      <c r="C8" s="8">
        <v>34815100</v>
      </c>
      <c r="F8" s="33" t="s">
        <v>2535</v>
      </c>
      <c r="G8" s="25">
        <v>252697615</v>
      </c>
      <c r="H8" s="12">
        <v>251907600</v>
      </c>
      <c r="J8" s="29" t="s">
        <v>2534</v>
      </c>
      <c r="K8" s="26" t="s">
        <v>2536</v>
      </c>
      <c r="L8" s="27" t="s">
        <v>2537</v>
      </c>
      <c r="N8" s="7" t="s">
        <v>2540</v>
      </c>
      <c r="O8" s="32">
        <v>20805034</v>
      </c>
      <c r="P8" s="11">
        <v>20582500</v>
      </c>
    </row>
    <row r="9" spans="1:16" x14ac:dyDescent="0.3">
      <c r="A9" s="41" t="s">
        <v>25</v>
      </c>
      <c r="B9" s="37">
        <v>33695372</v>
      </c>
      <c r="C9" s="8">
        <v>33291900</v>
      </c>
      <c r="J9" s="7" t="s">
        <v>2583</v>
      </c>
      <c r="K9" s="30">
        <v>62718316</v>
      </c>
      <c r="L9" s="31">
        <v>62123100</v>
      </c>
      <c r="N9" s="7" t="s">
        <v>2541</v>
      </c>
      <c r="O9" s="32">
        <v>23184081</v>
      </c>
      <c r="P9" s="11">
        <v>23459500</v>
      </c>
    </row>
    <row r="10" spans="1:16" ht="15" thickBot="1" x14ac:dyDescent="0.35">
      <c r="A10" s="41" t="s">
        <v>31</v>
      </c>
      <c r="B10" s="37">
        <v>27483203</v>
      </c>
      <c r="C10" s="8">
        <v>27218400</v>
      </c>
      <c r="J10" s="49" t="s">
        <v>2538</v>
      </c>
      <c r="K10" s="32">
        <v>21535639</v>
      </c>
      <c r="L10" s="11">
        <v>21611000</v>
      </c>
      <c r="N10" s="7" t="s">
        <v>2542</v>
      </c>
      <c r="O10" s="32">
        <v>19897007</v>
      </c>
      <c r="P10" s="11">
        <v>19935000</v>
      </c>
    </row>
    <row r="11" spans="1:16" ht="15" thickBot="1" x14ac:dyDescent="0.35">
      <c r="A11" s="42" t="s">
        <v>55</v>
      </c>
      <c r="B11" s="37">
        <v>27028286</v>
      </c>
      <c r="C11" s="8">
        <v>26910200</v>
      </c>
      <c r="F11" s="63" t="s">
        <v>2552</v>
      </c>
      <c r="G11" s="64"/>
      <c r="H11" s="65"/>
      <c r="J11" s="49" t="s">
        <v>2539</v>
      </c>
      <c r="K11" s="32">
        <v>20377643</v>
      </c>
      <c r="L11" s="11">
        <v>19929600</v>
      </c>
      <c r="N11" s="7" t="s">
        <v>2543</v>
      </c>
      <c r="O11" s="32">
        <v>19288776</v>
      </c>
      <c r="P11" s="11">
        <v>19320800</v>
      </c>
    </row>
    <row r="12" spans="1:16" ht="15" thickBot="1" x14ac:dyDescent="0.35">
      <c r="A12" s="33" t="s">
        <v>2535</v>
      </c>
      <c r="B12" s="38">
        <v>252697615</v>
      </c>
      <c r="C12" s="9">
        <v>251907600</v>
      </c>
      <c r="F12" s="45" t="s">
        <v>2534</v>
      </c>
      <c r="G12" s="46" t="s">
        <v>2536</v>
      </c>
      <c r="H12" s="47" t="s">
        <v>2537</v>
      </c>
      <c r="J12" s="49" t="s">
        <v>2540</v>
      </c>
      <c r="K12" s="32">
        <v>20805034</v>
      </c>
      <c r="L12" s="11">
        <v>20582500</v>
      </c>
      <c r="N12" s="7" t="s">
        <v>2544</v>
      </c>
      <c r="O12" s="32">
        <v>23330187</v>
      </c>
      <c r="P12" s="11">
        <v>23226000</v>
      </c>
    </row>
    <row r="13" spans="1:16" ht="15" thickBot="1" x14ac:dyDescent="0.35">
      <c r="F13" s="41" t="s">
        <v>18</v>
      </c>
      <c r="G13" s="37">
        <v>14030572</v>
      </c>
      <c r="H13" s="8">
        <v>13946200</v>
      </c>
      <c r="J13" s="7" t="s">
        <v>2584</v>
      </c>
      <c r="K13" s="32">
        <v>62369864</v>
      </c>
      <c r="L13" s="11">
        <v>62715300</v>
      </c>
      <c r="N13" s="7" t="s">
        <v>2545</v>
      </c>
      <c r="O13" s="32">
        <v>21516505</v>
      </c>
      <c r="P13" s="11">
        <v>21499400</v>
      </c>
    </row>
    <row r="14" spans="1:16" ht="15" thickBot="1" x14ac:dyDescent="0.35">
      <c r="A14" s="60" t="s">
        <v>2551</v>
      </c>
      <c r="B14" s="61"/>
      <c r="C14" s="62"/>
      <c r="F14" s="41" t="s">
        <v>13</v>
      </c>
      <c r="G14" s="37">
        <v>27015191</v>
      </c>
      <c r="H14" s="8">
        <v>26643300</v>
      </c>
      <c r="J14" s="49" t="s">
        <v>2541</v>
      </c>
      <c r="K14" s="32">
        <v>23184081</v>
      </c>
      <c r="L14" s="11">
        <v>23459500</v>
      </c>
      <c r="N14" s="7" t="s">
        <v>2546</v>
      </c>
      <c r="O14" s="32">
        <v>19231508</v>
      </c>
      <c r="P14" s="11">
        <v>19222000</v>
      </c>
    </row>
    <row r="15" spans="1:16" ht="15" thickBot="1" x14ac:dyDescent="0.35">
      <c r="A15" s="34" t="s">
        <v>2534</v>
      </c>
      <c r="B15" s="43" t="s">
        <v>2536</v>
      </c>
      <c r="C15" s="44" t="s">
        <v>2537</v>
      </c>
      <c r="F15" s="41" t="s">
        <v>37</v>
      </c>
      <c r="G15" s="37">
        <v>28450338</v>
      </c>
      <c r="H15" s="8">
        <v>28248500</v>
      </c>
      <c r="J15" s="49" t="s">
        <v>2542</v>
      </c>
      <c r="K15" s="32">
        <v>19897007</v>
      </c>
      <c r="L15" s="11">
        <v>19935000</v>
      </c>
      <c r="N15" s="7" t="s">
        <v>2547</v>
      </c>
      <c r="O15" s="32">
        <v>22646372</v>
      </c>
      <c r="P15" s="11">
        <v>22610800</v>
      </c>
    </row>
    <row r="16" spans="1:16" x14ac:dyDescent="0.3">
      <c r="A16" s="7" t="s">
        <v>2583</v>
      </c>
      <c r="B16" s="35">
        <v>62718316</v>
      </c>
      <c r="C16" s="36">
        <v>62123100</v>
      </c>
      <c r="F16" s="41" t="s">
        <v>12</v>
      </c>
      <c r="G16" s="37">
        <v>26771145</v>
      </c>
      <c r="H16" s="8">
        <v>26666800</v>
      </c>
      <c r="J16" s="49" t="s">
        <v>2543</v>
      </c>
      <c r="K16" s="32">
        <v>19288776</v>
      </c>
      <c r="L16" s="11">
        <v>19320800</v>
      </c>
      <c r="N16" s="7" t="s">
        <v>2548</v>
      </c>
      <c r="O16" s="32">
        <v>21674973</v>
      </c>
      <c r="P16" s="11">
        <v>21456500</v>
      </c>
    </row>
    <row r="17" spans="1:16" ht="15" thickBot="1" x14ac:dyDescent="0.35">
      <c r="A17" s="49" t="s">
        <v>2538</v>
      </c>
      <c r="B17" s="37">
        <v>21535639</v>
      </c>
      <c r="C17" s="8">
        <v>21611000</v>
      </c>
      <c r="F17" s="41" t="s">
        <v>56</v>
      </c>
      <c r="G17" s="37">
        <v>14839128</v>
      </c>
      <c r="H17" s="8">
        <v>14849100</v>
      </c>
      <c r="J17" s="7" t="s">
        <v>2585</v>
      </c>
      <c r="K17" s="32">
        <v>64078200</v>
      </c>
      <c r="L17" s="11">
        <v>63947400</v>
      </c>
      <c r="N17" s="7" t="s">
        <v>2549</v>
      </c>
      <c r="O17" s="32">
        <v>19209890</v>
      </c>
      <c r="P17" s="11">
        <v>19054500</v>
      </c>
    </row>
    <row r="18" spans="1:16" ht="15" thickBot="1" x14ac:dyDescent="0.35">
      <c r="A18" s="50">
        <v>45658</v>
      </c>
      <c r="B18" s="37">
        <v>1094492</v>
      </c>
      <c r="C18" s="8">
        <v>1129500</v>
      </c>
      <c r="F18" s="41" t="s">
        <v>39</v>
      </c>
      <c r="G18" s="37">
        <v>14773519</v>
      </c>
      <c r="H18" s="8">
        <v>14734300</v>
      </c>
      <c r="J18" s="49" t="s">
        <v>2544</v>
      </c>
      <c r="K18" s="32">
        <v>23330187</v>
      </c>
      <c r="L18" s="11">
        <v>23226000</v>
      </c>
      <c r="N18" s="33" t="s">
        <v>2535</v>
      </c>
      <c r="O18" s="25">
        <v>252697615</v>
      </c>
      <c r="P18" s="12">
        <v>251907600</v>
      </c>
    </row>
    <row r="19" spans="1:16" x14ac:dyDescent="0.3">
      <c r="A19" s="50">
        <v>45659</v>
      </c>
      <c r="B19" s="37">
        <v>1132153</v>
      </c>
      <c r="C19" s="8">
        <v>1096400</v>
      </c>
      <c r="F19" s="41" t="s">
        <v>33</v>
      </c>
      <c r="G19" s="37">
        <v>15812372</v>
      </c>
      <c r="H19" s="8">
        <v>15972800</v>
      </c>
      <c r="J19" s="49" t="s">
        <v>2545</v>
      </c>
      <c r="K19" s="32">
        <v>21516505</v>
      </c>
      <c r="L19" s="11">
        <v>21499400</v>
      </c>
    </row>
    <row r="20" spans="1:16" x14ac:dyDescent="0.3">
      <c r="A20" s="50">
        <v>45660</v>
      </c>
      <c r="B20" s="37">
        <v>638888</v>
      </c>
      <c r="C20" s="8">
        <v>615800</v>
      </c>
      <c r="F20" s="41" t="s">
        <v>26</v>
      </c>
      <c r="G20" s="37">
        <v>27653613</v>
      </c>
      <c r="H20" s="8">
        <v>27624500</v>
      </c>
      <c r="J20" s="49" t="s">
        <v>2546</v>
      </c>
      <c r="K20" s="32">
        <v>19231508</v>
      </c>
      <c r="L20" s="11">
        <v>19222000</v>
      </c>
    </row>
    <row r="21" spans="1:16" x14ac:dyDescent="0.3">
      <c r="A21" s="50">
        <v>45661</v>
      </c>
      <c r="B21" s="37">
        <v>374779</v>
      </c>
      <c r="C21" s="8">
        <v>328700</v>
      </c>
      <c r="F21" s="41" t="s">
        <v>46</v>
      </c>
      <c r="G21" s="37">
        <v>12736074</v>
      </c>
      <c r="H21" s="8">
        <v>12729400</v>
      </c>
      <c r="J21" s="7" t="s">
        <v>2586</v>
      </c>
      <c r="K21" s="32">
        <v>63531235</v>
      </c>
      <c r="L21" s="11">
        <v>63121800</v>
      </c>
    </row>
    <row r="22" spans="1:16" x14ac:dyDescent="0.3">
      <c r="A22" s="50">
        <v>45662</v>
      </c>
      <c r="B22" s="37">
        <v>501762</v>
      </c>
      <c r="C22" s="8">
        <v>512200</v>
      </c>
      <c r="F22" s="41" t="s">
        <v>59</v>
      </c>
      <c r="G22" s="37">
        <v>27681806</v>
      </c>
      <c r="H22" s="8">
        <v>27397000</v>
      </c>
      <c r="J22" s="49" t="s">
        <v>2547</v>
      </c>
      <c r="K22" s="32">
        <v>22646372</v>
      </c>
      <c r="L22" s="11">
        <v>22610800</v>
      </c>
    </row>
    <row r="23" spans="1:16" x14ac:dyDescent="0.3">
      <c r="A23" s="50">
        <v>45663</v>
      </c>
      <c r="B23" s="37">
        <v>768066</v>
      </c>
      <c r="C23" s="8">
        <v>798300</v>
      </c>
      <c r="F23" s="41" t="s">
        <v>23</v>
      </c>
      <c r="G23" s="37">
        <v>29846870</v>
      </c>
      <c r="H23" s="8">
        <v>30155000</v>
      </c>
      <c r="J23" s="49" t="s">
        <v>2548</v>
      </c>
      <c r="K23" s="32">
        <v>21674973</v>
      </c>
      <c r="L23" s="11">
        <v>21456500</v>
      </c>
    </row>
    <row r="24" spans="1:16" ht="15" thickBot="1" x14ac:dyDescent="0.35">
      <c r="A24" s="50">
        <v>45664</v>
      </c>
      <c r="B24" s="37">
        <v>188700</v>
      </c>
      <c r="C24" s="8">
        <v>199600</v>
      </c>
      <c r="F24" s="42" t="s">
        <v>42</v>
      </c>
      <c r="G24" s="37">
        <v>13086987</v>
      </c>
      <c r="H24" s="8">
        <v>12940700</v>
      </c>
      <c r="J24" s="49" t="s">
        <v>2549</v>
      </c>
      <c r="K24" s="32">
        <v>19209890</v>
      </c>
      <c r="L24" s="11">
        <v>19054500</v>
      </c>
    </row>
    <row r="25" spans="1:16" ht="15" thickBot="1" x14ac:dyDescent="0.35">
      <c r="A25" s="50">
        <v>45665</v>
      </c>
      <c r="B25" s="37">
        <v>694698</v>
      </c>
      <c r="C25" s="8">
        <v>725100</v>
      </c>
      <c r="F25" s="42" t="s">
        <v>2535</v>
      </c>
      <c r="G25" s="38">
        <v>252697615</v>
      </c>
      <c r="H25" s="9">
        <v>251907600</v>
      </c>
      <c r="J25" s="33" t="s">
        <v>2535</v>
      </c>
      <c r="K25" s="25">
        <v>252697615</v>
      </c>
      <c r="L25" s="12">
        <v>251907600</v>
      </c>
    </row>
    <row r="26" spans="1:16" ht="15" thickBot="1" x14ac:dyDescent="0.35">
      <c r="A26" s="50">
        <v>45666</v>
      </c>
      <c r="B26" s="37">
        <v>286764</v>
      </c>
      <c r="C26" s="8">
        <v>271100</v>
      </c>
    </row>
    <row r="27" spans="1:16" ht="15" thickBot="1" x14ac:dyDescent="0.35">
      <c r="A27" s="50">
        <v>45667</v>
      </c>
      <c r="B27" s="37">
        <v>1385330</v>
      </c>
      <c r="C27" s="8">
        <v>1461300</v>
      </c>
      <c r="F27" s="57" t="s">
        <v>2553</v>
      </c>
      <c r="G27" s="58"/>
      <c r="H27" s="59"/>
    </row>
    <row r="28" spans="1:16" ht="15" thickBot="1" x14ac:dyDescent="0.35">
      <c r="A28" s="50">
        <v>45668</v>
      </c>
      <c r="B28" s="37">
        <v>419315</v>
      </c>
      <c r="C28" s="8">
        <v>416700</v>
      </c>
      <c r="F28" s="39" t="s">
        <v>2534</v>
      </c>
      <c r="G28" s="43" t="s">
        <v>2536</v>
      </c>
      <c r="H28" s="44" t="s">
        <v>2537</v>
      </c>
    </row>
    <row r="29" spans="1:16" ht="15" thickBot="1" x14ac:dyDescent="0.35">
      <c r="A29" s="50">
        <v>45669</v>
      </c>
      <c r="B29" s="37">
        <v>756003</v>
      </c>
      <c r="C29" s="8">
        <v>705500</v>
      </c>
      <c r="F29" s="33" t="s">
        <v>11</v>
      </c>
      <c r="G29" s="35">
        <v>252697615</v>
      </c>
      <c r="H29" s="36">
        <v>251907600</v>
      </c>
    </row>
    <row r="30" spans="1:16" ht="15" thickBot="1" x14ac:dyDescent="0.35">
      <c r="A30" s="50">
        <v>45670</v>
      </c>
      <c r="B30" s="37">
        <v>1376807</v>
      </c>
      <c r="C30" s="8">
        <v>1348200</v>
      </c>
      <c r="F30" s="33" t="s">
        <v>2535</v>
      </c>
      <c r="G30" s="38">
        <v>252697615</v>
      </c>
      <c r="H30" s="9">
        <v>251907600</v>
      </c>
    </row>
    <row r="31" spans="1:16" x14ac:dyDescent="0.3">
      <c r="A31" s="50">
        <v>45671</v>
      </c>
      <c r="B31" s="37">
        <v>580157</v>
      </c>
      <c r="C31" s="8">
        <v>546100</v>
      </c>
    </row>
    <row r="32" spans="1:16" x14ac:dyDescent="0.3">
      <c r="A32" s="50">
        <v>45672</v>
      </c>
      <c r="B32" s="37">
        <v>747066</v>
      </c>
      <c r="C32" s="8">
        <v>791800</v>
      </c>
    </row>
    <row r="33" spans="1:3" x14ac:dyDescent="0.3">
      <c r="A33" s="50">
        <v>45673</v>
      </c>
      <c r="B33" s="37">
        <v>286927</v>
      </c>
      <c r="C33" s="8">
        <v>278100</v>
      </c>
    </row>
    <row r="34" spans="1:3" x14ac:dyDescent="0.3">
      <c r="A34" s="50">
        <v>45674</v>
      </c>
      <c r="B34" s="37">
        <v>311827</v>
      </c>
      <c r="C34" s="8">
        <v>316200</v>
      </c>
    </row>
    <row r="35" spans="1:3" x14ac:dyDescent="0.3">
      <c r="A35" s="50">
        <v>45675</v>
      </c>
      <c r="B35" s="37">
        <v>860896</v>
      </c>
      <c r="C35" s="8">
        <v>864200</v>
      </c>
    </row>
    <row r="36" spans="1:3" x14ac:dyDescent="0.3">
      <c r="A36" s="50">
        <v>45676</v>
      </c>
      <c r="B36" s="37">
        <v>484937</v>
      </c>
      <c r="C36" s="8">
        <v>463600</v>
      </c>
    </row>
    <row r="37" spans="1:3" x14ac:dyDescent="0.3">
      <c r="A37" s="50">
        <v>45677</v>
      </c>
      <c r="B37" s="37">
        <v>583642</v>
      </c>
      <c r="C37" s="8">
        <v>569100</v>
      </c>
    </row>
    <row r="38" spans="1:3" x14ac:dyDescent="0.3">
      <c r="A38" s="50">
        <v>45678</v>
      </c>
      <c r="B38" s="37">
        <v>498239</v>
      </c>
      <c r="C38" s="8">
        <v>487300</v>
      </c>
    </row>
    <row r="39" spans="1:3" x14ac:dyDescent="0.3">
      <c r="A39" s="50">
        <v>45679</v>
      </c>
      <c r="B39" s="37">
        <v>500784</v>
      </c>
      <c r="C39" s="8">
        <v>510300</v>
      </c>
    </row>
    <row r="40" spans="1:3" x14ac:dyDescent="0.3">
      <c r="A40" s="50">
        <v>45680</v>
      </c>
      <c r="B40" s="37">
        <v>880830</v>
      </c>
      <c r="C40" s="8">
        <v>861300</v>
      </c>
    </row>
    <row r="41" spans="1:3" x14ac:dyDescent="0.3">
      <c r="A41" s="50">
        <v>45681</v>
      </c>
      <c r="B41" s="37">
        <v>813573</v>
      </c>
      <c r="C41" s="8">
        <v>824000</v>
      </c>
    </row>
    <row r="42" spans="1:3" x14ac:dyDescent="0.3">
      <c r="A42" s="50">
        <v>45682</v>
      </c>
      <c r="B42" s="37">
        <v>894846</v>
      </c>
      <c r="C42" s="8">
        <v>887500</v>
      </c>
    </row>
    <row r="43" spans="1:3" x14ac:dyDescent="0.3">
      <c r="A43" s="50">
        <v>45683</v>
      </c>
      <c r="B43" s="37">
        <v>1046622</v>
      </c>
      <c r="C43" s="8">
        <v>1070100</v>
      </c>
    </row>
    <row r="44" spans="1:3" x14ac:dyDescent="0.3">
      <c r="A44" s="50">
        <v>45684</v>
      </c>
      <c r="B44" s="37">
        <v>1006793</v>
      </c>
      <c r="C44" s="8">
        <v>1035500</v>
      </c>
    </row>
    <row r="45" spans="1:3" x14ac:dyDescent="0.3">
      <c r="A45" s="50">
        <v>45685</v>
      </c>
      <c r="B45" s="37">
        <v>841357</v>
      </c>
      <c r="C45" s="8">
        <v>889700</v>
      </c>
    </row>
    <row r="46" spans="1:3" x14ac:dyDescent="0.3">
      <c r="A46" s="50">
        <v>45686</v>
      </c>
      <c r="B46" s="37">
        <v>432354</v>
      </c>
      <c r="C46" s="8">
        <v>455100</v>
      </c>
    </row>
    <row r="47" spans="1:3" x14ac:dyDescent="0.3">
      <c r="A47" s="50">
        <v>45687</v>
      </c>
      <c r="B47" s="37">
        <v>592290</v>
      </c>
      <c r="C47" s="8">
        <v>579200</v>
      </c>
    </row>
    <row r="48" spans="1:3" x14ac:dyDescent="0.3">
      <c r="A48" s="50">
        <v>45688</v>
      </c>
      <c r="B48" s="37">
        <v>554742</v>
      </c>
      <c r="C48" s="8">
        <v>573500</v>
      </c>
    </row>
    <row r="49" spans="1:3" x14ac:dyDescent="0.3">
      <c r="A49" s="49" t="s">
        <v>2539</v>
      </c>
      <c r="B49" s="37">
        <v>20377643</v>
      </c>
      <c r="C49" s="8">
        <v>19929600</v>
      </c>
    </row>
    <row r="50" spans="1:3" x14ac:dyDescent="0.3">
      <c r="A50" s="50">
        <v>45689</v>
      </c>
      <c r="B50" s="37">
        <v>665007</v>
      </c>
      <c r="C50" s="8">
        <v>656300</v>
      </c>
    </row>
    <row r="51" spans="1:3" x14ac:dyDescent="0.3">
      <c r="A51" s="50">
        <v>45690</v>
      </c>
      <c r="B51" s="37">
        <v>462533</v>
      </c>
      <c r="C51" s="8">
        <v>446500</v>
      </c>
    </row>
    <row r="52" spans="1:3" x14ac:dyDescent="0.3">
      <c r="A52" s="50">
        <v>45691</v>
      </c>
      <c r="B52" s="37">
        <v>511926</v>
      </c>
      <c r="C52" s="8">
        <v>526900</v>
      </c>
    </row>
    <row r="53" spans="1:3" x14ac:dyDescent="0.3">
      <c r="A53" s="50">
        <v>45692</v>
      </c>
      <c r="B53" s="37">
        <v>609461</v>
      </c>
      <c r="C53" s="8">
        <v>580300</v>
      </c>
    </row>
    <row r="54" spans="1:3" x14ac:dyDescent="0.3">
      <c r="A54" s="50">
        <v>45693</v>
      </c>
      <c r="B54" s="37">
        <v>989804</v>
      </c>
      <c r="C54" s="8">
        <v>957900</v>
      </c>
    </row>
    <row r="55" spans="1:3" x14ac:dyDescent="0.3">
      <c r="A55" s="50">
        <v>45694</v>
      </c>
      <c r="B55" s="37">
        <v>1028879</v>
      </c>
      <c r="C55" s="8">
        <v>1014100</v>
      </c>
    </row>
    <row r="56" spans="1:3" x14ac:dyDescent="0.3">
      <c r="A56" s="50">
        <v>45695</v>
      </c>
      <c r="B56" s="37">
        <v>759086</v>
      </c>
      <c r="C56" s="8">
        <v>759000</v>
      </c>
    </row>
    <row r="57" spans="1:3" x14ac:dyDescent="0.3">
      <c r="A57" s="50">
        <v>45696</v>
      </c>
      <c r="B57" s="37">
        <v>278518</v>
      </c>
      <c r="C57" s="8">
        <v>262400</v>
      </c>
    </row>
    <row r="58" spans="1:3" x14ac:dyDescent="0.3">
      <c r="A58" s="50">
        <v>45697</v>
      </c>
      <c r="B58" s="37">
        <v>730977</v>
      </c>
      <c r="C58" s="8">
        <v>685300</v>
      </c>
    </row>
    <row r="59" spans="1:3" x14ac:dyDescent="0.3">
      <c r="A59" s="50">
        <v>45698</v>
      </c>
      <c r="B59" s="37">
        <v>981482</v>
      </c>
      <c r="C59" s="8">
        <v>907300</v>
      </c>
    </row>
    <row r="60" spans="1:3" x14ac:dyDescent="0.3">
      <c r="A60" s="50">
        <v>45699</v>
      </c>
      <c r="B60" s="37">
        <v>757929</v>
      </c>
      <c r="C60" s="8">
        <v>810500</v>
      </c>
    </row>
    <row r="61" spans="1:3" x14ac:dyDescent="0.3">
      <c r="A61" s="50">
        <v>45700</v>
      </c>
      <c r="B61" s="37">
        <v>567847</v>
      </c>
      <c r="C61" s="8">
        <v>588400</v>
      </c>
    </row>
    <row r="62" spans="1:3" x14ac:dyDescent="0.3">
      <c r="A62" s="50">
        <v>45701</v>
      </c>
      <c r="B62" s="37">
        <v>481709</v>
      </c>
      <c r="C62" s="8">
        <v>441800</v>
      </c>
    </row>
    <row r="63" spans="1:3" x14ac:dyDescent="0.3">
      <c r="A63" s="50">
        <v>45702</v>
      </c>
      <c r="B63" s="37">
        <v>360101</v>
      </c>
      <c r="C63" s="8">
        <v>353000</v>
      </c>
    </row>
    <row r="64" spans="1:3" x14ac:dyDescent="0.3">
      <c r="A64" s="50">
        <v>45703</v>
      </c>
      <c r="B64" s="37">
        <v>1256488</v>
      </c>
      <c r="C64" s="8">
        <v>1227800</v>
      </c>
    </row>
    <row r="65" spans="1:3" x14ac:dyDescent="0.3">
      <c r="A65" s="50">
        <v>45704</v>
      </c>
      <c r="B65" s="37">
        <v>491887</v>
      </c>
      <c r="C65" s="8">
        <v>461800</v>
      </c>
    </row>
    <row r="66" spans="1:3" x14ac:dyDescent="0.3">
      <c r="A66" s="50">
        <v>45705</v>
      </c>
      <c r="B66" s="37">
        <v>598862</v>
      </c>
      <c r="C66" s="8">
        <v>543500</v>
      </c>
    </row>
    <row r="67" spans="1:3" x14ac:dyDescent="0.3">
      <c r="A67" s="50">
        <v>45706</v>
      </c>
      <c r="B67" s="37">
        <v>389400</v>
      </c>
      <c r="C67" s="8">
        <v>382000</v>
      </c>
    </row>
    <row r="68" spans="1:3" x14ac:dyDescent="0.3">
      <c r="A68" s="50">
        <v>45707</v>
      </c>
      <c r="B68" s="37">
        <v>830313</v>
      </c>
      <c r="C68" s="8">
        <v>812800</v>
      </c>
    </row>
    <row r="69" spans="1:3" x14ac:dyDescent="0.3">
      <c r="A69" s="50">
        <v>45708</v>
      </c>
      <c r="B69" s="37">
        <v>652131</v>
      </c>
      <c r="C69" s="8">
        <v>641100</v>
      </c>
    </row>
    <row r="70" spans="1:3" x14ac:dyDescent="0.3">
      <c r="A70" s="50">
        <v>45709</v>
      </c>
      <c r="B70" s="37">
        <v>818008</v>
      </c>
      <c r="C70" s="8">
        <v>804400</v>
      </c>
    </row>
    <row r="71" spans="1:3" x14ac:dyDescent="0.3">
      <c r="A71" s="50">
        <v>45710</v>
      </c>
      <c r="B71" s="37">
        <v>1039937</v>
      </c>
      <c r="C71" s="8">
        <v>1057300</v>
      </c>
    </row>
    <row r="72" spans="1:3" x14ac:dyDescent="0.3">
      <c r="A72" s="50">
        <v>45711</v>
      </c>
      <c r="B72" s="37">
        <v>936711</v>
      </c>
      <c r="C72" s="8">
        <v>900300</v>
      </c>
    </row>
    <row r="73" spans="1:3" x14ac:dyDescent="0.3">
      <c r="A73" s="50">
        <v>45712</v>
      </c>
      <c r="B73" s="37">
        <v>839619</v>
      </c>
      <c r="C73" s="8">
        <v>803500</v>
      </c>
    </row>
    <row r="74" spans="1:3" x14ac:dyDescent="0.3">
      <c r="A74" s="50">
        <v>45713</v>
      </c>
      <c r="B74" s="37">
        <v>533485</v>
      </c>
      <c r="C74" s="8">
        <v>545100</v>
      </c>
    </row>
    <row r="75" spans="1:3" x14ac:dyDescent="0.3">
      <c r="A75" s="50">
        <v>45714</v>
      </c>
      <c r="B75" s="37">
        <v>1206254</v>
      </c>
      <c r="C75" s="8">
        <v>1151800</v>
      </c>
    </row>
    <row r="76" spans="1:3" x14ac:dyDescent="0.3">
      <c r="A76" s="50">
        <v>45715</v>
      </c>
      <c r="B76" s="37">
        <v>598331</v>
      </c>
      <c r="C76" s="8">
        <v>605600</v>
      </c>
    </row>
    <row r="77" spans="1:3" x14ac:dyDescent="0.3">
      <c r="A77" s="50">
        <v>45716</v>
      </c>
      <c r="B77" s="37">
        <v>1000958</v>
      </c>
      <c r="C77" s="8">
        <v>1002900</v>
      </c>
    </row>
    <row r="78" spans="1:3" x14ac:dyDescent="0.3">
      <c r="A78" s="49" t="s">
        <v>2540</v>
      </c>
      <c r="B78" s="37">
        <v>20805034</v>
      </c>
      <c r="C78" s="8">
        <v>20582500</v>
      </c>
    </row>
    <row r="79" spans="1:3" x14ac:dyDescent="0.3">
      <c r="A79" s="50">
        <v>45717</v>
      </c>
      <c r="B79" s="37">
        <v>626743</v>
      </c>
      <c r="C79" s="8">
        <v>632900</v>
      </c>
    </row>
    <row r="80" spans="1:3" x14ac:dyDescent="0.3">
      <c r="A80" s="50">
        <v>45718</v>
      </c>
      <c r="B80" s="37">
        <v>632128</v>
      </c>
      <c r="C80" s="8">
        <v>636100</v>
      </c>
    </row>
    <row r="81" spans="1:3" x14ac:dyDescent="0.3">
      <c r="A81" s="50">
        <v>45719</v>
      </c>
      <c r="B81" s="37">
        <v>704275</v>
      </c>
      <c r="C81" s="8">
        <v>691300</v>
      </c>
    </row>
    <row r="82" spans="1:3" x14ac:dyDescent="0.3">
      <c r="A82" s="50">
        <v>45720</v>
      </c>
      <c r="B82" s="37">
        <v>472753</v>
      </c>
      <c r="C82" s="8">
        <v>475700</v>
      </c>
    </row>
    <row r="83" spans="1:3" x14ac:dyDescent="0.3">
      <c r="A83" s="50">
        <v>45721</v>
      </c>
      <c r="B83" s="37">
        <v>746203</v>
      </c>
      <c r="C83" s="8">
        <v>741600</v>
      </c>
    </row>
    <row r="84" spans="1:3" x14ac:dyDescent="0.3">
      <c r="A84" s="50">
        <v>45722</v>
      </c>
      <c r="B84" s="37">
        <v>388823</v>
      </c>
      <c r="C84" s="8">
        <v>363000</v>
      </c>
    </row>
    <row r="85" spans="1:3" x14ac:dyDescent="0.3">
      <c r="A85" s="50">
        <v>45723</v>
      </c>
      <c r="B85" s="37">
        <v>432465</v>
      </c>
      <c r="C85" s="8">
        <v>465300</v>
      </c>
    </row>
    <row r="86" spans="1:3" x14ac:dyDescent="0.3">
      <c r="A86" s="50">
        <v>45724</v>
      </c>
      <c r="B86" s="37">
        <v>406991</v>
      </c>
      <c r="C86" s="8">
        <v>412400</v>
      </c>
    </row>
    <row r="87" spans="1:3" x14ac:dyDescent="0.3">
      <c r="A87" s="50">
        <v>45725</v>
      </c>
      <c r="B87" s="37">
        <v>750250</v>
      </c>
      <c r="C87" s="8">
        <v>807100</v>
      </c>
    </row>
    <row r="88" spans="1:3" x14ac:dyDescent="0.3">
      <c r="A88" s="50">
        <v>45726</v>
      </c>
      <c r="B88" s="37">
        <v>836846</v>
      </c>
      <c r="C88" s="8">
        <v>830700</v>
      </c>
    </row>
    <row r="89" spans="1:3" x14ac:dyDescent="0.3">
      <c r="A89" s="50">
        <v>45727</v>
      </c>
      <c r="B89" s="37">
        <v>589898</v>
      </c>
      <c r="C89" s="8">
        <v>553900</v>
      </c>
    </row>
    <row r="90" spans="1:3" x14ac:dyDescent="0.3">
      <c r="A90" s="50">
        <v>45728</v>
      </c>
      <c r="B90" s="37">
        <v>595819</v>
      </c>
      <c r="C90" s="8">
        <v>621900</v>
      </c>
    </row>
    <row r="91" spans="1:3" x14ac:dyDescent="0.3">
      <c r="A91" s="50">
        <v>45729</v>
      </c>
      <c r="B91" s="37">
        <v>620310</v>
      </c>
      <c r="C91" s="8">
        <v>628900</v>
      </c>
    </row>
    <row r="92" spans="1:3" x14ac:dyDescent="0.3">
      <c r="A92" s="50">
        <v>45730</v>
      </c>
      <c r="B92" s="37">
        <v>676450</v>
      </c>
      <c r="C92" s="8">
        <v>648100</v>
      </c>
    </row>
    <row r="93" spans="1:3" x14ac:dyDescent="0.3">
      <c r="A93" s="50">
        <v>45731</v>
      </c>
      <c r="B93" s="37">
        <v>718280</v>
      </c>
      <c r="C93" s="8">
        <v>686500</v>
      </c>
    </row>
    <row r="94" spans="1:3" x14ac:dyDescent="0.3">
      <c r="A94" s="50">
        <v>45732</v>
      </c>
      <c r="B94" s="37">
        <v>586286</v>
      </c>
      <c r="C94" s="8">
        <v>616500</v>
      </c>
    </row>
    <row r="95" spans="1:3" x14ac:dyDescent="0.3">
      <c r="A95" s="50">
        <v>45733</v>
      </c>
      <c r="B95" s="37">
        <v>732987</v>
      </c>
      <c r="C95" s="8">
        <v>760500</v>
      </c>
    </row>
    <row r="96" spans="1:3" x14ac:dyDescent="0.3">
      <c r="A96" s="50">
        <v>45734</v>
      </c>
      <c r="B96" s="37">
        <v>877957</v>
      </c>
      <c r="C96" s="8">
        <v>863500</v>
      </c>
    </row>
    <row r="97" spans="1:3" x14ac:dyDescent="0.3">
      <c r="A97" s="50">
        <v>45735</v>
      </c>
      <c r="B97" s="37">
        <v>546700</v>
      </c>
      <c r="C97" s="8">
        <v>554800</v>
      </c>
    </row>
    <row r="98" spans="1:3" x14ac:dyDescent="0.3">
      <c r="A98" s="50">
        <v>45736</v>
      </c>
      <c r="B98" s="37">
        <v>388366</v>
      </c>
      <c r="C98" s="8">
        <v>366800</v>
      </c>
    </row>
    <row r="99" spans="1:3" x14ac:dyDescent="0.3">
      <c r="A99" s="50">
        <v>45737</v>
      </c>
      <c r="B99" s="37">
        <v>546097</v>
      </c>
      <c r="C99" s="8">
        <v>501300</v>
      </c>
    </row>
    <row r="100" spans="1:3" x14ac:dyDescent="0.3">
      <c r="A100" s="50">
        <v>45738</v>
      </c>
      <c r="B100" s="37">
        <v>793806</v>
      </c>
      <c r="C100" s="8">
        <v>761900</v>
      </c>
    </row>
    <row r="101" spans="1:3" x14ac:dyDescent="0.3">
      <c r="A101" s="50">
        <v>45739</v>
      </c>
      <c r="B101" s="37">
        <v>807953</v>
      </c>
      <c r="C101" s="8">
        <v>787200</v>
      </c>
    </row>
    <row r="102" spans="1:3" x14ac:dyDescent="0.3">
      <c r="A102" s="50">
        <v>45740</v>
      </c>
      <c r="B102" s="37">
        <v>779432</v>
      </c>
      <c r="C102" s="8">
        <v>763800</v>
      </c>
    </row>
    <row r="103" spans="1:3" x14ac:dyDescent="0.3">
      <c r="A103" s="50">
        <v>45741</v>
      </c>
      <c r="B103" s="37">
        <v>518799</v>
      </c>
      <c r="C103" s="8">
        <v>443800</v>
      </c>
    </row>
    <row r="104" spans="1:3" x14ac:dyDescent="0.3">
      <c r="A104" s="50">
        <v>45742</v>
      </c>
      <c r="B104" s="37">
        <v>553830</v>
      </c>
      <c r="C104" s="8">
        <v>552500</v>
      </c>
    </row>
    <row r="105" spans="1:3" x14ac:dyDescent="0.3">
      <c r="A105" s="50">
        <v>45743</v>
      </c>
      <c r="B105" s="37">
        <v>985958</v>
      </c>
      <c r="C105" s="8">
        <v>928500</v>
      </c>
    </row>
    <row r="106" spans="1:3" x14ac:dyDescent="0.3">
      <c r="A106" s="50">
        <v>45744</v>
      </c>
      <c r="B106" s="37">
        <v>667164</v>
      </c>
      <c r="C106" s="8">
        <v>705600</v>
      </c>
    </row>
    <row r="107" spans="1:3" x14ac:dyDescent="0.3">
      <c r="A107" s="50">
        <v>45745</v>
      </c>
      <c r="B107" s="37">
        <v>597792</v>
      </c>
      <c r="C107" s="8">
        <v>600800</v>
      </c>
    </row>
    <row r="108" spans="1:3" x14ac:dyDescent="0.3">
      <c r="A108" s="50">
        <v>45746</v>
      </c>
      <c r="B108" s="37">
        <v>865191</v>
      </c>
      <c r="C108" s="8">
        <v>809400</v>
      </c>
    </row>
    <row r="109" spans="1:3" x14ac:dyDescent="0.3">
      <c r="A109" s="50">
        <v>45747</v>
      </c>
      <c r="B109" s="37">
        <v>1358482</v>
      </c>
      <c r="C109" s="8">
        <v>1370200</v>
      </c>
    </row>
    <row r="110" spans="1:3" x14ac:dyDescent="0.3">
      <c r="A110" s="7" t="s">
        <v>2584</v>
      </c>
      <c r="B110" s="37">
        <v>62369864</v>
      </c>
      <c r="C110" s="8">
        <v>62715300</v>
      </c>
    </row>
    <row r="111" spans="1:3" x14ac:dyDescent="0.3">
      <c r="A111" s="49" t="s">
        <v>2541</v>
      </c>
      <c r="B111" s="37">
        <v>23184081</v>
      </c>
      <c r="C111" s="8">
        <v>23459500</v>
      </c>
    </row>
    <row r="112" spans="1:3" x14ac:dyDescent="0.3">
      <c r="A112" s="50">
        <v>45748</v>
      </c>
      <c r="B112" s="37">
        <v>954195</v>
      </c>
      <c r="C112" s="8">
        <v>958300</v>
      </c>
    </row>
    <row r="113" spans="1:3" x14ac:dyDescent="0.3">
      <c r="A113" s="50">
        <v>45749</v>
      </c>
      <c r="B113" s="37">
        <v>1020165</v>
      </c>
      <c r="C113" s="8">
        <v>1040500</v>
      </c>
    </row>
    <row r="114" spans="1:3" x14ac:dyDescent="0.3">
      <c r="A114" s="50">
        <v>45750</v>
      </c>
      <c r="B114" s="37">
        <v>1063783</v>
      </c>
      <c r="C114" s="8">
        <v>1051000</v>
      </c>
    </row>
    <row r="115" spans="1:3" x14ac:dyDescent="0.3">
      <c r="A115" s="50">
        <v>45751</v>
      </c>
      <c r="B115" s="37">
        <v>1375344</v>
      </c>
      <c r="C115" s="8">
        <v>1415600</v>
      </c>
    </row>
    <row r="116" spans="1:3" x14ac:dyDescent="0.3">
      <c r="A116" s="50">
        <v>45752</v>
      </c>
      <c r="B116" s="37">
        <v>140094</v>
      </c>
      <c r="C116" s="8">
        <v>142600</v>
      </c>
    </row>
    <row r="117" spans="1:3" x14ac:dyDescent="0.3">
      <c r="A117" s="50">
        <v>45753</v>
      </c>
      <c r="B117" s="37">
        <v>369455</v>
      </c>
      <c r="C117" s="8">
        <v>392900</v>
      </c>
    </row>
    <row r="118" spans="1:3" x14ac:dyDescent="0.3">
      <c r="A118" s="50">
        <v>45754</v>
      </c>
      <c r="B118" s="37">
        <v>384265</v>
      </c>
      <c r="C118" s="8">
        <v>374500</v>
      </c>
    </row>
    <row r="119" spans="1:3" x14ac:dyDescent="0.3">
      <c r="A119" s="50">
        <v>45755</v>
      </c>
      <c r="B119" s="37">
        <v>230898</v>
      </c>
      <c r="C119" s="8">
        <v>226100</v>
      </c>
    </row>
    <row r="120" spans="1:3" x14ac:dyDescent="0.3">
      <c r="A120" s="50">
        <v>45756</v>
      </c>
      <c r="B120" s="37">
        <v>767290</v>
      </c>
      <c r="C120" s="8">
        <v>756300</v>
      </c>
    </row>
    <row r="121" spans="1:3" x14ac:dyDescent="0.3">
      <c r="A121" s="50">
        <v>45757</v>
      </c>
      <c r="B121" s="37">
        <v>1029660</v>
      </c>
      <c r="C121" s="8">
        <v>1010500</v>
      </c>
    </row>
    <row r="122" spans="1:3" x14ac:dyDescent="0.3">
      <c r="A122" s="50">
        <v>45758</v>
      </c>
      <c r="B122" s="37">
        <v>1114649</v>
      </c>
      <c r="C122" s="8">
        <v>1169900</v>
      </c>
    </row>
    <row r="123" spans="1:3" x14ac:dyDescent="0.3">
      <c r="A123" s="50">
        <v>45759</v>
      </c>
      <c r="B123" s="37">
        <v>1318893</v>
      </c>
      <c r="C123" s="8">
        <v>1375600</v>
      </c>
    </row>
    <row r="124" spans="1:3" x14ac:dyDescent="0.3">
      <c r="A124" s="50">
        <v>45760</v>
      </c>
      <c r="B124" s="37">
        <v>639095</v>
      </c>
      <c r="C124" s="8">
        <v>644500</v>
      </c>
    </row>
    <row r="125" spans="1:3" x14ac:dyDescent="0.3">
      <c r="A125" s="50">
        <v>45761</v>
      </c>
      <c r="B125" s="37">
        <v>965402</v>
      </c>
      <c r="C125" s="8">
        <v>1011300</v>
      </c>
    </row>
    <row r="126" spans="1:3" x14ac:dyDescent="0.3">
      <c r="A126" s="50">
        <v>45762</v>
      </c>
      <c r="B126" s="37">
        <v>745933</v>
      </c>
      <c r="C126" s="8">
        <v>734800</v>
      </c>
    </row>
    <row r="127" spans="1:3" x14ac:dyDescent="0.3">
      <c r="A127" s="50">
        <v>45763</v>
      </c>
      <c r="B127" s="37">
        <v>450128</v>
      </c>
      <c r="C127" s="8">
        <v>462500</v>
      </c>
    </row>
    <row r="128" spans="1:3" x14ac:dyDescent="0.3">
      <c r="A128" s="50">
        <v>45764</v>
      </c>
      <c r="B128" s="37">
        <v>954642</v>
      </c>
      <c r="C128" s="8">
        <v>969100</v>
      </c>
    </row>
    <row r="129" spans="1:3" x14ac:dyDescent="0.3">
      <c r="A129" s="50">
        <v>45765</v>
      </c>
      <c r="B129" s="37">
        <v>549638</v>
      </c>
      <c r="C129" s="8">
        <v>528900</v>
      </c>
    </row>
    <row r="130" spans="1:3" x14ac:dyDescent="0.3">
      <c r="A130" s="50">
        <v>45766</v>
      </c>
      <c r="B130" s="37">
        <v>1007002</v>
      </c>
      <c r="C130" s="8">
        <v>1015700</v>
      </c>
    </row>
    <row r="131" spans="1:3" x14ac:dyDescent="0.3">
      <c r="A131" s="50">
        <v>45767</v>
      </c>
      <c r="B131" s="37">
        <v>1062061</v>
      </c>
      <c r="C131" s="8">
        <v>1042800</v>
      </c>
    </row>
    <row r="132" spans="1:3" x14ac:dyDescent="0.3">
      <c r="A132" s="50">
        <v>45768</v>
      </c>
      <c r="B132" s="37">
        <v>854356</v>
      </c>
      <c r="C132" s="8">
        <v>885400</v>
      </c>
    </row>
    <row r="133" spans="1:3" x14ac:dyDescent="0.3">
      <c r="A133" s="50">
        <v>45769</v>
      </c>
      <c r="B133" s="37">
        <v>315645</v>
      </c>
      <c r="C133" s="8">
        <v>304700</v>
      </c>
    </row>
    <row r="134" spans="1:3" x14ac:dyDescent="0.3">
      <c r="A134" s="50">
        <v>45770</v>
      </c>
      <c r="B134" s="37">
        <v>1201145</v>
      </c>
      <c r="C134" s="8">
        <v>1234500</v>
      </c>
    </row>
    <row r="135" spans="1:3" x14ac:dyDescent="0.3">
      <c r="A135" s="50">
        <v>45771</v>
      </c>
      <c r="B135" s="37">
        <v>729586</v>
      </c>
      <c r="C135" s="8">
        <v>727000</v>
      </c>
    </row>
    <row r="136" spans="1:3" x14ac:dyDescent="0.3">
      <c r="A136" s="50">
        <v>45772</v>
      </c>
      <c r="B136" s="37">
        <v>580736</v>
      </c>
      <c r="C136" s="8">
        <v>626400</v>
      </c>
    </row>
    <row r="137" spans="1:3" x14ac:dyDescent="0.3">
      <c r="A137" s="50">
        <v>45773</v>
      </c>
      <c r="B137" s="37">
        <v>596465</v>
      </c>
      <c r="C137" s="8">
        <v>545700</v>
      </c>
    </row>
    <row r="138" spans="1:3" x14ac:dyDescent="0.3">
      <c r="A138" s="50">
        <v>45774</v>
      </c>
      <c r="B138" s="37">
        <v>295091</v>
      </c>
      <c r="C138" s="8">
        <v>311900</v>
      </c>
    </row>
    <row r="139" spans="1:3" x14ac:dyDescent="0.3">
      <c r="A139" s="50">
        <v>45775</v>
      </c>
      <c r="B139" s="37">
        <v>1243733</v>
      </c>
      <c r="C139" s="8">
        <v>1272700</v>
      </c>
    </row>
    <row r="140" spans="1:3" x14ac:dyDescent="0.3">
      <c r="A140" s="50">
        <v>45776</v>
      </c>
      <c r="B140" s="37">
        <v>734701</v>
      </c>
      <c r="C140" s="8">
        <v>737000</v>
      </c>
    </row>
    <row r="141" spans="1:3" x14ac:dyDescent="0.3">
      <c r="A141" s="50">
        <v>45777</v>
      </c>
      <c r="B141" s="37">
        <v>490031</v>
      </c>
      <c r="C141" s="8">
        <v>490800</v>
      </c>
    </row>
    <row r="142" spans="1:3" x14ac:dyDescent="0.3">
      <c r="A142" s="49" t="s">
        <v>2542</v>
      </c>
      <c r="B142" s="37">
        <v>19897007</v>
      </c>
      <c r="C142" s="8">
        <v>19935000</v>
      </c>
    </row>
    <row r="143" spans="1:3" x14ac:dyDescent="0.3">
      <c r="A143" s="50">
        <v>45778</v>
      </c>
      <c r="B143" s="37">
        <v>1560118</v>
      </c>
      <c r="C143" s="8">
        <v>1650500</v>
      </c>
    </row>
    <row r="144" spans="1:3" x14ac:dyDescent="0.3">
      <c r="A144" s="50">
        <v>45779</v>
      </c>
      <c r="B144" s="37">
        <v>561331</v>
      </c>
      <c r="C144" s="8">
        <v>563000</v>
      </c>
    </row>
    <row r="145" spans="1:3" x14ac:dyDescent="0.3">
      <c r="A145" s="50">
        <v>45780</v>
      </c>
      <c r="B145" s="37">
        <v>742448</v>
      </c>
      <c r="C145" s="8">
        <v>768000</v>
      </c>
    </row>
    <row r="146" spans="1:3" x14ac:dyDescent="0.3">
      <c r="A146" s="50">
        <v>45781</v>
      </c>
      <c r="B146" s="37">
        <v>670443</v>
      </c>
      <c r="C146" s="8">
        <v>643900</v>
      </c>
    </row>
    <row r="147" spans="1:3" x14ac:dyDescent="0.3">
      <c r="A147" s="50">
        <v>45782</v>
      </c>
      <c r="B147" s="37">
        <v>719358</v>
      </c>
      <c r="C147" s="8">
        <v>743900</v>
      </c>
    </row>
    <row r="148" spans="1:3" x14ac:dyDescent="0.3">
      <c r="A148" s="50">
        <v>45783</v>
      </c>
      <c r="B148" s="37">
        <v>291068</v>
      </c>
      <c r="C148" s="8">
        <v>261200</v>
      </c>
    </row>
    <row r="149" spans="1:3" x14ac:dyDescent="0.3">
      <c r="A149" s="50">
        <v>45784</v>
      </c>
      <c r="B149" s="37">
        <v>432766</v>
      </c>
      <c r="C149" s="8">
        <v>436100</v>
      </c>
    </row>
    <row r="150" spans="1:3" x14ac:dyDescent="0.3">
      <c r="A150" s="50">
        <v>45785</v>
      </c>
      <c r="B150" s="37">
        <v>649152</v>
      </c>
      <c r="C150" s="8">
        <v>688500</v>
      </c>
    </row>
    <row r="151" spans="1:3" x14ac:dyDescent="0.3">
      <c r="A151" s="50">
        <v>45786</v>
      </c>
      <c r="B151" s="37">
        <v>1759677</v>
      </c>
      <c r="C151" s="8">
        <v>1674800</v>
      </c>
    </row>
    <row r="152" spans="1:3" x14ac:dyDescent="0.3">
      <c r="A152" s="50">
        <v>45787</v>
      </c>
      <c r="B152" s="37">
        <v>587864</v>
      </c>
      <c r="C152" s="8">
        <v>558000</v>
      </c>
    </row>
    <row r="153" spans="1:3" x14ac:dyDescent="0.3">
      <c r="A153" s="50">
        <v>45788</v>
      </c>
      <c r="B153" s="37">
        <v>285594</v>
      </c>
      <c r="C153" s="8">
        <v>296600</v>
      </c>
    </row>
    <row r="154" spans="1:3" x14ac:dyDescent="0.3">
      <c r="A154" s="50">
        <v>45789</v>
      </c>
      <c r="B154" s="37">
        <v>365202</v>
      </c>
      <c r="C154" s="8">
        <v>378600</v>
      </c>
    </row>
    <row r="155" spans="1:3" x14ac:dyDescent="0.3">
      <c r="A155" s="50">
        <v>45790</v>
      </c>
      <c r="B155" s="37">
        <v>200189</v>
      </c>
      <c r="C155" s="8">
        <v>207600</v>
      </c>
    </row>
    <row r="156" spans="1:3" x14ac:dyDescent="0.3">
      <c r="A156" s="50">
        <v>45791</v>
      </c>
      <c r="B156" s="37">
        <v>368438</v>
      </c>
      <c r="C156" s="8">
        <v>361300</v>
      </c>
    </row>
    <row r="157" spans="1:3" x14ac:dyDescent="0.3">
      <c r="A157" s="50">
        <v>45792</v>
      </c>
      <c r="B157" s="37">
        <v>215136</v>
      </c>
      <c r="C157" s="8">
        <v>223600</v>
      </c>
    </row>
    <row r="158" spans="1:3" x14ac:dyDescent="0.3">
      <c r="A158" s="50">
        <v>45793</v>
      </c>
      <c r="B158" s="37">
        <v>694522</v>
      </c>
      <c r="C158" s="8">
        <v>668200</v>
      </c>
    </row>
    <row r="159" spans="1:3" x14ac:dyDescent="0.3">
      <c r="A159" s="50">
        <v>45794</v>
      </c>
      <c r="B159" s="37">
        <v>351437</v>
      </c>
      <c r="C159" s="8">
        <v>359200</v>
      </c>
    </row>
    <row r="160" spans="1:3" x14ac:dyDescent="0.3">
      <c r="A160" s="50">
        <v>45795</v>
      </c>
      <c r="B160" s="37">
        <v>1081677</v>
      </c>
      <c r="C160" s="8">
        <v>1127600</v>
      </c>
    </row>
    <row r="161" spans="1:3" x14ac:dyDescent="0.3">
      <c r="A161" s="50">
        <v>45796</v>
      </c>
      <c r="B161" s="37">
        <v>682833</v>
      </c>
      <c r="C161" s="8">
        <v>701500</v>
      </c>
    </row>
    <row r="162" spans="1:3" x14ac:dyDescent="0.3">
      <c r="A162" s="50">
        <v>45797</v>
      </c>
      <c r="B162" s="37">
        <v>592386</v>
      </c>
      <c r="C162" s="8">
        <v>558600</v>
      </c>
    </row>
    <row r="163" spans="1:3" x14ac:dyDescent="0.3">
      <c r="A163" s="50">
        <v>45798</v>
      </c>
      <c r="B163" s="37">
        <v>388132</v>
      </c>
      <c r="C163" s="8">
        <v>370900</v>
      </c>
    </row>
    <row r="164" spans="1:3" x14ac:dyDescent="0.3">
      <c r="A164" s="50">
        <v>45799</v>
      </c>
      <c r="B164" s="37">
        <v>650201</v>
      </c>
      <c r="C164" s="8">
        <v>683400</v>
      </c>
    </row>
    <row r="165" spans="1:3" x14ac:dyDescent="0.3">
      <c r="A165" s="50">
        <v>45800</v>
      </c>
      <c r="B165" s="37">
        <v>1058739</v>
      </c>
      <c r="C165" s="8">
        <v>1064300</v>
      </c>
    </row>
    <row r="166" spans="1:3" x14ac:dyDescent="0.3">
      <c r="A166" s="50">
        <v>45801</v>
      </c>
      <c r="B166" s="37">
        <v>1204784</v>
      </c>
      <c r="C166" s="8">
        <v>1218400</v>
      </c>
    </row>
    <row r="167" spans="1:3" x14ac:dyDescent="0.3">
      <c r="A167" s="50">
        <v>45802</v>
      </c>
      <c r="B167" s="37">
        <v>367207</v>
      </c>
      <c r="C167" s="8">
        <v>376500</v>
      </c>
    </row>
    <row r="168" spans="1:3" x14ac:dyDescent="0.3">
      <c r="A168" s="50">
        <v>45803</v>
      </c>
      <c r="B168" s="37">
        <v>678794</v>
      </c>
      <c r="C168" s="8">
        <v>701500</v>
      </c>
    </row>
    <row r="169" spans="1:3" x14ac:dyDescent="0.3">
      <c r="A169" s="50">
        <v>45804</v>
      </c>
      <c r="B169" s="37">
        <v>606623</v>
      </c>
      <c r="C169" s="8">
        <v>599300</v>
      </c>
    </row>
    <row r="170" spans="1:3" x14ac:dyDescent="0.3">
      <c r="A170" s="50">
        <v>45805</v>
      </c>
      <c r="B170" s="37">
        <v>439925</v>
      </c>
      <c r="C170" s="8">
        <v>446700</v>
      </c>
    </row>
    <row r="171" spans="1:3" x14ac:dyDescent="0.3">
      <c r="A171" s="50">
        <v>45806</v>
      </c>
      <c r="B171" s="37">
        <v>584073</v>
      </c>
      <c r="C171" s="8">
        <v>578000</v>
      </c>
    </row>
    <row r="172" spans="1:3" x14ac:dyDescent="0.3">
      <c r="A172" s="50">
        <v>45807</v>
      </c>
      <c r="B172" s="37">
        <v>545789</v>
      </c>
      <c r="C172" s="8">
        <v>503200</v>
      </c>
    </row>
    <row r="173" spans="1:3" x14ac:dyDescent="0.3">
      <c r="A173" s="50">
        <v>45808</v>
      </c>
      <c r="B173" s="37">
        <v>561101</v>
      </c>
      <c r="C173" s="8">
        <v>522100</v>
      </c>
    </row>
    <row r="174" spans="1:3" x14ac:dyDescent="0.3">
      <c r="A174" s="49" t="s">
        <v>2543</v>
      </c>
      <c r="B174" s="37">
        <v>19288776</v>
      </c>
      <c r="C174" s="8">
        <v>19320800</v>
      </c>
    </row>
    <row r="175" spans="1:3" x14ac:dyDescent="0.3">
      <c r="A175" s="50">
        <v>45809</v>
      </c>
      <c r="B175" s="37">
        <v>776217</v>
      </c>
      <c r="C175" s="8">
        <v>802700</v>
      </c>
    </row>
    <row r="176" spans="1:3" x14ac:dyDescent="0.3">
      <c r="A176" s="50">
        <v>45810</v>
      </c>
      <c r="B176" s="37">
        <v>303926</v>
      </c>
      <c r="C176" s="8">
        <v>306200</v>
      </c>
    </row>
    <row r="177" spans="1:3" x14ac:dyDescent="0.3">
      <c r="A177" s="50">
        <v>45811</v>
      </c>
      <c r="B177" s="37">
        <v>726056</v>
      </c>
      <c r="C177" s="8">
        <v>697900</v>
      </c>
    </row>
    <row r="178" spans="1:3" x14ac:dyDescent="0.3">
      <c r="A178" s="50">
        <v>45812</v>
      </c>
      <c r="B178" s="37">
        <v>379481</v>
      </c>
      <c r="C178" s="8">
        <v>373200</v>
      </c>
    </row>
    <row r="179" spans="1:3" x14ac:dyDescent="0.3">
      <c r="A179" s="50">
        <v>45813</v>
      </c>
      <c r="B179" s="37">
        <v>267095</v>
      </c>
      <c r="C179" s="8">
        <v>227200</v>
      </c>
    </row>
    <row r="180" spans="1:3" x14ac:dyDescent="0.3">
      <c r="A180" s="50">
        <v>45814</v>
      </c>
      <c r="B180" s="37">
        <v>915071</v>
      </c>
      <c r="C180" s="8">
        <v>944600</v>
      </c>
    </row>
    <row r="181" spans="1:3" x14ac:dyDescent="0.3">
      <c r="A181" s="50">
        <v>45815</v>
      </c>
      <c r="B181" s="37">
        <v>693861</v>
      </c>
      <c r="C181" s="8">
        <v>702900</v>
      </c>
    </row>
    <row r="182" spans="1:3" x14ac:dyDescent="0.3">
      <c r="A182" s="50">
        <v>45816</v>
      </c>
      <c r="B182" s="37">
        <v>829804</v>
      </c>
      <c r="C182" s="8">
        <v>795900</v>
      </c>
    </row>
    <row r="183" spans="1:3" x14ac:dyDescent="0.3">
      <c r="A183" s="50">
        <v>45817</v>
      </c>
      <c r="B183" s="37">
        <v>816730</v>
      </c>
      <c r="C183" s="8">
        <v>793800</v>
      </c>
    </row>
    <row r="184" spans="1:3" x14ac:dyDescent="0.3">
      <c r="A184" s="50">
        <v>45818</v>
      </c>
      <c r="B184" s="37">
        <v>991486</v>
      </c>
      <c r="C184" s="8">
        <v>1017300</v>
      </c>
    </row>
    <row r="185" spans="1:3" x14ac:dyDescent="0.3">
      <c r="A185" s="50">
        <v>45819</v>
      </c>
      <c r="B185" s="37">
        <v>242918</v>
      </c>
      <c r="C185" s="8">
        <v>253900</v>
      </c>
    </row>
    <row r="186" spans="1:3" x14ac:dyDescent="0.3">
      <c r="A186" s="50">
        <v>45820</v>
      </c>
      <c r="B186" s="37">
        <v>844789</v>
      </c>
      <c r="C186" s="8">
        <v>853000</v>
      </c>
    </row>
    <row r="187" spans="1:3" x14ac:dyDescent="0.3">
      <c r="A187" s="50">
        <v>45821</v>
      </c>
      <c r="B187" s="37">
        <v>1146997</v>
      </c>
      <c r="C187" s="8">
        <v>1189400</v>
      </c>
    </row>
    <row r="188" spans="1:3" x14ac:dyDescent="0.3">
      <c r="A188" s="50">
        <v>45822</v>
      </c>
      <c r="B188" s="37">
        <v>798246</v>
      </c>
      <c r="C188" s="8">
        <v>843200</v>
      </c>
    </row>
    <row r="189" spans="1:3" x14ac:dyDescent="0.3">
      <c r="A189" s="50">
        <v>45823</v>
      </c>
      <c r="B189" s="37">
        <v>291158</v>
      </c>
      <c r="C189" s="8">
        <v>285400</v>
      </c>
    </row>
    <row r="190" spans="1:3" x14ac:dyDescent="0.3">
      <c r="A190" s="50">
        <v>45824</v>
      </c>
      <c r="B190" s="37">
        <v>424135</v>
      </c>
      <c r="C190" s="8">
        <v>406600</v>
      </c>
    </row>
    <row r="191" spans="1:3" x14ac:dyDescent="0.3">
      <c r="A191" s="50">
        <v>45825</v>
      </c>
      <c r="B191" s="37">
        <v>419919</v>
      </c>
      <c r="C191" s="8">
        <v>410200</v>
      </c>
    </row>
    <row r="192" spans="1:3" x14ac:dyDescent="0.3">
      <c r="A192" s="50">
        <v>45826</v>
      </c>
      <c r="B192" s="37">
        <v>564175</v>
      </c>
      <c r="C192" s="8">
        <v>542000</v>
      </c>
    </row>
    <row r="193" spans="1:3" x14ac:dyDescent="0.3">
      <c r="A193" s="50">
        <v>45827</v>
      </c>
      <c r="B193" s="37">
        <v>844795</v>
      </c>
      <c r="C193" s="8">
        <v>873700</v>
      </c>
    </row>
    <row r="194" spans="1:3" x14ac:dyDescent="0.3">
      <c r="A194" s="50">
        <v>45828</v>
      </c>
      <c r="B194" s="37">
        <v>601959</v>
      </c>
      <c r="C194" s="8">
        <v>600700</v>
      </c>
    </row>
    <row r="195" spans="1:3" x14ac:dyDescent="0.3">
      <c r="A195" s="50">
        <v>45829</v>
      </c>
      <c r="B195" s="37">
        <v>271792</v>
      </c>
      <c r="C195" s="8">
        <v>259300</v>
      </c>
    </row>
    <row r="196" spans="1:3" x14ac:dyDescent="0.3">
      <c r="A196" s="50">
        <v>45830</v>
      </c>
      <c r="B196" s="37">
        <v>842724</v>
      </c>
      <c r="C196" s="8">
        <v>850900</v>
      </c>
    </row>
    <row r="197" spans="1:3" x14ac:dyDescent="0.3">
      <c r="A197" s="50">
        <v>45831</v>
      </c>
      <c r="B197" s="37">
        <v>1119349</v>
      </c>
      <c r="C197" s="8">
        <v>1134400</v>
      </c>
    </row>
    <row r="198" spans="1:3" x14ac:dyDescent="0.3">
      <c r="A198" s="50">
        <v>45832</v>
      </c>
      <c r="B198" s="37">
        <v>671063</v>
      </c>
      <c r="C198" s="8">
        <v>701500</v>
      </c>
    </row>
    <row r="199" spans="1:3" x14ac:dyDescent="0.3">
      <c r="A199" s="50">
        <v>45833</v>
      </c>
      <c r="B199" s="37">
        <v>217312</v>
      </c>
      <c r="C199" s="8">
        <v>246400</v>
      </c>
    </row>
    <row r="200" spans="1:3" x14ac:dyDescent="0.3">
      <c r="A200" s="50">
        <v>45834</v>
      </c>
      <c r="B200" s="37">
        <v>1168065</v>
      </c>
      <c r="C200" s="8">
        <v>1127800</v>
      </c>
    </row>
    <row r="201" spans="1:3" x14ac:dyDescent="0.3">
      <c r="A201" s="50">
        <v>45835</v>
      </c>
      <c r="B201" s="37">
        <v>735166</v>
      </c>
      <c r="C201" s="8">
        <v>735800</v>
      </c>
    </row>
    <row r="202" spans="1:3" x14ac:dyDescent="0.3">
      <c r="A202" s="50">
        <v>45836</v>
      </c>
      <c r="B202" s="37">
        <v>287344</v>
      </c>
      <c r="C202" s="8">
        <v>278700</v>
      </c>
    </row>
    <row r="203" spans="1:3" x14ac:dyDescent="0.3">
      <c r="A203" s="50">
        <v>45837</v>
      </c>
      <c r="B203" s="37">
        <v>549842</v>
      </c>
      <c r="C203" s="8">
        <v>570600</v>
      </c>
    </row>
    <row r="204" spans="1:3" x14ac:dyDescent="0.3">
      <c r="A204" s="50">
        <v>45838</v>
      </c>
      <c r="B204" s="37">
        <v>547301</v>
      </c>
      <c r="C204" s="8">
        <v>495600</v>
      </c>
    </row>
    <row r="205" spans="1:3" x14ac:dyDescent="0.3">
      <c r="A205" s="7" t="s">
        <v>2585</v>
      </c>
      <c r="B205" s="37">
        <v>64078200</v>
      </c>
      <c r="C205" s="8">
        <v>63947400</v>
      </c>
    </row>
    <row r="206" spans="1:3" x14ac:dyDescent="0.3">
      <c r="A206" s="49" t="s">
        <v>2544</v>
      </c>
      <c r="B206" s="37">
        <v>23330187</v>
      </c>
      <c r="C206" s="8">
        <v>23226000</v>
      </c>
    </row>
    <row r="207" spans="1:3" x14ac:dyDescent="0.3">
      <c r="A207" s="50">
        <v>45839</v>
      </c>
      <c r="B207" s="37">
        <v>1458571</v>
      </c>
      <c r="C207" s="8">
        <v>1453300</v>
      </c>
    </row>
    <row r="208" spans="1:3" x14ac:dyDescent="0.3">
      <c r="A208" s="50">
        <v>45840</v>
      </c>
      <c r="B208" s="37">
        <v>495404</v>
      </c>
      <c r="C208" s="8">
        <v>533800</v>
      </c>
    </row>
    <row r="209" spans="1:3" x14ac:dyDescent="0.3">
      <c r="A209" s="50">
        <v>45841</v>
      </c>
      <c r="B209" s="37">
        <v>497870</v>
      </c>
      <c r="C209" s="8">
        <v>516600</v>
      </c>
    </row>
    <row r="210" spans="1:3" x14ac:dyDescent="0.3">
      <c r="A210" s="50">
        <v>45842</v>
      </c>
      <c r="B210" s="37">
        <v>1038759</v>
      </c>
      <c r="C210" s="8">
        <v>1017200</v>
      </c>
    </row>
    <row r="211" spans="1:3" x14ac:dyDescent="0.3">
      <c r="A211" s="50">
        <v>45843</v>
      </c>
      <c r="B211" s="37">
        <v>732214</v>
      </c>
      <c r="C211" s="8">
        <v>734100</v>
      </c>
    </row>
    <row r="212" spans="1:3" x14ac:dyDescent="0.3">
      <c r="A212" s="50">
        <v>45844</v>
      </c>
      <c r="B212" s="37">
        <v>605778</v>
      </c>
      <c r="C212" s="8">
        <v>630800</v>
      </c>
    </row>
    <row r="213" spans="1:3" x14ac:dyDescent="0.3">
      <c r="A213" s="50">
        <v>45845</v>
      </c>
      <c r="B213" s="37">
        <v>752613</v>
      </c>
      <c r="C213" s="8">
        <v>694000</v>
      </c>
    </row>
    <row r="214" spans="1:3" x14ac:dyDescent="0.3">
      <c r="A214" s="50">
        <v>45846</v>
      </c>
      <c r="B214" s="37">
        <v>688005</v>
      </c>
      <c r="C214" s="8">
        <v>683500</v>
      </c>
    </row>
    <row r="215" spans="1:3" x14ac:dyDescent="0.3">
      <c r="A215" s="50">
        <v>45847</v>
      </c>
      <c r="B215" s="37">
        <v>534209</v>
      </c>
      <c r="C215" s="8">
        <v>561400</v>
      </c>
    </row>
    <row r="216" spans="1:3" x14ac:dyDescent="0.3">
      <c r="A216" s="50">
        <v>45848</v>
      </c>
      <c r="B216" s="37">
        <v>703924</v>
      </c>
      <c r="C216" s="8">
        <v>694400</v>
      </c>
    </row>
    <row r="217" spans="1:3" x14ac:dyDescent="0.3">
      <c r="A217" s="50">
        <v>45849</v>
      </c>
      <c r="B217" s="37">
        <v>1053486</v>
      </c>
      <c r="C217" s="8">
        <v>1024900</v>
      </c>
    </row>
    <row r="218" spans="1:3" x14ac:dyDescent="0.3">
      <c r="A218" s="50">
        <v>45850</v>
      </c>
      <c r="B218" s="37">
        <v>954492</v>
      </c>
      <c r="C218" s="8">
        <v>988200</v>
      </c>
    </row>
    <row r="219" spans="1:3" x14ac:dyDescent="0.3">
      <c r="A219" s="50">
        <v>45851</v>
      </c>
      <c r="B219" s="37">
        <v>397909</v>
      </c>
      <c r="C219" s="8">
        <v>385500</v>
      </c>
    </row>
    <row r="220" spans="1:3" x14ac:dyDescent="0.3">
      <c r="A220" s="50">
        <v>45852</v>
      </c>
      <c r="B220" s="37">
        <v>800798</v>
      </c>
      <c r="C220" s="8">
        <v>826100</v>
      </c>
    </row>
    <row r="221" spans="1:3" x14ac:dyDescent="0.3">
      <c r="A221" s="50">
        <v>45853</v>
      </c>
      <c r="B221" s="37">
        <v>372221</v>
      </c>
      <c r="C221" s="8">
        <v>378700</v>
      </c>
    </row>
    <row r="222" spans="1:3" x14ac:dyDescent="0.3">
      <c r="A222" s="50">
        <v>45854</v>
      </c>
      <c r="B222" s="37">
        <v>1181141</v>
      </c>
      <c r="C222" s="8">
        <v>1237200</v>
      </c>
    </row>
    <row r="223" spans="1:3" x14ac:dyDescent="0.3">
      <c r="A223" s="50">
        <v>45855</v>
      </c>
      <c r="B223" s="37">
        <v>448996</v>
      </c>
      <c r="C223" s="8">
        <v>499500</v>
      </c>
    </row>
    <row r="224" spans="1:3" x14ac:dyDescent="0.3">
      <c r="A224" s="50">
        <v>45856</v>
      </c>
      <c r="B224" s="37">
        <v>1116097</v>
      </c>
      <c r="C224" s="8">
        <v>1125300</v>
      </c>
    </row>
    <row r="225" spans="1:3" x14ac:dyDescent="0.3">
      <c r="A225" s="50">
        <v>45857</v>
      </c>
      <c r="B225" s="37">
        <v>552888</v>
      </c>
      <c r="C225" s="8">
        <v>525900</v>
      </c>
    </row>
    <row r="226" spans="1:3" x14ac:dyDescent="0.3">
      <c r="A226" s="50">
        <v>45858</v>
      </c>
      <c r="B226" s="37">
        <v>1007823</v>
      </c>
      <c r="C226" s="8">
        <v>940600</v>
      </c>
    </row>
    <row r="227" spans="1:3" x14ac:dyDescent="0.3">
      <c r="A227" s="50">
        <v>45859</v>
      </c>
      <c r="B227" s="37">
        <v>278757</v>
      </c>
      <c r="C227" s="8">
        <v>260600</v>
      </c>
    </row>
    <row r="228" spans="1:3" x14ac:dyDescent="0.3">
      <c r="A228" s="50">
        <v>45860</v>
      </c>
      <c r="B228" s="37">
        <v>644235</v>
      </c>
      <c r="C228" s="8">
        <v>658500</v>
      </c>
    </row>
    <row r="229" spans="1:3" x14ac:dyDescent="0.3">
      <c r="A229" s="50">
        <v>45861</v>
      </c>
      <c r="B229" s="37">
        <v>559645</v>
      </c>
      <c r="C229" s="8">
        <v>544400</v>
      </c>
    </row>
    <row r="230" spans="1:3" x14ac:dyDescent="0.3">
      <c r="A230" s="50">
        <v>45862</v>
      </c>
      <c r="B230" s="37">
        <v>484462</v>
      </c>
      <c r="C230" s="8">
        <v>515900</v>
      </c>
    </row>
    <row r="231" spans="1:3" x14ac:dyDescent="0.3">
      <c r="A231" s="50">
        <v>45863</v>
      </c>
      <c r="B231" s="37">
        <v>1236302</v>
      </c>
      <c r="C231" s="8">
        <v>1138800</v>
      </c>
    </row>
    <row r="232" spans="1:3" x14ac:dyDescent="0.3">
      <c r="A232" s="50">
        <v>45864</v>
      </c>
      <c r="B232" s="37">
        <v>1022537</v>
      </c>
      <c r="C232" s="8">
        <v>1013800</v>
      </c>
    </row>
    <row r="233" spans="1:3" x14ac:dyDescent="0.3">
      <c r="A233" s="50">
        <v>45865</v>
      </c>
      <c r="B233" s="37">
        <v>931769</v>
      </c>
      <c r="C233" s="8">
        <v>875900</v>
      </c>
    </row>
    <row r="234" spans="1:3" x14ac:dyDescent="0.3">
      <c r="A234" s="50">
        <v>45866</v>
      </c>
      <c r="B234" s="37">
        <v>796245</v>
      </c>
      <c r="C234" s="8">
        <v>793700</v>
      </c>
    </row>
    <row r="235" spans="1:3" x14ac:dyDescent="0.3">
      <c r="A235" s="50">
        <v>45867</v>
      </c>
      <c r="B235" s="37">
        <v>712816</v>
      </c>
      <c r="C235" s="8">
        <v>726400</v>
      </c>
    </row>
    <row r="236" spans="1:3" x14ac:dyDescent="0.3">
      <c r="A236" s="50">
        <v>45868</v>
      </c>
      <c r="B236" s="37">
        <v>382391</v>
      </c>
      <c r="C236" s="8">
        <v>356000</v>
      </c>
    </row>
    <row r="237" spans="1:3" x14ac:dyDescent="0.3">
      <c r="A237" s="50">
        <v>45869</v>
      </c>
      <c r="B237" s="37">
        <v>887830</v>
      </c>
      <c r="C237" s="8">
        <v>891000</v>
      </c>
    </row>
    <row r="238" spans="1:3" x14ac:dyDescent="0.3">
      <c r="A238" s="49" t="s">
        <v>2545</v>
      </c>
      <c r="B238" s="37">
        <v>21516505</v>
      </c>
      <c r="C238" s="8">
        <v>21499400</v>
      </c>
    </row>
    <row r="239" spans="1:3" x14ac:dyDescent="0.3">
      <c r="A239" s="50">
        <v>45870</v>
      </c>
      <c r="B239" s="37">
        <v>499502</v>
      </c>
      <c r="C239" s="8">
        <v>500300</v>
      </c>
    </row>
    <row r="240" spans="1:3" x14ac:dyDescent="0.3">
      <c r="A240" s="50">
        <v>45871</v>
      </c>
      <c r="B240" s="37">
        <v>460570</v>
      </c>
      <c r="C240" s="8">
        <v>449100</v>
      </c>
    </row>
    <row r="241" spans="1:3" x14ac:dyDescent="0.3">
      <c r="A241" s="50">
        <v>45872</v>
      </c>
      <c r="B241" s="37">
        <v>965112</v>
      </c>
      <c r="C241" s="8">
        <v>981100</v>
      </c>
    </row>
    <row r="242" spans="1:3" x14ac:dyDescent="0.3">
      <c r="A242" s="50">
        <v>45873</v>
      </c>
      <c r="B242" s="37">
        <v>416463</v>
      </c>
      <c r="C242" s="8">
        <v>432400</v>
      </c>
    </row>
    <row r="243" spans="1:3" x14ac:dyDescent="0.3">
      <c r="A243" s="50">
        <v>45874</v>
      </c>
      <c r="B243" s="37">
        <v>1007711</v>
      </c>
      <c r="C243" s="8">
        <v>992300</v>
      </c>
    </row>
    <row r="244" spans="1:3" x14ac:dyDescent="0.3">
      <c r="A244" s="50">
        <v>45875</v>
      </c>
      <c r="B244" s="37">
        <v>888688</v>
      </c>
      <c r="C244" s="8">
        <v>871700</v>
      </c>
    </row>
    <row r="245" spans="1:3" x14ac:dyDescent="0.3">
      <c r="A245" s="50">
        <v>45876</v>
      </c>
      <c r="B245" s="37">
        <v>476025</v>
      </c>
      <c r="C245" s="8">
        <v>473100</v>
      </c>
    </row>
    <row r="246" spans="1:3" x14ac:dyDescent="0.3">
      <c r="A246" s="50">
        <v>45877</v>
      </c>
      <c r="B246" s="37">
        <v>1028477</v>
      </c>
      <c r="C246" s="8">
        <v>1005600</v>
      </c>
    </row>
    <row r="247" spans="1:3" x14ac:dyDescent="0.3">
      <c r="A247" s="50">
        <v>45878</v>
      </c>
      <c r="B247" s="37">
        <v>460620</v>
      </c>
      <c r="C247" s="8">
        <v>451800</v>
      </c>
    </row>
    <row r="248" spans="1:3" x14ac:dyDescent="0.3">
      <c r="A248" s="50">
        <v>45879</v>
      </c>
      <c r="B248" s="37">
        <v>934561</v>
      </c>
      <c r="C248" s="8">
        <v>883100</v>
      </c>
    </row>
    <row r="249" spans="1:3" x14ac:dyDescent="0.3">
      <c r="A249" s="50">
        <v>45880</v>
      </c>
      <c r="B249" s="37">
        <v>1366760</v>
      </c>
      <c r="C249" s="8">
        <v>1404500</v>
      </c>
    </row>
    <row r="250" spans="1:3" x14ac:dyDescent="0.3">
      <c r="A250" s="50">
        <v>45881</v>
      </c>
      <c r="B250" s="37">
        <v>1156106</v>
      </c>
      <c r="C250" s="8">
        <v>1089800</v>
      </c>
    </row>
    <row r="251" spans="1:3" x14ac:dyDescent="0.3">
      <c r="A251" s="50">
        <v>45882</v>
      </c>
      <c r="B251" s="37">
        <v>863211</v>
      </c>
      <c r="C251" s="8">
        <v>918300</v>
      </c>
    </row>
    <row r="252" spans="1:3" x14ac:dyDescent="0.3">
      <c r="A252" s="50">
        <v>45883</v>
      </c>
      <c r="B252" s="37">
        <v>699897</v>
      </c>
      <c r="C252" s="8">
        <v>732200</v>
      </c>
    </row>
    <row r="253" spans="1:3" x14ac:dyDescent="0.3">
      <c r="A253" s="50">
        <v>45884</v>
      </c>
      <c r="B253" s="37">
        <v>1214446</v>
      </c>
      <c r="C253" s="8">
        <v>1125100</v>
      </c>
    </row>
    <row r="254" spans="1:3" x14ac:dyDescent="0.3">
      <c r="A254" s="50">
        <v>45885</v>
      </c>
      <c r="B254" s="37">
        <v>519028</v>
      </c>
      <c r="C254" s="8">
        <v>511900</v>
      </c>
    </row>
    <row r="255" spans="1:3" x14ac:dyDescent="0.3">
      <c r="A255" s="50">
        <v>45886</v>
      </c>
      <c r="B255" s="37">
        <v>460547</v>
      </c>
      <c r="C255" s="8">
        <v>443300</v>
      </c>
    </row>
    <row r="256" spans="1:3" x14ac:dyDescent="0.3">
      <c r="A256" s="50">
        <v>45887</v>
      </c>
      <c r="B256" s="37">
        <v>84563</v>
      </c>
      <c r="C256" s="8">
        <v>85700</v>
      </c>
    </row>
    <row r="257" spans="1:3" x14ac:dyDescent="0.3">
      <c r="A257" s="50">
        <v>45888</v>
      </c>
      <c r="B257" s="37">
        <v>331874</v>
      </c>
      <c r="C257" s="8">
        <v>360200</v>
      </c>
    </row>
    <row r="258" spans="1:3" x14ac:dyDescent="0.3">
      <c r="A258" s="50">
        <v>45889</v>
      </c>
      <c r="B258" s="37">
        <v>419649</v>
      </c>
      <c r="C258" s="8">
        <v>427500</v>
      </c>
    </row>
    <row r="259" spans="1:3" x14ac:dyDescent="0.3">
      <c r="A259" s="50">
        <v>45890</v>
      </c>
      <c r="B259" s="37">
        <v>351462</v>
      </c>
      <c r="C259" s="8">
        <v>394100</v>
      </c>
    </row>
    <row r="260" spans="1:3" x14ac:dyDescent="0.3">
      <c r="A260" s="50">
        <v>45891</v>
      </c>
      <c r="B260" s="37">
        <v>794451</v>
      </c>
      <c r="C260" s="8">
        <v>805000</v>
      </c>
    </row>
    <row r="261" spans="1:3" x14ac:dyDescent="0.3">
      <c r="A261" s="50">
        <v>45892</v>
      </c>
      <c r="B261" s="37">
        <v>797428</v>
      </c>
      <c r="C261" s="8">
        <v>783700</v>
      </c>
    </row>
    <row r="262" spans="1:3" x14ac:dyDescent="0.3">
      <c r="A262" s="50">
        <v>45893</v>
      </c>
      <c r="B262" s="37">
        <v>459667</v>
      </c>
      <c r="C262" s="8">
        <v>474800</v>
      </c>
    </row>
    <row r="263" spans="1:3" x14ac:dyDescent="0.3">
      <c r="A263" s="50">
        <v>45894</v>
      </c>
      <c r="B263" s="37">
        <v>920213</v>
      </c>
      <c r="C263" s="8">
        <v>953100</v>
      </c>
    </row>
    <row r="264" spans="1:3" x14ac:dyDescent="0.3">
      <c r="A264" s="50">
        <v>45895</v>
      </c>
      <c r="B264" s="37">
        <v>765679</v>
      </c>
      <c r="C264" s="8">
        <v>737000</v>
      </c>
    </row>
    <row r="265" spans="1:3" x14ac:dyDescent="0.3">
      <c r="A265" s="50">
        <v>45896</v>
      </c>
      <c r="B265" s="37">
        <v>615436</v>
      </c>
      <c r="C265" s="8">
        <v>657000</v>
      </c>
    </row>
    <row r="266" spans="1:3" x14ac:dyDescent="0.3">
      <c r="A266" s="50">
        <v>45897</v>
      </c>
      <c r="B266" s="37">
        <v>721777</v>
      </c>
      <c r="C266" s="8">
        <v>737900</v>
      </c>
    </row>
    <row r="267" spans="1:3" x14ac:dyDescent="0.3">
      <c r="A267" s="50">
        <v>45898</v>
      </c>
      <c r="B267" s="37">
        <v>1092910</v>
      </c>
      <c r="C267" s="8">
        <v>1116300</v>
      </c>
    </row>
    <row r="268" spans="1:3" x14ac:dyDescent="0.3">
      <c r="A268" s="50">
        <v>45899</v>
      </c>
      <c r="B268" s="37">
        <v>189301</v>
      </c>
      <c r="C268" s="8">
        <v>192400</v>
      </c>
    </row>
    <row r="269" spans="1:3" x14ac:dyDescent="0.3">
      <c r="A269" s="50">
        <v>45900</v>
      </c>
      <c r="B269" s="37">
        <v>554371</v>
      </c>
      <c r="C269" s="8">
        <v>509100</v>
      </c>
    </row>
    <row r="270" spans="1:3" x14ac:dyDescent="0.3">
      <c r="A270" s="49" t="s">
        <v>2546</v>
      </c>
      <c r="B270" s="37">
        <v>19231508</v>
      </c>
      <c r="C270" s="8">
        <v>19222000</v>
      </c>
    </row>
    <row r="271" spans="1:3" x14ac:dyDescent="0.3">
      <c r="A271" s="50">
        <v>45901</v>
      </c>
      <c r="B271" s="37">
        <v>818442</v>
      </c>
      <c r="C271" s="8">
        <v>796500</v>
      </c>
    </row>
    <row r="272" spans="1:3" x14ac:dyDescent="0.3">
      <c r="A272" s="50">
        <v>45902</v>
      </c>
      <c r="B272" s="37">
        <v>144420</v>
      </c>
      <c r="C272" s="8">
        <v>142800</v>
      </c>
    </row>
    <row r="273" spans="1:3" x14ac:dyDescent="0.3">
      <c r="A273" s="50">
        <v>45903</v>
      </c>
      <c r="B273" s="37">
        <v>1008050</v>
      </c>
      <c r="C273" s="8">
        <v>966500</v>
      </c>
    </row>
    <row r="274" spans="1:3" x14ac:dyDescent="0.3">
      <c r="A274" s="50">
        <v>45904</v>
      </c>
      <c r="B274" s="37">
        <v>826707</v>
      </c>
      <c r="C274" s="8">
        <v>859600</v>
      </c>
    </row>
    <row r="275" spans="1:3" x14ac:dyDescent="0.3">
      <c r="A275" s="50">
        <v>45905</v>
      </c>
      <c r="B275" s="37">
        <v>986391</v>
      </c>
      <c r="C275" s="8">
        <v>964000</v>
      </c>
    </row>
    <row r="276" spans="1:3" x14ac:dyDescent="0.3">
      <c r="A276" s="50">
        <v>45906</v>
      </c>
      <c r="B276" s="37">
        <v>848772</v>
      </c>
      <c r="C276" s="8">
        <v>873800</v>
      </c>
    </row>
    <row r="277" spans="1:3" x14ac:dyDescent="0.3">
      <c r="A277" s="50">
        <v>45907</v>
      </c>
      <c r="B277" s="37">
        <v>729183</v>
      </c>
      <c r="C277" s="8">
        <v>719900</v>
      </c>
    </row>
    <row r="278" spans="1:3" x14ac:dyDescent="0.3">
      <c r="A278" s="50">
        <v>45908</v>
      </c>
      <c r="B278" s="37">
        <v>237161</v>
      </c>
      <c r="C278" s="8">
        <v>223600</v>
      </c>
    </row>
    <row r="279" spans="1:3" x14ac:dyDescent="0.3">
      <c r="A279" s="50">
        <v>45909</v>
      </c>
      <c r="B279" s="37">
        <v>571021</v>
      </c>
      <c r="C279" s="8">
        <v>550800</v>
      </c>
    </row>
    <row r="280" spans="1:3" x14ac:dyDescent="0.3">
      <c r="A280" s="50">
        <v>45910</v>
      </c>
      <c r="B280" s="37">
        <v>1189602</v>
      </c>
      <c r="C280" s="8">
        <v>1145300</v>
      </c>
    </row>
    <row r="281" spans="1:3" x14ac:dyDescent="0.3">
      <c r="A281" s="50">
        <v>45911</v>
      </c>
      <c r="B281" s="37">
        <v>576534</v>
      </c>
      <c r="C281" s="8">
        <v>581600</v>
      </c>
    </row>
    <row r="282" spans="1:3" x14ac:dyDescent="0.3">
      <c r="A282" s="50">
        <v>45912</v>
      </c>
      <c r="B282" s="37">
        <v>447751</v>
      </c>
      <c r="C282" s="8">
        <v>419500</v>
      </c>
    </row>
    <row r="283" spans="1:3" x14ac:dyDescent="0.3">
      <c r="A283" s="50">
        <v>45913</v>
      </c>
      <c r="B283" s="37">
        <v>1038157</v>
      </c>
      <c r="C283" s="8">
        <v>1030100</v>
      </c>
    </row>
    <row r="284" spans="1:3" x14ac:dyDescent="0.3">
      <c r="A284" s="50">
        <v>45914</v>
      </c>
      <c r="B284" s="37">
        <v>132535</v>
      </c>
      <c r="C284" s="8">
        <v>109100</v>
      </c>
    </row>
    <row r="285" spans="1:3" x14ac:dyDescent="0.3">
      <c r="A285" s="50">
        <v>45915</v>
      </c>
      <c r="B285" s="37">
        <v>621796</v>
      </c>
      <c r="C285" s="8">
        <v>603500</v>
      </c>
    </row>
    <row r="286" spans="1:3" x14ac:dyDescent="0.3">
      <c r="A286" s="50">
        <v>45916</v>
      </c>
      <c r="B286" s="37">
        <v>534379</v>
      </c>
      <c r="C286" s="8">
        <v>559400</v>
      </c>
    </row>
    <row r="287" spans="1:3" x14ac:dyDescent="0.3">
      <c r="A287" s="50">
        <v>45917</v>
      </c>
      <c r="B287" s="37">
        <v>949244</v>
      </c>
      <c r="C287" s="8">
        <v>963100</v>
      </c>
    </row>
    <row r="288" spans="1:3" x14ac:dyDescent="0.3">
      <c r="A288" s="50">
        <v>45918</v>
      </c>
      <c r="B288" s="37">
        <v>507746</v>
      </c>
      <c r="C288" s="8">
        <v>540500</v>
      </c>
    </row>
    <row r="289" spans="1:3" x14ac:dyDescent="0.3">
      <c r="A289" s="50">
        <v>45919</v>
      </c>
      <c r="B289" s="37">
        <v>1085547</v>
      </c>
      <c r="C289" s="8">
        <v>1107200</v>
      </c>
    </row>
    <row r="290" spans="1:3" x14ac:dyDescent="0.3">
      <c r="A290" s="50">
        <v>45920</v>
      </c>
      <c r="B290" s="37">
        <v>688163</v>
      </c>
      <c r="C290" s="8">
        <v>711800</v>
      </c>
    </row>
    <row r="291" spans="1:3" x14ac:dyDescent="0.3">
      <c r="A291" s="50">
        <v>45921</v>
      </c>
      <c r="B291" s="37">
        <v>259529</v>
      </c>
      <c r="C291" s="8">
        <v>233800</v>
      </c>
    </row>
    <row r="292" spans="1:3" x14ac:dyDescent="0.3">
      <c r="A292" s="50">
        <v>45922</v>
      </c>
      <c r="B292" s="37">
        <v>358216</v>
      </c>
      <c r="C292" s="8">
        <v>381700</v>
      </c>
    </row>
    <row r="293" spans="1:3" x14ac:dyDescent="0.3">
      <c r="A293" s="50">
        <v>45923</v>
      </c>
      <c r="B293" s="37">
        <v>427270</v>
      </c>
      <c r="C293" s="8">
        <v>410000</v>
      </c>
    </row>
    <row r="294" spans="1:3" x14ac:dyDescent="0.3">
      <c r="A294" s="50">
        <v>45924</v>
      </c>
      <c r="B294" s="37">
        <v>597118</v>
      </c>
      <c r="C294" s="8">
        <v>641800</v>
      </c>
    </row>
    <row r="295" spans="1:3" x14ac:dyDescent="0.3">
      <c r="A295" s="50">
        <v>45925</v>
      </c>
      <c r="B295" s="37">
        <v>609822</v>
      </c>
      <c r="C295" s="8">
        <v>640300</v>
      </c>
    </row>
    <row r="296" spans="1:3" x14ac:dyDescent="0.3">
      <c r="A296" s="50">
        <v>45926</v>
      </c>
      <c r="B296" s="37">
        <v>149324</v>
      </c>
      <c r="C296" s="8">
        <v>157300</v>
      </c>
    </row>
    <row r="297" spans="1:3" x14ac:dyDescent="0.3">
      <c r="A297" s="50">
        <v>45927</v>
      </c>
      <c r="B297" s="37">
        <v>676209</v>
      </c>
      <c r="C297" s="8">
        <v>658000</v>
      </c>
    </row>
    <row r="298" spans="1:3" x14ac:dyDescent="0.3">
      <c r="A298" s="50">
        <v>45928</v>
      </c>
      <c r="B298" s="37">
        <v>388076</v>
      </c>
      <c r="C298" s="8">
        <v>394700</v>
      </c>
    </row>
    <row r="299" spans="1:3" x14ac:dyDescent="0.3">
      <c r="A299" s="50">
        <v>45929</v>
      </c>
      <c r="B299" s="37">
        <v>550628</v>
      </c>
      <c r="C299" s="8">
        <v>563300</v>
      </c>
    </row>
    <row r="300" spans="1:3" x14ac:dyDescent="0.3">
      <c r="A300" s="50">
        <v>45930</v>
      </c>
      <c r="B300" s="37">
        <v>1273715</v>
      </c>
      <c r="C300" s="8">
        <v>1272500</v>
      </c>
    </row>
    <row r="301" spans="1:3" x14ac:dyDescent="0.3">
      <c r="A301" s="7" t="s">
        <v>2586</v>
      </c>
      <c r="B301" s="37">
        <v>63531235</v>
      </c>
      <c r="C301" s="8">
        <v>63121800</v>
      </c>
    </row>
    <row r="302" spans="1:3" x14ac:dyDescent="0.3">
      <c r="A302" s="49" t="s">
        <v>2547</v>
      </c>
      <c r="B302" s="37">
        <v>22646372</v>
      </c>
      <c r="C302" s="8">
        <v>22610800</v>
      </c>
    </row>
    <row r="303" spans="1:3" x14ac:dyDescent="0.3">
      <c r="A303" s="50">
        <v>45931</v>
      </c>
      <c r="B303" s="37">
        <v>612365</v>
      </c>
      <c r="C303" s="8">
        <v>619500</v>
      </c>
    </row>
    <row r="304" spans="1:3" x14ac:dyDescent="0.3">
      <c r="A304" s="50">
        <v>45932</v>
      </c>
      <c r="B304" s="37">
        <v>959481</v>
      </c>
      <c r="C304" s="8">
        <v>945700</v>
      </c>
    </row>
    <row r="305" spans="1:3" x14ac:dyDescent="0.3">
      <c r="A305" s="50">
        <v>45933</v>
      </c>
      <c r="B305" s="37">
        <v>567876</v>
      </c>
      <c r="C305" s="8">
        <v>513800</v>
      </c>
    </row>
    <row r="306" spans="1:3" x14ac:dyDescent="0.3">
      <c r="A306" s="50">
        <v>45934</v>
      </c>
      <c r="B306" s="37">
        <v>1193193</v>
      </c>
      <c r="C306" s="8">
        <v>1214200</v>
      </c>
    </row>
    <row r="307" spans="1:3" x14ac:dyDescent="0.3">
      <c r="A307" s="50">
        <v>45935</v>
      </c>
      <c r="B307" s="37">
        <v>1083565</v>
      </c>
      <c r="C307" s="8">
        <v>1126800</v>
      </c>
    </row>
    <row r="308" spans="1:3" x14ac:dyDescent="0.3">
      <c r="A308" s="50">
        <v>45936</v>
      </c>
      <c r="B308" s="37">
        <v>1014493</v>
      </c>
      <c r="C308" s="8">
        <v>1000900</v>
      </c>
    </row>
    <row r="309" spans="1:3" x14ac:dyDescent="0.3">
      <c r="A309" s="50">
        <v>45937</v>
      </c>
      <c r="B309" s="37">
        <v>615163</v>
      </c>
      <c r="C309" s="8">
        <v>674600</v>
      </c>
    </row>
    <row r="310" spans="1:3" x14ac:dyDescent="0.3">
      <c r="A310" s="50">
        <v>45938</v>
      </c>
      <c r="B310" s="37">
        <v>154660</v>
      </c>
      <c r="C310" s="8">
        <v>163900</v>
      </c>
    </row>
    <row r="311" spans="1:3" x14ac:dyDescent="0.3">
      <c r="A311" s="50">
        <v>45939</v>
      </c>
      <c r="B311" s="37">
        <v>384540</v>
      </c>
      <c r="C311" s="8">
        <v>383500</v>
      </c>
    </row>
    <row r="312" spans="1:3" x14ac:dyDescent="0.3">
      <c r="A312" s="50">
        <v>45940</v>
      </c>
      <c r="B312" s="37">
        <v>697418</v>
      </c>
      <c r="C312" s="8">
        <v>710200</v>
      </c>
    </row>
    <row r="313" spans="1:3" x14ac:dyDescent="0.3">
      <c r="A313" s="50">
        <v>45941</v>
      </c>
      <c r="B313" s="37">
        <v>579352</v>
      </c>
      <c r="C313" s="8">
        <v>549200</v>
      </c>
    </row>
    <row r="314" spans="1:3" x14ac:dyDescent="0.3">
      <c r="A314" s="50">
        <v>45942</v>
      </c>
      <c r="B314" s="37">
        <v>404831</v>
      </c>
      <c r="C314" s="8">
        <v>429300</v>
      </c>
    </row>
    <row r="315" spans="1:3" x14ac:dyDescent="0.3">
      <c r="A315" s="50">
        <v>45943</v>
      </c>
      <c r="B315" s="37">
        <v>608382</v>
      </c>
      <c r="C315" s="8">
        <v>607700</v>
      </c>
    </row>
    <row r="316" spans="1:3" x14ac:dyDescent="0.3">
      <c r="A316" s="50">
        <v>45944</v>
      </c>
      <c r="B316" s="37">
        <v>568786</v>
      </c>
      <c r="C316" s="8">
        <v>568700</v>
      </c>
    </row>
    <row r="317" spans="1:3" x14ac:dyDescent="0.3">
      <c r="A317" s="50">
        <v>45945</v>
      </c>
      <c r="B317" s="37">
        <v>904402</v>
      </c>
      <c r="C317" s="8">
        <v>870200</v>
      </c>
    </row>
    <row r="318" spans="1:3" x14ac:dyDescent="0.3">
      <c r="A318" s="50">
        <v>45946</v>
      </c>
      <c r="B318" s="37">
        <v>1011638</v>
      </c>
      <c r="C318" s="8">
        <v>1075700</v>
      </c>
    </row>
    <row r="319" spans="1:3" x14ac:dyDescent="0.3">
      <c r="A319" s="50">
        <v>45947</v>
      </c>
      <c r="B319" s="37">
        <v>740731</v>
      </c>
      <c r="C319" s="8">
        <v>729800</v>
      </c>
    </row>
    <row r="320" spans="1:3" x14ac:dyDescent="0.3">
      <c r="A320" s="50">
        <v>45948</v>
      </c>
      <c r="B320" s="37">
        <v>518637</v>
      </c>
      <c r="C320" s="8">
        <v>562500</v>
      </c>
    </row>
    <row r="321" spans="1:3" x14ac:dyDescent="0.3">
      <c r="A321" s="50">
        <v>45949</v>
      </c>
      <c r="B321" s="37">
        <v>1021139</v>
      </c>
      <c r="C321" s="8">
        <v>1020300</v>
      </c>
    </row>
    <row r="322" spans="1:3" x14ac:dyDescent="0.3">
      <c r="A322" s="50">
        <v>45950</v>
      </c>
      <c r="B322" s="37">
        <v>1030065</v>
      </c>
      <c r="C322" s="8">
        <v>1095300</v>
      </c>
    </row>
    <row r="323" spans="1:3" x14ac:dyDescent="0.3">
      <c r="A323" s="50">
        <v>45951</v>
      </c>
      <c r="B323" s="37">
        <v>402677</v>
      </c>
      <c r="C323" s="8">
        <v>418000</v>
      </c>
    </row>
    <row r="324" spans="1:3" x14ac:dyDescent="0.3">
      <c r="A324" s="50">
        <v>45952</v>
      </c>
      <c r="B324" s="37">
        <v>1064025</v>
      </c>
      <c r="C324" s="8">
        <v>983200</v>
      </c>
    </row>
    <row r="325" spans="1:3" x14ac:dyDescent="0.3">
      <c r="A325" s="50">
        <v>45953</v>
      </c>
      <c r="B325" s="37">
        <v>151858</v>
      </c>
      <c r="C325" s="8">
        <v>141600</v>
      </c>
    </row>
    <row r="326" spans="1:3" x14ac:dyDescent="0.3">
      <c r="A326" s="50">
        <v>45954</v>
      </c>
      <c r="B326" s="37">
        <v>1213626</v>
      </c>
      <c r="C326" s="8">
        <v>1210500</v>
      </c>
    </row>
    <row r="327" spans="1:3" x14ac:dyDescent="0.3">
      <c r="A327" s="50">
        <v>45955</v>
      </c>
      <c r="B327" s="37">
        <v>1650148</v>
      </c>
      <c r="C327" s="8">
        <v>1599600</v>
      </c>
    </row>
    <row r="328" spans="1:3" x14ac:dyDescent="0.3">
      <c r="A328" s="50">
        <v>45956</v>
      </c>
      <c r="B328" s="37">
        <v>204565</v>
      </c>
      <c r="C328" s="8">
        <v>190400</v>
      </c>
    </row>
    <row r="329" spans="1:3" x14ac:dyDescent="0.3">
      <c r="A329" s="50">
        <v>45957</v>
      </c>
      <c r="B329" s="37">
        <v>1402621</v>
      </c>
      <c r="C329" s="8">
        <v>1344600</v>
      </c>
    </row>
    <row r="330" spans="1:3" x14ac:dyDescent="0.3">
      <c r="A330" s="50">
        <v>45958</v>
      </c>
      <c r="B330" s="37">
        <v>391357</v>
      </c>
      <c r="C330" s="8">
        <v>382500</v>
      </c>
    </row>
    <row r="331" spans="1:3" x14ac:dyDescent="0.3">
      <c r="A331" s="50">
        <v>45959</v>
      </c>
      <c r="B331" s="37">
        <v>948098</v>
      </c>
      <c r="C331" s="8">
        <v>911900</v>
      </c>
    </row>
    <row r="332" spans="1:3" x14ac:dyDescent="0.3">
      <c r="A332" s="50">
        <v>45960</v>
      </c>
      <c r="B332" s="37">
        <v>436967</v>
      </c>
      <c r="C332" s="8">
        <v>453600</v>
      </c>
    </row>
    <row r="333" spans="1:3" x14ac:dyDescent="0.3">
      <c r="A333" s="50">
        <v>45961</v>
      </c>
      <c r="B333" s="37">
        <v>109713</v>
      </c>
      <c r="C333" s="8">
        <v>113100</v>
      </c>
    </row>
    <row r="334" spans="1:3" x14ac:dyDescent="0.3">
      <c r="A334" s="49" t="s">
        <v>2548</v>
      </c>
      <c r="B334" s="37">
        <v>21674973</v>
      </c>
      <c r="C334" s="8">
        <v>21456500</v>
      </c>
    </row>
    <row r="335" spans="1:3" x14ac:dyDescent="0.3">
      <c r="A335" s="50">
        <v>45962</v>
      </c>
      <c r="B335" s="37">
        <v>513369</v>
      </c>
      <c r="C335" s="8">
        <v>490700</v>
      </c>
    </row>
    <row r="336" spans="1:3" x14ac:dyDescent="0.3">
      <c r="A336" s="50">
        <v>45963</v>
      </c>
      <c r="B336" s="37">
        <v>1308768</v>
      </c>
      <c r="C336" s="8">
        <v>1370600</v>
      </c>
    </row>
    <row r="337" spans="1:3" x14ac:dyDescent="0.3">
      <c r="A337" s="50">
        <v>45964</v>
      </c>
      <c r="B337" s="37">
        <v>459237</v>
      </c>
      <c r="C337" s="8">
        <v>453500</v>
      </c>
    </row>
    <row r="338" spans="1:3" x14ac:dyDescent="0.3">
      <c r="A338" s="50">
        <v>45965</v>
      </c>
      <c r="B338" s="37">
        <v>1051073</v>
      </c>
      <c r="C338" s="8">
        <v>1000600</v>
      </c>
    </row>
    <row r="339" spans="1:3" x14ac:dyDescent="0.3">
      <c r="A339" s="50">
        <v>45966</v>
      </c>
      <c r="B339" s="37">
        <v>399586</v>
      </c>
      <c r="C339" s="8">
        <v>417400</v>
      </c>
    </row>
    <row r="340" spans="1:3" x14ac:dyDescent="0.3">
      <c r="A340" s="50">
        <v>45967</v>
      </c>
      <c r="B340" s="37">
        <v>590133</v>
      </c>
      <c r="C340" s="8">
        <v>560100</v>
      </c>
    </row>
    <row r="341" spans="1:3" x14ac:dyDescent="0.3">
      <c r="A341" s="50">
        <v>45968</v>
      </c>
      <c r="B341" s="37">
        <v>1253204</v>
      </c>
      <c r="C341" s="8">
        <v>1199000</v>
      </c>
    </row>
    <row r="342" spans="1:3" x14ac:dyDescent="0.3">
      <c r="A342" s="50">
        <v>45969</v>
      </c>
      <c r="B342" s="37">
        <v>455728</v>
      </c>
      <c r="C342" s="8">
        <v>414000</v>
      </c>
    </row>
    <row r="343" spans="1:3" x14ac:dyDescent="0.3">
      <c r="A343" s="50">
        <v>45970</v>
      </c>
      <c r="B343" s="37">
        <v>259607</v>
      </c>
      <c r="C343" s="8">
        <v>277500</v>
      </c>
    </row>
    <row r="344" spans="1:3" x14ac:dyDescent="0.3">
      <c r="A344" s="50">
        <v>45971</v>
      </c>
      <c r="B344" s="37">
        <v>398394</v>
      </c>
      <c r="C344" s="8">
        <v>371700</v>
      </c>
    </row>
    <row r="345" spans="1:3" x14ac:dyDescent="0.3">
      <c r="A345" s="50">
        <v>45972</v>
      </c>
      <c r="B345" s="37">
        <v>1162010</v>
      </c>
      <c r="C345" s="8">
        <v>1179300</v>
      </c>
    </row>
    <row r="346" spans="1:3" x14ac:dyDescent="0.3">
      <c r="A346" s="50">
        <v>45973</v>
      </c>
      <c r="B346" s="37">
        <v>470984</v>
      </c>
      <c r="C346" s="8">
        <v>512600</v>
      </c>
    </row>
    <row r="347" spans="1:3" x14ac:dyDescent="0.3">
      <c r="A347" s="50">
        <v>45974</v>
      </c>
      <c r="B347" s="37">
        <v>991023</v>
      </c>
      <c r="C347" s="8">
        <v>959000</v>
      </c>
    </row>
    <row r="348" spans="1:3" x14ac:dyDescent="0.3">
      <c r="A348" s="50">
        <v>45975</v>
      </c>
      <c r="B348" s="37">
        <v>573102</v>
      </c>
      <c r="C348" s="8">
        <v>589900</v>
      </c>
    </row>
    <row r="349" spans="1:3" x14ac:dyDescent="0.3">
      <c r="A349" s="50">
        <v>45976</v>
      </c>
      <c r="B349" s="37">
        <v>679641</v>
      </c>
      <c r="C349" s="8">
        <v>678700</v>
      </c>
    </row>
    <row r="350" spans="1:3" x14ac:dyDescent="0.3">
      <c r="A350" s="50">
        <v>45977</v>
      </c>
      <c r="B350" s="37">
        <v>650916</v>
      </c>
      <c r="C350" s="8">
        <v>616000</v>
      </c>
    </row>
    <row r="351" spans="1:3" x14ac:dyDescent="0.3">
      <c r="A351" s="50">
        <v>45978</v>
      </c>
      <c r="B351" s="37">
        <v>1032753</v>
      </c>
      <c r="C351" s="8">
        <v>1029100</v>
      </c>
    </row>
    <row r="352" spans="1:3" x14ac:dyDescent="0.3">
      <c r="A352" s="50">
        <v>45979</v>
      </c>
      <c r="B352" s="37">
        <v>871893</v>
      </c>
      <c r="C352" s="8">
        <v>837100</v>
      </c>
    </row>
    <row r="353" spans="1:3" x14ac:dyDescent="0.3">
      <c r="A353" s="50">
        <v>45980</v>
      </c>
      <c r="B353" s="37">
        <v>480875</v>
      </c>
      <c r="C353" s="8">
        <v>466100</v>
      </c>
    </row>
    <row r="354" spans="1:3" x14ac:dyDescent="0.3">
      <c r="A354" s="50">
        <v>45981</v>
      </c>
      <c r="B354" s="37">
        <v>845978</v>
      </c>
      <c r="C354" s="8">
        <v>808400</v>
      </c>
    </row>
    <row r="355" spans="1:3" x14ac:dyDescent="0.3">
      <c r="A355" s="50">
        <v>45982</v>
      </c>
      <c r="B355" s="37">
        <v>1058182</v>
      </c>
      <c r="C355" s="8">
        <v>1058600</v>
      </c>
    </row>
    <row r="356" spans="1:3" x14ac:dyDescent="0.3">
      <c r="A356" s="50">
        <v>45983</v>
      </c>
      <c r="B356" s="37">
        <v>554913</v>
      </c>
      <c r="C356" s="8">
        <v>539100</v>
      </c>
    </row>
    <row r="357" spans="1:3" x14ac:dyDescent="0.3">
      <c r="A357" s="50">
        <v>45984</v>
      </c>
      <c r="B357" s="37">
        <v>284514</v>
      </c>
      <c r="C357" s="8">
        <v>249600</v>
      </c>
    </row>
    <row r="358" spans="1:3" x14ac:dyDescent="0.3">
      <c r="A358" s="50">
        <v>45985</v>
      </c>
      <c r="B358" s="37">
        <v>278167</v>
      </c>
      <c r="C358" s="8">
        <v>287900</v>
      </c>
    </row>
    <row r="359" spans="1:3" x14ac:dyDescent="0.3">
      <c r="A359" s="50">
        <v>45986</v>
      </c>
      <c r="B359" s="37">
        <v>781810</v>
      </c>
      <c r="C359" s="8">
        <v>835200</v>
      </c>
    </row>
    <row r="360" spans="1:3" x14ac:dyDescent="0.3">
      <c r="A360" s="50">
        <v>45987</v>
      </c>
      <c r="B360" s="37">
        <v>1076274</v>
      </c>
      <c r="C360" s="8">
        <v>1056900</v>
      </c>
    </row>
    <row r="361" spans="1:3" x14ac:dyDescent="0.3">
      <c r="A361" s="50">
        <v>45988</v>
      </c>
      <c r="B361" s="37">
        <v>441179</v>
      </c>
      <c r="C361" s="8">
        <v>493300</v>
      </c>
    </row>
    <row r="362" spans="1:3" x14ac:dyDescent="0.3">
      <c r="A362" s="50">
        <v>45989</v>
      </c>
      <c r="B362" s="37">
        <v>717547</v>
      </c>
      <c r="C362" s="8">
        <v>663000</v>
      </c>
    </row>
    <row r="363" spans="1:3" x14ac:dyDescent="0.3">
      <c r="A363" s="50">
        <v>45990</v>
      </c>
      <c r="B363" s="37">
        <v>463993</v>
      </c>
      <c r="C363" s="8">
        <v>471200</v>
      </c>
    </row>
    <row r="364" spans="1:3" x14ac:dyDescent="0.3">
      <c r="A364" s="50">
        <v>45991</v>
      </c>
      <c r="B364" s="37">
        <v>1570120</v>
      </c>
      <c r="C364" s="8">
        <v>1570400</v>
      </c>
    </row>
    <row r="365" spans="1:3" x14ac:dyDescent="0.3">
      <c r="A365" s="49" t="s">
        <v>2549</v>
      </c>
      <c r="B365" s="37">
        <v>19209890</v>
      </c>
      <c r="C365" s="8">
        <v>19054500</v>
      </c>
    </row>
    <row r="366" spans="1:3" x14ac:dyDescent="0.3">
      <c r="A366" s="50">
        <v>45992</v>
      </c>
      <c r="B366" s="37">
        <v>737518</v>
      </c>
      <c r="C366" s="8">
        <v>767000</v>
      </c>
    </row>
    <row r="367" spans="1:3" x14ac:dyDescent="0.3">
      <c r="A367" s="50">
        <v>45993</v>
      </c>
      <c r="B367" s="37">
        <v>773915</v>
      </c>
      <c r="C367" s="8">
        <v>807800</v>
      </c>
    </row>
    <row r="368" spans="1:3" x14ac:dyDescent="0.3">
      <c r="A368" s="50">
        <v>45994</v>
      </c>
      <c r="B368" s="37">
        <v>625613</v>
      </c>
      <c r="C368" s="8">
        <v>603200</v>
      </c>
    </row>
    <row r="369" spans="1:3" x14ac:dyDescent="0.3">
      <c r="A369" s="50">
        <v>45995</v>
      </c>
      <c r="B369" s="37">
        <v>718391</v>
      </c>
      <c r="C369" s="8">
        <v>704300</v>
      </c>
    </row>
    <row r="370" spans="1:3" x14ac:dyDescent="0.3">
      <c r="A370" s="50">
        <v>45996</v>
      </c>
      <c r="B370" s="37">
        <v>596224</v>
      </c>
      <c r="C370" s="8">
        <v>569200</v>
      </c>
    </row>
    <row r="371" spans="1:3" x14ac:dyDescent="0.3">
      <c r="A371" s="50">
        <v>45997</v>
      </c>
      <c r="B371" s="37">
        <v>1066542</v>
      </c>
      <c r="C371" s="8">
        <v>989500</v>
      </c>
    </row>
    <row r="372" spans="1:3" x14ac:dyDescent="0.3">
      <c r="A372" s="50">
        <v>45998</v>
      </c>
      <c r="B372" s="37">
        <v>836566</v>
      </c>
      <c r="C372" s="8">
        <v>835300</v>
      </c>
    </row>
    <row r="373" spans="1:3" x14ac:dyDescent="0.3">
      <c r="A373" s="50">
        <v>45999</v>
      </c>
      <c r="B373" s="37">
        <v>843654</v>
      </c>
      <c r="C373" s="8">
        <v>825700</v>
      </c>
    </row>
    <row r="374" spans="1:3" x14ac:dyDescent="0.3">
      <c r="A374" s="50">
        <v>46000</v>
      </c>
      <c r="B374" s="37">
        <v>1541750</v>
      </c>
      <c r="C374" s="8">
        <v>1454100</v>
      </c>
    </row>
    <row r="375" spans="1:3" x14ac:dyDescent="0.3">
      <c r="A375" s="50">
        <v>46001</v>
      </c>
      <c r="B375" s="37">
        <v>151850</v>
      </c>
      <c r="C375" s="8">
        <v>153700</v>
      </c>
    </row>
    <row r="376" spans="1:3" x14ac:dyDescent="0.3">
      <c r="A376" s="50">
        <v>46002</v>
      </c>
      <c r="B376" s="37">
        <v>683728</v>
      </c>
      <c r="C376" s="8">
        <v>636700</v>
      </c>
    </row>
    <row r="377" spans="1:3" x14ac:dyDescent="0.3">
      <c r="A377" s="50">
        <v>46003</v>
      </c>
      <c r="B377" s="37">
        <v>261564</v>
      </c>
      <c r="C377" s="8">
        <v>268400</v>
      </c>
    </row>
    <row r="378" spans="1:3" x14ac:dyDescent="0.3">
      <c r="A378" s="50">
        <v>46004</v>
      </c>
      <c r="B378" s="37">
        <v>454659</v>
      </c>
      <c r="C378" s="8">
        <v>464500</v>
      </c>
    </row>
    <row r="379" spans="1:3" x14ac:dyDescent="0.3">
      <c r="A379" s="50">
        <v>46005</v>
      </c>
      <c r="B379" s="37">
        <v>304840</v>
      </c>
      <c r="C379" s="8">
        <v>307000</v>
      </c>
    </row>
    <row r="380" spans="1:3" x14ac:dyDescent="0.3">
      <c r="A380" s="50">
        <v>46006</v>
      </c>
      <c r="B380" s="37">
        <v>306342</v>
      </c>
      <c r="C380" s="8">
        <v>303600</v>
      </c>
    </row>
    <row r="381" spans="1:3" x14ac:dyDescent="0.3">
      <c r="A381" s="50">
        <v>46007</v>
      </c>
      <c r="B381" s="37">
        <v>412855</v>
      </c>
      <c r="C381" s="8">
        <v>389600</v>
      </c>
    </row>
    <row r="382" spans="1:3" x14ac:dyDescent="0.3">
      <c r="A382" s="50">
        <v>46008</v>
      </c>
      <c r="B382" s="37">
        <v>637809</v>
      </c>
      <c r="C382" s="8">
        <v>627600</v>
      </c>
    </row>
    <row r="383" spans="1:3" x14ac:dyDescent="0.3">
      <c r="A383" s="50">
        <v>46009</v>
      </c>
      <c r="B383" s="37">
        <v>598285</v>
      </c>
      <c r="C383" s="8">
        <v>603900</v>
      </c>
    </row>
    <row r="384" spans="1:3" x14ac:dyDescent="0.3">
      <c r="A384" s="50">
        <v>46010</v>
      </c>
      <c r="B384" s="37">
        <v>511302</v>
      </c>
      <c r="C384" s="8">
        <v>507800</v>
      </c>
    </row>
    <row r="385" spans="1:3" x14ac:dyDescent="0.3">
      <c r="A385" s="50">
        <v>46011</v>
      </c>
      <c r="B385" s="37">
        <v>467162</v>
      </c>
      <c r="C385" s="8">
        <v>458100</v>
      </c>
    </row>
    <row r="386" spans="1:3" x14ac:dyDescent="0.3">
      <c r="A386" s="50">
        <v>46012</v>
      </c>
      <c r="B386" s="37">
        <v>894145</v>
      </c>
      <c r="C386" s="8">
        <v>896400</v>
      </c>
    </row>
    <row r="387" spans="1:3" x14ac:dyDescent="0.3">
      <c r="A387" s="50">
        <v>46013</v>
      </c>
      <c r="B387" s="37">
        <v>772722</v>
      </c>
      <c r="C387" s="8">
        <v>790100</v>
      </c>
    </row>
    <row r="388" spans="1:3" x14ac:dyDescent="0.3">
      <c r="A388" s="50">
        <v>46014</v>
      </c>
      <c r="B388" s="37">
        <v>34606</v>
      </c>
      <c r="C388" s="8">
        <v>34600</v>
      </c>
    </row>
    <row r="389" spans="1:3" x14ac:dyDescent="0.3">
      <c r="A389" s="50">
        <v>46015</v>
      </c>
      <c r="B389" s="37">
        <v>720995</v>
      </c>
      <c r="C389" s="8">
        <v>750300</v>
      </c>
    </row>
    <row r="390" spans="1:3" x14ac:dyDescent="0.3">
      <c r="A390" s="50">
        <v>46016</v>
      </c>
      <c r="B390" s="37">
        <v>365688</v>
      </c>
      <c r="C390" s="8">
        <v>372400</v>
      </c>
    </row>
    <row r="391" spans="1:3" x14ac:dyDescent="0.3">
      <c r="A391" s="50">
        <v>46017</v>
      </c>
      <c r="B391" s="37">
        <v>278945</v>
      </c>
      <c r="C391" s="8">
        <v>289200</v>
      </c>
    </row>
    <row r="392" spans="1:3" x14ac:dyDescent="0.3">
      <c r="A392" s="50">
        <v>46018</v>
      </c>
      <c r="B392" s="37">
        <v>629729</v>
      </c>
      <c r="C392" s="8">
        <v>616800</v>
      </c>
    </row>
    <row r="393" spans="1:3" x14ac:dyDescent="0.3">
      <c r="A393" s="50">
        <v>46019</v>
      </c>
      <c r="B393" s="37">
        <v>968997</v>
      </c>
      <c r="C393" s="8">
        <v>959000</v>
      </c>
    </row>
    <row r="394" spans="1:3" x14ac:dyDescent="0.3">
      <c r="A394" s="50">
        <v>46020</v>
      </c>
      <c r="B394" s="37">
        <v>680259</v>
      </c>
      <c r="C394" s="8">
        <v>725400</v>
      </c>
    </row>
    <row r="395" spans="1:3" x14ac:dyDescent="0.3">
      <c r="A395" s="50">
        <v>46021</v>
      </c>
      <c r="B395" s="37">
        <v>626410</v>
      </c>
      <c r="C395" s="8">
        <v>616200</v>
      </c>
    </row>
    <row r="396" spans="1:3" ht="15" thickBot="1" x14ac:dyDescent="0.35">
      <c r="A396" s="50">
        <v>46022</v>
      </c>
      <c r="B396" s="37">
        <v>706825</v>
      </c>
      <c r="C396" s="8">
        <v>727100</v>
      </c>
    </row>
    <row r="397" spans="1:3" ht="15" thickBot="1" x14ac:dyDescent="0.35">
      <c r="A397" s="33" t="s">
        <v>2535</v>
      </c>
      <c r="B397" s="38">
        <v>252697615</v>
      </c>
      <c r="C397" s="9">
        <v>251907600</v>
      </c>
    </row>
  </sheetData>
  <mergeCells count="7">
    <mergeCell ref="F27:H27"/>
    <mergeCell ref="J7:L7"/>
    <mergeCell ref="N4:P4"/>
    <mergeCell ref="A2:C2"/>
    <mergeCell ref="A14:C14"/>
    <mergeCell ref="F2:H2"/>
    <mergeCell ref="F11:H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72BA-5FAD-4CD4-9A61-D560C603D5AC}">
  <sheetPr codeName="Sheet8"/>
  <dimension ref="M1"/>
  <sheetViews>
    <sheetView showGridLines="0" tabSelected="1" workbookViewId="0">
      <selection activeCell="Z16" sqref="Z16"/>
    </sheetView>
  </sheetViews>
  <sheetFormatPr defaultRowHeight="14.4" x14ac:dyDescent="0.3"/>
  <sheetData>
    <row r="1" spans="13:13" x14ac:dyDescent="0.3">
      <c r="M1"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4DDEC4-0453-445A-955F-53611070CE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CLEANED DATA</vt:lpstr>
      <vt:lpstr>DEPARTMENT-FINANCIAL ANALYSIS</vt:lpstr>
      <vt:lpstr>CATEGORY-FINANCIAL ANALYSIS</vt:lpstr>
      <vt:lpstr>UNIT -FINANCIAL ANALYSIS</vt:lpstr>
      <vt:lpstr>KPI</vt: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NIMISHA CK</dc:creator>
  <cp:lastModifiedBy>NIMISHA CK</cp:lastModifiedBy>
  <dcterms:created xsi:type="dcterms:W3CDTF">2026-09-25T04:43:59Z</dcterms:created>
  <dcterms:modified xsi:type="dcterms:W3CDTF">2026-09-26T18:09:28Z</dcterms:modified>
</cp:coreProperties>
</file>